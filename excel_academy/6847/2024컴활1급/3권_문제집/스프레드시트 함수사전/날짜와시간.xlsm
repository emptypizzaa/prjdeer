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함수사전\"/>
    </mc:Choice>
  </mc:AlternateContent>
  <xr:revisionPtr revIDLastSave="0" documentId="13_ncr:1_{4A0F5977-3F4A-434D-91C4-DD7640034C40}" xr6:coauthVersionLast="47" xr6:coauthVersionMax="47" xr10:uidLastSave="{00000000-0000-0000-0000-000000000000}"/>
  <bookViews>
    <workbookView xWindow="3180" yWindow="915" windowWidth="29115" windowHeight="16800" tabRatio="918" xr2:uid="{00000000-000D-0000-FFFF-FFFF00000000}"/>
  </bookViews>
  <sheets>
    <sheet name="YEAR1(예제)" sheetId="1" r:id="rId1"/>
    <sheet name="YEAR1(결과)" sheetId="16" r:id="rId2"/>
    <sheet name="YEAR2(예제)" sheetId="31" r:id="rId3"/>
    <sheet name="YEAR2(결과)" sheetId="32" r:id="rId4"/>
    <sheet name="MONTH(예제)" sheetId="2" r:id="rId5"/>
    <sheet name="MONTH(결과)" sheetId="17" r:id="rId6"/>
    <sheet name="DAY(예제)" sheetId="3" r:id="rId7"/>
    <sheet name="DAY(결과)" sheetId="18" r:id="rId8"/>
    <sheet name="HOUR(예제)" sheetId="4" r:id="rId9"/>
    <sheet name="HOUR(결과)" sheetId="19" r:id="rId10"/>
    <sheet name="MINUTE(예제)" sheetId="5" r:id="rId11"/>
    <sheet name="MINUTE(결과)" sheetId="20" r:id="rId12"/>
    <sheet name="TODAY(예제)" sheetId="6" r:id="rId13"/>
    <sheet name="TODAY(결과)" sheetId="21" r:id="rId14"/>
    <sheet name="NOW(예제)" sheetId="7" r:id="rId15"/>
    <sheet name="NOW(결과)" sheetId="22" r:id="rId16"/>
    <sheet name="DATE(예제)" sheetId="8" r:id="rId17"/>
    <sheet name="DATE(결과)" sheetId="23" r:id="rId18"/>
    <sheet name="TIME(예제)" sheetId="9" r:id="rId19"/>
    <sheet name="TIME(결과)" sheetId="24" r:id="rId20"/>
    <sheet name="DATEVALUE(예제)" sheetId="33" r:id="rId21"/>
    <sheet name="DATEVALUE(결과)" sheetId="34" r:id="rId22"/>
    <sheet name="WEEKDAY(예제)" sheetId="10" r:id="rId23"/>
    <sheet name="WEEKDAY(결과)" sheetId="25" r:id="rId24"/>
    <sheet name="DAYS(예제)" sheetId="43" r:id="rId25"/>
    <sheet name="DAYS(결과)" sheetId="44" r:id="rId26"/>
    <sheet name="EDATE(예제)" sheetId="12" r:id="rId27"/>
    <sheet name="EDATE(결과)" sheetId="27" r:id="rId28"/>
    <sheet name="EOMOTH(예제)" sheetId="13" r:id="rId29"/>
    <sheet name="EOMOTH(결과)" sheetId="28" r:id="rId30"/>
    <sheet name="NETWORKDAYS(예제)" sheetId="39" r:id="rId31"/>
    <sheet name="NETWORKDAYS(결과)" sheetId="40" r:id="rId32"/>
    <sheet name="WEEKNUM(예제)" sheetId="42" r:id="rId33"/>
    <sheet name="WEEKNUM(결과)" sheetId="41" r:id="rId34"/>
    <sheet name="WORKDAY(예제)" sheetId="14" r:id="rId35"/>
    <sheet name="WORKDAY(결과)" sheetId="29" r:id="rId3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44" l="1"/>
  <c r="E11" i="44"/>
  <c r="E10" i="44"/>
  <c r="E9" i="44"/>
  <c r="E8" i="44"/>
  <c r="E7" i="44"/>
  <c r="E6" i="44"/>
  <c r="E5" i="44"/>
  <c r="E4" i="44"/>
  <c r="E3" i="44"/>
  <c r="B6" i="34" l="1"/>
  <c r="B5" i="34"/>
  <c r="B4" i="34"/>
  <c r="D5" i="23"/>
  <c r="D4" i="23"/>
  <c r="D3" i="23"/>
  <c r="D5" i="8"/>
  <c r="D4" i="8"/>
  <c r="D3" i="8"/>
  <c r="E2" i="17"/>
  <c r="D4" i="32"/>
  <c r="D5" i="32"/>
  <c r="D6" i="32"/>
  <c r="D7" i="32"/>
  <c r="D8" i="32"/>
  <c r="D9" i="32"/>
  <c r="D10" i="32"/>
  <c r="D11" i="32"/>
  <c r="D12" i="32"/>
  <c r="D3" i="32"/>
  <c r="C3" i="16"/>
  <c r="C4" i="16"/>
  <c r="C5" i="16"/>
  <c r="C6" i="16"/>
  <c r="C2" i="16"/>
  <c r="B8" i="41" l="1"/>
  <c r="B7" i="41"/>
  <c r="B6" i="41"/>
  <c r="B5" i="41"/>
  <c r="B4" i="41"/>
  <c r="B3" i="41"/>
  <c r="B8" i="40"/>
  <c r="C10" i="27"/>
  <c r="C9" i="27"/>
  <c r="C8" i="27"/>
  <c r="C5" i="27"/>
  <c r="C4" i="27"/>
  <c r="C3" i="27"/>
  <c r="E4" i="29" l="1"/>
  <c r="E5" i="29"/>
  <c r="E6" i="29"/>
  <c r="E7" i="29"/>
  <c r="E8" i="29"/>
  <c r="E3" i="29"/>
  <c r="C4" i="28"/>
  <c r="C5" i="28"/>
  <c r="C6" i="28"/>
  <c r="C7" i="28"/>
  <c r="C8" i="28"/>
  <c r="C3" i="28"/>
  <c r="C4" i="25"/>
  <c r="C5" i="25"/>
  <c r="C6" i="25"/>
  <c r="C7" i="25"/>
  <c r="C8" i="25"/>
  <c r="C9" i="25"/>
  <c r="C3" i="25"/>
  <c r="B4" i="24"/>
  <c r="B5" i="24"/>
  <c r="B3" i="24"/>
  <c r="B4" i="23"/>
  <c r="B5" i="23"/>
  <c r="B3" i="23"/>
  <c r="B2" i="22"/>
  <c r="E3" i="21"/>
  <c r="C4" i="20"/>
  <c r="C5" i="20"/>
  <c r="C6" i="20"/>
  <c r="C7" i="20"/>
  <c r="C8" i="20"/>
  <c r="C9" i="20"/>
  <c r="C10" i="20"/>
  <c r="C3" i="20"/>
  <c r="E4" i="19"/>
  <c r="E5" i="19"/>
  <c r="E6" i="19"/>
  <c r="E7" i="19"/>
  <c r="E8" i="19"/>
  <c r="E3" i="19"/>
  <c r="B5" i="18"/>
  <c r="B6" i="18"/>
  <c r="B4" i="18"/>
</calcChain>
</file>

<file path=xl/sharedStrings.xml><?xml version="1.0" encoding="utf-8"?>
<sst xmlns="http://schemas.openxmlformats.org/spreadsheetml/2006/main" count="404" uniqueCount="206">
  <si>
    <t>사원</t>
    <phoneticPr fontId="5" type="noConversion"/>
  </si>
  <si>
    <t>입사일자</t>
    <phoneticPr fontId="5" type="noConversion"/>
  </si>
  <si>
    <t>근무기간</t>
    <phoneticPr fontId="5" type="noConversion"/>
  </si>
  <si>
    <t>최찬식</t>
    <phoneticPr fontId="5" type="noConversion"/>
  </si>
  <si>
    <t>황요한</t>
    <phoneticPr fontId="5" type="noConversion"/>
  </si>
  <si>
    <t>김을동</t>
    <phoneticPr fontId="5" type="noConversion"/>
  </si>
  <si>
    <t>장길산</t>
    <phoneticPr fontId="5" type="noConversion"/>
  </si>
  <si>
    <t>이은관</t>
    <phoneticPr fontId="5" type="noConversion"/>
  </si>
  <si>
    <t>월별 수출입 통계</t>
    <phoneticPr fontId="5" type="noConversion"/>
  </si>
  <si>
    <t xml:space="preserve">         월
별</t>
    <phoneticPr fontId="5" type="noConversion"/>
  </si>
  <si>
    <t>수산물</t>
    <phoneticPr fontId="5" type="noConversion"/>
  </si>
  <si>
    <t>농산물</t>
    <phoneticPr fontId="5" type="noConversion"/>
  </si>
  <si>
    <t>임산물</t>
    <phoneticPr fontId="5" type="noConversion"/>
  </si>
  <si>
    <t>축산물</t>
    <phoneticPr fontId="5" type="noConversion"/>
  </si>
  <si>
    <t>납품일정계획</t>
  </si>
  <si>
    <t>기준일자:</t>
    <phoneticPr fontId="5" type="noConversion"/>
  </si>
  <si>
    <t>재료</t>
    <phoneticPr fontId="5" type="noConversion"/>
  </si>
  <si>
    <t>주문일자(일)</t>
    <phoneticPr fontId="5" type="noConversion"/>
  </si>
  <si>
    <t>소요기간(일)</t>
    <phoneticPr fontId="5" type="noConversion"/>
  </si>
  <si>
    <t>납품일자(일)</t>
    <phoneticPr fontId="5" type="noConversion"/>
  </si>
  <si>
    <t>백설탕</t>
    <phoneticPr fontId="5" type="noConversion"/>
  </si>
  <si>
    <t>향료</t>
    <phoneticPr fontId="5" type="noConversion"/>
  </si>
  <si>
    <t>밀가루</t>
    <phoneticPr fontId="5" type="noConversion"/>
  </si>
  <si>
    <t>버스 요금 정산표</t>
    <phoneticPr fontId="5" type="noConversion"/>
  </si>
  <si>
    <t>출발지</t>
    <phoneticPr fontId="5" type="noConversion"/>
  </si>
  <si>
    <t>출발시간</t>
    <phoneticPr fontId="5" type="noConversion"/>
  </si>
  <si>
    <t>도착지</t>
    <phoneticPr fontId="5" type="noConversion"/>
  </si>
  <si>
    <t>도착시간</t>
    <phoneticPr fontId="5" type="noConversion"/>
  </si>
  <si>
    <t>요금</t>
    <phoneticPr fontId="5" type="noConversion"/>
  </si>
  <si>
    <t>서울</t>
    <phoneticPr fontId="5" type="noConversion"/>
  </si>
  <si>
    <t>대전</t>
    <phoneticPr fontId="5" type="noConversion"/>
  </si>
  <si>
    <t>부산</t>
    <phoneticPr fontId="5" type="noConversion"/>
  </si>
  <si>
    <t>대구</t>
    <phoneticPr fontId="5" type="noConversion"/>
  </si>
  <si>
    <t>광주</t>
    <phoneticPr fontId="5" type="noConversion"/>
  </si>
  <si>
    <t>속초</t>
    <phoneticPr fontId="5" type="noConversion"/>
  </si>
  <si>
    <t>인천</t>
    <phoneticPr fontId="5" type="noConversion"/>
  </si>
  <si>
    <t>수원</t>
    <phoneticPr fontId="5" type="noConversion"/>
  </si>
  <si>
    <t>인천</t>
    <phoneticPr fontId="5" type="noConversion"/>
  </si>
  <si>
    <t>청주</t>
    <phoneticPr fontId="5" type="noConversion"/>
  </si>
  <si>
    <t>특허 신청 일시</t>
    <phoneticPr fontId="5" type="noConversion"/>
  </si>
  <si>
    <t>제출회사</t>
    <phoneticPr fontId="5" type="noConversion"/>
  </si>
  <si>
    <t>특허 신청 일시</t>
    <phoneticPr fontId="5" type="noConversion"/>
  </si>
  <si>
    <t>시간</t>
    <phoneticPr fontId="5" type="noConversion"/>
  </si>
  <si>
    <t>미리내</t>
    <phoneticPr fontId="5" type="noConversion"/>
  </si>
  <si>
    <t>거장</t>
    <phoneticPr fontId="5" type="noConversion"/>
  </si>
  <si>
    <t>제온</t>
    <phoneticPr fontId="5" type="noConversion"/>
  </si>
  <si>
    <t>미크론</t>
    <phoneticPr fontId="5" type="noConversion"/>
  </si>
  <si>
    <t>씽크</t>
    <phoneticPr fontId="5" type="noConversion"/>
  </si>
  <si>
    <t>인포</t>
    <phoneticPr fontId="5" type="noConversion"/>
  </si>
  <si>
    <t>신화</t>
    <phoneticPr fontId="5" type="noConversion"/>
  </si>
  <si>
    <t>창조</t>
    <phoneticPr fontId="5" type="noConversion"/>
  </si>
  <si>
    <t>미수금 현황</t>
    <phoneticPr fontId="5" type="noConversion"/>
  </si>
  <si>
    <t>작성일</t>
    <phoneticPr fontId="5" type="noConversion"/>
  </si>
  <si>
    <t>거래처명</t>
    <phoneticPr fontId="5" type="noConversion"/>
  </si>
  <si>
    <t>품목명</t>
    <phoneticPr fontId="5" type="noConversion"/>
  </si>
  <si>
    <t>수량</t>
    <phoneticPr fontId="5" type="noConversion"/>
  </si>
  <si>
    <t>판매금액</t>
    <phoneticPr fontId="5" type="noConversion"/>
  </si>
  <si>
    <t>미수금</t>
    <phoneticPr fontId="5" type="noConversion"/>
  </si>
  <si>
    <t>고려화학</t>
    <phoneticPr fontId="5" type="noConversion"/>
  </si>
  <si>
    <t>Blue</t>
    <phoneticPr fontId="5" type="noConversion"/>
  </si>
  <si>
    <t>명지페인트</t>
    <phoneticPr fontId="5" type="noConversion"/>
  </si>
  <si>
    <t>Red300</t>
    <phoneticPr fontId="5" type="noConversion"/>
  </si>
  <si>
    <t>삼화페인트</t>
    <phoneticPr fontId="5" type="noConversion"/>
  </si>
  <si>
    <t>Violet550</t>
    <phoneticPr fontId="5" type="noConversion"/>
  </si>
  <si>
    <t>고려화학</t>
    <phoneticPr fontId="5" type="noConversion"/>
  </si>
  <si>
    <t>Red334</t>
    <phoneticPr fontId="5" type="noConversion"/>
  </si>
  <si>
    <t>삼화페인트</t>
    <phoneticPr fontId="5" type="noConversion"/>
  </si>
  <si>
    <t>Yellow</t>
    <phoneticPr fontId="5" type="noConversion"/>
  </si>
  <si>
    <t>명지페인트</t>
    <phoneticPr fontId="5" type="noConversion"/>
  </si>
  <si>
    <t>Violet600</t>
    <phoneticPr fontId="5" type="noConversion"/>
  </si>
  <si>
    <t>작성일시</t>
    <phoneticPr fontId="5" type="noConversion"/>
  </si>
  <si>
    <t>공사계획표</t>
  </si>
  <si>
    <t>공사구간</t>
    <phoneticPr fontId="5" type="noConversion"/>
  </si>
  <si>
    <t>공사개시일</t>
    <phoneticPr fontId="5" type="noConversion"/>
  </si>
  <si>
    <t>공사기간(월)</t>
    <phoneticPr fontId="5" type="noConversion"/>
  </si>
  <si>
    <t>완공예정일</t>
    <phoneticPr fontId="5" type="noConversion"/>
  </si>
  <si>
    <t>비고란</t>
    <phoneticPr fontId="5" type="noConversion"/>
  </si>
  <si>
    <t>1구간</t>
    <phoneticPr fontId="5" type="noConversion"/>
  </si>
  <si>
    <t>년</t>
    <phoneticPr fontId="5" type="noConversion"/>
  </si>
  <si>
    <t>월</t>
    <phoneticPr fontId="5" type="noConversion"/>
  </si>
  <si>
    <t>일</t>
    <phoneticPr fontId="5" type="noConversion"/>
  </si>
  <si>
    <t>(목)</t>
    <phoneticPr fontId="5" type="noConversion"/>
  </si>
  <si>
    <t>공사시작</t>
    <phoneticPr fontId="5" type="noConversion"/>
  </si>
  <si>
    <t>2구간</t>
  </si>
  <si>
    <t>(금)</t>
    <phoneticPr fontId="5" type="noConversion"/>
  </si>
  <si>
    <t>3구간</t>
  </si>
  <si>
    <t>일</t>
  </si>
  <si>
    <t>(월)</t>
    <phoneticPr fontId="5" type="noConversion"/>
  </si>
  <si>
    <t>주행시간 예정표</t>
    <phoneticPr fontId="5" type="noConversion"/>
  </si>
  <si>
    <t>주행코스</t>
    <phoneticPr fontId="5" type="noConversion"/>
  </si>
  <si>
    <t>주행개시시각</t>
    <phoneticPr fontId="5" type="noConversion"/>
  </si>
  <si>
    <t>주행시간(분)</t>
    <phoneticPr fontId="5" type="noConversion"/>
  </si>
  <si>
    <t>도착예정시각</t>
    <phoneticPr fontId="5" type="noConversion"/>
  </si>
  <si>
    <t>메모</t>
    <phoneticPr fontId="5" type="noConversion"/>
  </si>
  <si>
    <t>1코스</t>
    <phoneticPr fontId="5" type="noConversion"/>
  </si>
  <si>
    <t>시</t>
    <phoneticPr fontId="5" type="noConversion"/>
  </si>
  <si>
    <t>분</t>
    <phoneticPr fontId="5" type="noConversion"/>
  </si>
  <si>
    <t>초</t>
    <phoneticPr fontId="5" type="noConversion"/>
  </si>
  <si>
    <t>주행시작</t>
    <phoneticPr fontId="5" type="noConversion"/>
  </si>
  <si>
    <t>시</t>
    <phoneticPr fontId="5" type="noConversion"/>
  </si>
  <si>
    <t>분</t>
    <phoneticPr fontId="5" type="noConversion"/>
  </si>
  <si>
    <t>주행시작</t>
    <phoneticPr fontId="5" type="noConversion"/>
  </si>
  <si>
    <t>분</t>
    <phoneticPr fontId="5" type="noConversion"/>
  </si>
  <si>
    <t>동호 회원</t>
    <phoneticPr fontId="5" type="noConversion"/>
  </si>
  <si>
    <t>회원명</t>
    <phoneticPr fontId="5" type="noConversion"/>
  </si>
  <si>
    <t>생년월일</t>
    <phoneticPr fontId="5" type="noConversion"/>
  </si>
  <si>
    <t>요일</t>
    <phoneticPr fontId="5" type="noConversion"/>
  </si>
  <si>
    <t>김상식</t>
    <phoneticPr fontId="5" type="noConversion"/>
  </si>
  <si>
    <t>이아영</t>
    <phoneticPr fontId="5" type="noConversion"/>
  </si>
  <si>
    <t>소시지</t>
    <phoneticPr fontId="5" type="noConversion"/>
  </si>
  <si>
    <t>박사영</t>
    <phoneticPr fontId="5" type="noConversion"/>
  </si>
  <si>
    <t>유정철</t>
    <phoneticPr fontId="5" type="noConversion"/>
  </si>
  <si>
    <t>송강</t>
    <phoneticPr fontId="5" type="noConversion"/>
  </si>
  <si>
    <t>임인성</t>
    <phoneticPr fontId="5" type="noConversion"/>
  </si>
  <si>
    <t>시작 날짜</t>
    <phoneticPr fontId="2" type="noConversion"/>
  </si>
  <si>
    <t>개월</t>
    <phoneticPr fontId="2" type="noConversion"/>
  </si>
  <si>
    <t>마지막 날짜</t>
    <phoneticPr fontId="2" type="noConversion"/>
  </si>
  <si>
    <t>시작 날짜</t>
    <phoneticPr fontId="2" type="noConversion"/>
  </si>
  <si>
    <t>작업일</t>
    <phoneticPr fontId="2" type="noConversion"/>
  </si>
  <si>
    <t>공휴일1</t>
    <phoneticPr fontId="2" type="noConversion"/>
  </si>
  <si>
    <t>공휴일2</t>
    <phoneticPr fontId="2" type="noConversion"/>
  </si>
  <si>
    <t>작업완료일</t>
    <phoneticPr fontId="2" type="noConversion"/>
  </si>
  <si>
    <t>독거 노인 잔치 예정표</t>
    <phoneticPr fontId="5" type="noConversion"/>
  </si>
  <si>
    <t>고객성명</t>
    <phoneticPr fontId="5" type="noConversion"/>
  </si>
  <si>
    <t>생년월일</t>
    <phoneticPr fontId="5" type="noConversion"/>
  </si>
  <si>
    <t>거주동</t>
    <phoneticPr fontId="5" type="noConversion"/>
  </si>
  <si>
    <t>잔치예정</t>
    <phoneticPr fontId="5" type="noConversion"/>
  </si>
  <si>
    <t>황금려</t>
    <phoneticPr fontId="5" type="noConversion"/>
  </si>
  <si>
    <t>풍납동</t>
    <phoneticPr fontId="5" type="noConversion"/>
  </si>
  <si>
    <t>진재연</t>
    <phoneticPr fontId="5" type="noConversion"/>
  </si>
  <si>
    <t>등촌동</t>
    <phoneticPr fontId="5" type="noConversion"/>
  </si>
  <si>
    <t>박승호</t>
    <phoneticPr fontId="5" type="noConversion"/>
  </si>
  <si>
    <t>이문동</t>
    <phoneticPr fontId="5" type="noConversion"/>
  </si>
  <si>
    <t>최남성</t>
    <phoneticPr fontId="5" type="noConversion"/>
  </si>
  <si>
    <t>금호동</t>
    <phoneticPr fontId="5" type="noConversion"/>
  </si>
  <si>
    <t>강진형</t>
    <phoneticPr fontId="5" type="noConversion"/>
  </si>
  <si>
    <t>양재동</t>
    <phoneticPr fontId="5" type="noConversion"/>
  </si>
  <si>
    <t>장형화</t>
    <phoneticPr fontId="5" type="noConversion"/>
  </si>
  <si>
    <t>미아동</t>
    <phoneticPr fontId="5" type="noConversion"/>
  </si>
  <si>
    <t>장링호</t>
    <phoneticPr fontId="5" type="noConversion"/>
  </si>
  <si>
    <t>상계동</t>
    <phoneticPr fontId="5" type="noConversion"/>
  </si>
  <si>
    <t>은정수</t>
    <phoneticPr fontId="5" type="noConversion"/>
  </si>
  <si>
    <t>창동</t>
    <phoneticPr fontId="5" type="noConversion"/>
  </si>
  <si>
    <t>김석주</t>
    <phoneticPr fontId="5" type="noConversion"/>
  </si>
  <si>
    <t>명일동</t>
    <phoneticPr fontId="5" type="noConversion"/>
  </si>
  <si>
    <t>민경수</t>
    <phoneticPr fontId="5" type="noConversion"/>
  </si>
  <si>
    <t>응봉동</t>
    <phoneticPr fontId="5" type="noConversion"/>
  </si>
  <si>
    <t>날짜의 일련번호</t>
    <phoneticPr fontId="5" type="noConversion"/>
  </si>
  <si>
    <t>날짜</t>
    <phoneticPr fontId="5" type="noConversion"/>
  </si>
  <si>
    <t>일련번호</t>
    <phoneticPr fontId="5" type="noConversion"/>
  </si>
  <si>
    <t>신정</t>
    <phoneticPr fontId="5" type="noConversion"/>
  </si>
  <si>
    <t>삼일절</t>
    <phoneticPr fontId="5" type="noConversion"/>
  </si>
  <si>
    <t>어린이날</t>
    <phoneticPr fontId="5" type="noConversion"/>
  </si>
  <si>
    <t>적금시작일</t>
    <phoneticPr fontId="2" type="noConversion"/>
  </si>
  <si>
    <t>개월</t>
    <phoneticPr fontId="2" type="noConversion"/>
  </si>
  <si>
    <t>적금만기일</t>
    <phoneticPr fontId="2" type="noConversion"/>
  </si>
  <si>
    <t>대출상환일</t>
    <phoneticPr fontId="5" type="noConversion"/>
  </si>
  <si>
    <t>대출일</t>
    <phoneticPr fontId="2" type="noConversion"/>
  </si>
  <si>
    <t>적금시작일</t>
    <phoneticPr fontId="2" type="noConversion"/>
  </si>
  <si>
    <t>적금만기일</t>
    <phoneticPr fontId="2" type="noConversion"/>
  </si>
  <si>
    <t>대출상환일</t>
    <phoneticPr fontId="5" type="noConversion"/>
  </si>
  <si>
    <t>개월</t>
    <phoneticPr fontId="2" type="noConversion"/>
  </si>
  <si>
    <t>날짜</t>
  </si>
  <si>
    <t>설명</t>
  </si>
  <si>
    <t>프로젝트 시작 날짜입니다.</t>
  </si>
  <si>
    <t>프로젝트 끝 날짜입니다.</t>
  </si>
  <si>
    <t>공휴일입니다.</t>
  </si>
  <si>
    <t>근무일수</t>
    <phoneticPr fontId="5" type="noConversion"/>
  </si>
  <si>
    <t>날짜</t>
    <phoneticPr fontId="2" type="noConversion"/>
  </si>
  <si>
    <t>몇번째 주?</t>
    <phoneticPr fontId="5" type="noConversion"/>
  </si>
  <si>
    <t>생년월일</t>
    <phoneticPr fontId="5" type="noConversion"/>
  </si>
  <si>
    <t>거주동</t>
    <phoneticPr fontId="5" type="noConversion"/>
  </si>
  <si>
    <t>잔치예정</t>
    <phoneticPr fontId="5" type="noConversion"/>
  </si>
  <si>
    <t>황금려</t>
    <phoneticPr fontId="5" type="noConversion"/>
  </si>
  <si>
    <t>풍납동</t>
    <phoneticPr fontId="5" type="noConversion"/>
  </si>
  <si>
    <t>진재연</t>
    <phoneticPr fontId="5" type="noConversion"/>
  </si>
  <si>
    <t>등촌동</t>
    <phoneticPr fontId="5" type="noConversion"/>
  </si>
  <si>
    <t>박승호</t>
    <phoneticPr fontId="5" type="noConversion"/>
  </si>
  <si>
    <t>이문동</t>
    <phoneticPr fontId="5" type="noConversion"/>
  </si>
  <si>
    <t>최남성</t>
    <phoneticPr fontId="5" type="noConversion"/>
  </si>
  <si>
    <t>금호동</t>
    <phoneticPr fontId="5" type="noConversion"/>
  </si>
  <si>
    <t>강진형</t>
    <phoneticPr fontId="5" type="noConversion"/>
  </si>
  <si>
    <t>장형화</t>
    <phoneticPr fontId="5" type="noConversion"/>
  </si>
  <si>
    <t>미아동</t>
    <phoneticPr fontId="5" type="noConversion"/>
  </si>
  <si>
    <t>장링호</t>
    <phoneticPr fontId="5" type="noConversion"/>
  </si>
  <si>
    <t>상계동</t>
    <phoneticPr fontId="5" type="noConversion"/>
  </si>
  <si>
    <t>은정수</t>
    <phoneticPr fontId="5" type="noConversion"/>
  </si>
  <si>
    <t>창동</t>
    <phoneticPr fontId="5" type="noConversion"/>
  </si>
  <si>
    <t>명일동</t>
    <phoneticPr fontId="5" type="noConversion"/>
  </si>
  <si>
    <t>민경수</t>
    <phoneticPr fontId="5" type="noConversion"/>
  </si>
  <si>
    <t>응봉동</t>
    <phoneticPr fontId="5" type="noConversion"/>
  </si>
  <si>
    <t>탈퇴회원 보상금 산출</t>
    <phoneticPr fontId="5" type="noConversion"/>
  </si>
  <si>
    <t>가입비</t>
    <phoneticPr fontId="5" type="noConversion"/>
  </si>
  <si>
    <t>가입일</t>
    <phoneticPr fontId="5" type="noConversion"/>
  </si>
  <si>
    <t>탈퇴일</t>
    <phoneticPr fontId="5" type="noConversion"/>
  </si>
  <si>
    <t>보상금</t>
    <phoneticPr fontId="5" type="noConversion"/>
  </si>
  <si>
    <t>김선우</t>
    <phoneticPr fontId="5" type="noConversion"/>
  </si>
  <si>
    <t>유세준</t>
    <phoneticPr fontId="5" type="noConversion"/>
  </si>
  <si>
    <t>손상훈</t>
    <phoneticPr fontId="5" type="noConversion"/>
  </si>
  <si>
    <t>김승완</t>
    <phoneticPr fontId="5" type="noConversion"/>
  </si>
  <si>
    <t>박진수</t>
    <phoneticPr fontId="5" type="noConversion"/>
  </si>
  <si>
    <t>정명우</t>
    <phoneticPr fontId="5" type="noConversion"/>
  </si>
  <si>
    <t>조성진</t>
    <phoneticPr fontId="5" type="noConversion"/>
  </si>
  <si>
    <t>최정일</t>
    <phoneticPr fontId="5" type="noConversion"/>
  </si>
  <si>
    <t>전승호</t>
    <phoneticPr fontId="5" type="noConversion"/>
  </si>
  <si>
    <t>이동찬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</si>
</sst>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₩&quot;* #,##0_-;\-&quot;₩&quot;* #,##0_-;_-&quot;₩&quot;* &quot;-&quot;_-;_-@_-"/>
    <numFmt numFmtId="41" formatCode="_-* #,##0_-;\-* #,##0_-;_-* &quot;-&quot;_-;_-@_-"/>
    <numFmt numFmtId="176" formatCode="yy/mm/dd"/>
    <numFmt numFmtId="177" formatCode="0_);[Red]\(0\)"/>
    <numFmt numFmtId="178" formatCode="&quot;₩&quot;#,##0"/>
    <numFmt numFmtId="179" formatCode="yyyy&quot;/&quot;m&quot;/&quot;d"/>
    <numFmt numFmtId="180" formatCode="mm&quot;월&quot;\ dd&quot;일&quot;"/>
    <numFmt numFmtId="181" formatCode="yy&quot;年&quot;\ m&quot;月&quot;\ d&quot;日&quot;;@"/>
    <numFmt numFmtId="182" formatCode="yyyy&quot;년&quot;\ mm&quot;월&quot;\ dd&quot;일&quot;\ h&quot;시&quot;\ mm&quot;분&quot;"/>
  </numFmts>
  <fonts count="1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3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82">
    <xf numFmtId="0" fontId="0" fillId="0" borderId="0" xfId="0">
      <alignment vertical="center"/>
    </xf>
    <xf numFmtId="0" fontId="4" fillId="0" borderId="1" xfId="3" applyFont="1" applyFill="1" applyBorder="1" applyAlignment="1">
      <alignment horizontal="center" vertical="center"/>
    </xf>
    <xf numFmtId="14" fontId="4" fillId="0" borderId="1" xfId="3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0" borderId="2" xfId="0" applyFont="1" applyFill="1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6" fillId="0" borderId="0" xfId="0" applyFont="1" applyFill="1" applyAlignment="1">
      <alignment horizontal="left" vertical="center"/>
    </xf>
    <xf numFmtId="176" fontId="4" fillId="0" borderId="0" xfId="0" applyNumberFormat="1" applyFont="1" applyFill="1" applyAlignment="1">
      <alignment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vertical="center"/>
    </xf>
    <xf numFmtId="177" fontId="4" fillId="0" borderId="1" xfId="0" applyNumberFormat="1" applyFont="1" applyFill="1" applyBorder="1" applyAlignment="1">
      <alignment vertical="center"/>
    </xf>
    <xf numFmtId="177" fontId="4" fillId="0" borderId="4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vertical="center"/>
    </xf>
    <xf numFmtId="0" fontId="8" fillId="0" borderId="0" xfId="0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20" fontId="4" fillId="0" borderId="1" xfId="0" applyNumberFormat="1" applyFont="1" applyFill="1" applyBorder="1" applyAlignment="1">
      <alignment vertical="center"/>
    </xf>
    <xf numFmtId="0" fontId="6" fillId="0" borderId="0" xfId="0" applyFont="1" applyFill="1" applyAlignment="1">
      <alignment vertical="center"/>
    </xf>
    <xf numFmtId="14" fontId="4" fillId="0" borderId="1" xfId="0" applyNumberFormat="1" applyFont="1" applyFill="1" applyBorder="1" applyAlignment="1">
      <alignment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vertical="center"/>
    </xf>
    <xf numFmtId="41" fontId="4" fillId="0" borderId="6" xfId="1" applyFont="1" applyFill="1" applyBorder="1" applyAlignment="1">
      <alignment vertical="center"/>
    </xf>
    <xf numFmtId="178" fontId="4" fillId="0" borderId="6" xfId="2" applyNumberFormat="1" applyFont="1" applyFill="1" applyBorder="1" applyAlignment="1">
      <alignment vertical="center"/>
    </xf>
    <xf numFmtId="178" fontId="4" fillId="0" borderId="1" xfId="2" applyNumberFormat="1" applyFont="1" applyFill="1" applyBorder="1" applyAlignment="1">
      <alignment vertical="center"/>
    </xf>
    <xf numFmtId="22" fontId="4" fillId="0" borderId="1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14" fontId="4" fillId="0" borderId="3" xfId="0" applyNumberFormat="1" applyFont="1" applyFill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 vertical="center"/>
    </xf>
    <xf numFmtId="179" fontId="4" fillId="0" borderId="1" xfId="0" applyNumberFormat="1" applyFont="1" applyFill="1" applyBorder="1" applyAlignment="1">
      <alignment horizontal="center" vertical="center"/>
    </xf>
    <xf numFmtId="177" fontId="4" fillId="0" borderId="4" xfId="0" applyNumberFormat="1" applyFont="1" applyFill="1" applyBorder="1" applyAlignment="1">
      <alignment horizontal="center" vertical="center"/>
    </xf>
    <xf numFmtId="0" fontId="4" fillId="0" borderId="3" xfId="0" applyNumberFormat="1" applyFont="1" applyFill="1" applyBorder="1" applyAlignment="1">
      <alignment vertical="center"/>
    </xf>
    <xf numFmtId="0" fontId="4" fillId="0" borderId="7" xfId="0" applyNumberFormat="1" applyFont="1" applyFill="1" applyBorder="1" applyAlignment="1">
      <alignment horizontal="left" vertical="center"/>
    </xf>
    <xf numFmtId="0" fontId="4" fillId="0" borderId="7" xfId="0" applyNumberFormat="1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>
      <alignment vertical="center"/>
    </xf>
    <xf numFmtId="21" fontId="4" fillId="0" borderId="1" xfId="0" applyNumberFormat="1" applyFont="1" applyFill="1" applyBorder="1" applyAlignment="1">
      <alignment horizontal="center" vertical="center"/>
    </xf>
    <xf numFmtId="19" fontId="4" fillId="0" borderId="1" xfId="0" applyNumberFormat="1" applyFont="1" applyFill="1" applyBorder="1" applyAlignment="1">
      <alignment horizontal="center" vertical="center"/>
    </xf>
    <xf numFmtId="0" fontId="4" fillId="0" borderId="9" xfId="0" applyNumberFormat="1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76" fontId="4" fillId="0" borderId="1" xfId="0" applyNumberFormat="1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horizontal="center" vertical="center"/>
    </xf>
    <xf numFmtId="0" fontId="9" fillId="0" borderId="0" xfId="4" applyFont="1" applyFill="1" applyAlignment="1">
      <alignment vertical="center"/>
    </xf>
    <xf numFmtId="0" fontId="9" fillId="0" borderId="1" xfId="4" applyFont="1" applyFill="1" applyBorder="1" applyAlignment="1">
      <alignment horizontal="center" vertical="center"/>
    </xf>
    <xf numFmtId="14" fontId="9" fillId="0" borderId="1" xfId="4" applyNumberFormat="1" applyFont="1" applyFill="1" applyBorder="1" applyAlignment="1">
      <alignment horizontal="center" vertical="center"/>
    </xf>
    <xf numFmtId="0" fontId="9" fillId="0" borderId="1" xfId="4" applyNumberFormat="1" applyFont="1" applyFill="1" applyBorder="1" applyAlignment="1">
      <alignment horizontal="center" vertical="center"/>
    </xf>
    <xf numFmtId="180" fontId="9" fillId="0" borderId="1" xfId="4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2" borderId="1" xfId="3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77" fontId="4" fillId="2" borderId="1" xfId="0" applyNumberFormat="1" applyFont="1" applyFill="1" applyBorder="1" applyAlignment="1">
      <alignment horizontal="center" vertical="center"/>
    </xf>
    <xf numFmtId="0" fontId="9" fillId="2" borderId="1" xfId="4" applyFont="1" applyFill="1" applyBorder="1" applyAlignment="1">
      <alignment horizontal="center" vertical="center"/>
    </xf>
    <xf numFmtId="22" fontId="4" fillId="0" borderId="1" xfId="3" applyNumberFormat="1" applyFont="1" applyBorder="1" applyAlignment="1">
      <alignment horizontal="center" vertical="center"/>
    </xf>
    <xf numFmtId="177" fontId="4" fillId="0" borderId="1" xfId="0" applyNumberFormat="1" applyFont="1" applyBorder="1" applyAlignment="1">
      <alignment vertical="center"/>
    </xf>
    <xf numFmtId="41" fontId="4" fillId="0" borderId="1" xfId="1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181" fontId="4" fillId="0" borderId="1" xfId="0" applyNumberFormat="1" applyFont="1" applyBorder="1" applyAlignment="1">
      <alignment vertical="center"/>
    </xf>
    <xf numFmtId="182" fontId="4" fillId="0" borderId="1" xfId="0" applyNumberFormat="1" applyFont="1" applyBorder="1" applyAlignment="1">
      <alignment vertical="center"/>
    </xf>
    <xf numFmtId="14" fontId="9" fillId="0" borderId="1" xfId="4" applyNumberFormat="1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0" fillId="2" borderId="1" xfId="4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1" xfId="0" applyFont="1" applyFill="1" applyBorder="1" applyAlignment="1">
      <alignment horizontal="center" vertical="center"/>
    </xf>
    <xf numFmtId="22" fontId="4" fillId="0" borderId="3" xfId="0" applyNumberFormat="1" applyFont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/>
    </xf>
    <xf numFmtId="0" fontId="4" fillId="0" borderId="3" xfId="0" applyFont="1" applyBorder="1">
      <alignment vertical="center"/>
    </xf>
    <xf numFmtId="0" fontId="4" fillId="0" borderId="7" xfId="0" applyFont="1" applyBorder="1" applyAlignment="1">
      <alignment horizontal="left" vertical="center"/>
    </xf>
    <xf numFmtId="0" fontId="4" fillId="0" borderId="7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4" fillId="0" borderId="8" xfId="0" applyFont="1" applyBorder="1">
      <alignment vertical="center"/>
    </xf>
    <xf numFmtId="0" fontId="4" fillId="0" borderId="1" xfId="0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</cellXfs>
  <cellStyles count="6">
    <cellStyle name="백분율 2" xfId="5" xr:uid="{00000000-0005-0000-0000-000000000000}"/>
    <cellStyle name="쉼표 [0]" xfId="1" builtinId="6"/>
    <cellStyle name="통화 [0]" xfId="2" builtinId="7"/>
    <cellStyle name="표준" xfId="0" builtinId="0"/>
    <cellStyle name="표준 2" xfId="4" xr:uid="{00000000-0005-0000-0000-000004000000}"/>
    <cellStyle name="표준_소책자(1급)" xfId="3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6"/>
  <sheetViews>
    <sheetView tabSelected="1" workbookViewId="0"/>
  </sheetViews>
  <sheetFormatPr defaultRowHeight="16.5"/>
  <cols>
    <col min="2" max="2" width="11.125" bestFit="1" customWidth="1"/>
  </cols>
  <sheetData>
    <row r="1" spans="1:3">
      <c r="A1" s="1" t="s">
        <v>0</v>
      </c>
      <c r="B1" s="1" t="s">
        <v>1</v>
      </c>
      <c r="C1" s="52" t="s">
        <v>2</v>
      </c>
    </row>
    <row r="2" spans="1:3">
      <c r="A2" s="1" t="s">
        <v>3</v>
      </c>
      <c r="B2" s="2">
        <v>35798</v>
      </c>
      <c r="C2" s="56"/>
    </row>
    <row r="3" spans="1:3">
      <c r="A3" s="1" t="s">
        <v>4</v>
      </c>
      <c r="B3" s="2">
        <v>33880</v>
      </c>
      <c r="C3" s="56"/>
    </row>
    <row r="4" spans="1:3">
      <c r="A4" s="1" t="s">
        <v>5</v>
      </c>
      <c r="B4" s="2">
        <v>34977</v>
      </c>
      <c r="C4" s="56"/>
    </row>
    <row r="5" spans="1:3">
      <c r="A5" s="1" t="s">
        <v>6</v>
      </c>
      <c r="B5" s="2">
        <v>37713</v>
      </c>
      <c r="C5" s="56"/>
    </row>
    <row r="6" spans="1:3">
      <c r="A6" s="1" t="s">
        <v>7</v>
      </c>
      <c r="B6" s="2">
        <v>35462</v>
      </c>
      <c r="C6" s="56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6"/>
  <sheetViews>
    <sheetView workbookViewId="0"/>
  </sheetViews>
  <sheetFormatPr defaultRowHeight="16.5"/>
  <cols>
    <col min="2" max="2" width="11.125" bestFit="1" customWidth="1"/>
  </cols>
  <sheetData>
    <row r="1" spans="1:3">
      <c r="A1" s="1" t="s">
        <v>0</v>
      </c>
      <c r="B1" s="1" t="s">
        <v>1</v>
      </c>
      <c r="C1" s="52" t="s">
        <v>2</v>
      </c>
    </row>
    <row r="2" spans="1:3">
      <c r="A2" s="1" t="s">
        <v>3</v>
      </c>
      <c r="B2" s="2">
        <v>35798</v>
      </c>
      <c r="C2" s="56" t="str">
        <f>2025-YEAR(B2)&amp;"년"</f>
        <v>27년</v>
      </c>
    </row>
    <row r="3" spans="1:3">
      <c r="A3" s="1" t="s">
        <v>4</v>
      </c>
      <c r="B3" s="2">
        <v>33880</v>
      </c>
      <c r="C3" s="56" t="str">
        <f t="shared" ref="C3:C6" si="0">2025-YEAR(B3)&amp;"년"</f>
        <v>33년</v>
      </c>
    </row>
    <row r="4" spans="1:3">
      <c r="A4" s="1" t="s">
        <v>5</v>
      </c>
      <c r="B4" s="2">
        <v>34977</v>
      </c>
      <c r="C4" s="56" t="str">
        <f t="shared" si="0"/>
        <v>30년</v>
      </c>
    </row>
    <row r="5" spans="1:3">
      <c r="A5" s="1" t="s">
        <v>6</v>
      </c>
      <c r="B5" s="2">
        <v>37713</v>
      </c>
      <c r="C5" s="56" t="str">
        <f t="shared" si="0"/>
        <v>22년</v>
      </c>
    </row>
    <row r="6" spans="1:3">
      <c r="A6" s="1" t="s">
        <v>7</v>
      </c>
      <c r="B6" s="2">
        <v>35462</v>
      </c>
      <c r="C6" s="56" t="str">
        <f t="shared" si="0"/>
        <v>28년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2"/>
  <sheetViews>
    <sheetView workbookViewId="0"/>
  </sheetViews>
  <sheetFormatPr defaultRowHeight="16.5"/>
  <cols>
    <col min="2" max="2" width="10.75" bestFit="1" customWidth="1"/>
    <col min="6" max="6" width="10.75" bestFit="1" customWidth="1"/>
  </cols>
  <sheetData>
    <row r="1" spans="1:6">
      <c r="A1" s="3" t="s">
        <v>122</v>
      </c>
      <c r="B1" s="64"/>
      <c r="C1" s="65"/>
      <c r="D1" s="66"/>
    </row>
    <row r="2" spans="1:6">
      <c r="A2" s="63" t="s">
        <v>123</v>
      </c>
      <c r="B2" s="63" t="s">
        <v>124</v>
      </c>
      <c r="C2" s="63" t="s">
        <v>125</v>
      </c>
      <c r="D2" s="67" t="s">
        <v>126</v>
      </c>
    </row>
    <row r="3" spans="1:6">
      <c r="A3" s="63" t="s">
        <v>127</v>
      </c>
      <c r="B3" s="20">
        <v>20656</v>
      </c>
      <c r="C3" s="45" t="s">
        <v>128</v>
      </c>
      <c r="D3" s="45"/>
      <c r="F3" s="69"/>
    </row>
    <row r="4" spans="1:6">
      <c r="A4" s="63" t="s">
        <v>129</v>
      </c>
      <c r="B4" s="20">
        <v>13745</v>
      </c>
      <c r="C4" s="45" t="s">
        <v>130</v>
      </c>
      <c r="D4" s="45"/>
      <c r="F4" s="69"/>
    </row>
    <row r="5" spans="1:6">
      <c r="A5" s="63" t="s">
        <v>131</v>
      </c>
      <c r="B5" s="20">
        <v>17785</v>
      </c>
      <c r="C5" s="45" t="s">
        <v>132</v>
      </c>
      <c r="D5" s="45"/>
      <c r="F5" s="69"/>
    </row>
    <row r="6" spans="1:6">
      <c r="A6" s="63" t="s">
        <v>133</v>
      </c>
      <c r="B6" s="20">
        <v>24389</v>
      </c>
      <c r="C6" s="45" t="s">
        <v>134</v>
      </c>
      <c r="D6" s="45"/>
      <c r="F6" s="69"/>
    </row>
    <row r="7" spans="1:6">
      <c r="A7" s="63" t="s">
        <v>135</v>
      </c>
      <c r="B7" s="20">
        <v>13615</v>
      </c>
      <c r="C7" s="45" t="s">
        <v>136</v>
      </c>
      <c r="D7" s="45"/>
      <c r="F7" s="69"/>
    </row>
    <row r="8" spans="1:6">
      <c r="A8" s="63" t="s">
        <v>137</v>
      </c>
      <c r="B8" s="20">
        <v>22909</v>
      </c>
      <c r="C8" s="45" t="s">
        <v>138</v>
      </c>
      <c r="D8" s="45"/>
      <c r="F8" s="69"/>
    </row>
    <row r="9" spans="1:6">
      <c r="A9" s="63" t="s">
        <v>139</v>
      </c>
      <c r="B9" s="20">
        <v>15254</v>
      </c>
      <c r="C9" s="45" t="s">
        <v>140</v>
      </c>
      <c r="D9" s="45"/>
      <c r="F9" s="69"/>
    </row>
    <row r="10" spans="1:6">
      <c r="A10" s="63" t="s">
        <v>141</v>
      </c>
      <c r="B10" s="20">
        <v>20758</v>
      </c>
      <c r="C10" s="45" t="s">
        <v>142</v>
      </c>
      <c r="D10" s="45"/>
      <c r="F10" s="69"/>
    </row>
    <row r="11" spans="1:6">
      <c r="A11" s="63" t="s">
        <v>143</v>
      </c>
      <c r="B11" s="20">
        <v>18824</v>
      </c>
      <c r="C11" s="45" t="s">
        <v>144</v>
      </c>
      <c r="D11" s="45"/>
      <c r="F11" s="69"/>
    </row>
    <row r="12" spans="1:6">
      <c r="A12" s="63" t="s">
        <v>145</v>
      </c>
      <c r="B12" s="20">
        <v>24354</v>
      </c>
      <c r="C12" s="45" t="s">
        <v>146</v>
      </c>
      <c r="D12" s="45"/>
      <c r="F12" s="69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2"/>
  <sheetViews>
    <sheetView workbookViewId="0"/>
  </sheetViews>
  <sheetFormatPr defaultRowHeight="16.5"/>
  <cols>
    <col min="2" max="2" width="10.75" bestFit="1" customWidth="1"/>
  </cols>
  <sheetData>
    <row r="1" spans="1:4">
      <c r="A1" s="3" t="s">
        <v>122</v>
      </c>
      <c r="B1" s="64"/>
      <c r="C1" s="65"/>
      <c r="D1" s="66"/>
    </row>
    <row r="2" spans="1:4">
      <c r="A2" s="70" t="s">
        <v>123</v>
      </c>
      <c r="B2" s="70" t="s">
        <v>170</v>
      </c>
      <c r="C2" s="70" t="s">
        <v>171</v>
      </c>
      <c r="D2" s="67" t="s">
        <v>172</v>
      </c>
    </row>
    <row r="3" spans="1:4">
      <c r="A3" s="70" t="s">
        <v>173</v>
      </c>
      <c r="B3" s="20">
        <v>20656</v>
      </c>
      <c r="C3" s="45" t="s">
        <v>174</v>
      </c>
      <c r="D3" s="45" t="str">
        <f>IF(YEAR(B3)=1956,"칠순",IF(YEAR(B3)=1966,"회갑",""))</f>
        <v>칠순</v>
      </c>
    </row>
    <row r="4" spans="1:4">
      <c r="A4" s="70" t="s">
        <v>175</v>
      </c>
      <c r="B4" s="20">
        <v>13745</v>
      </c>
      <c r="C4" s="45" t="s">
        <v>176</v>
      </c>
      <c r="D4" s="45" t="str">
        <f t="shared" ref="D4:D12" si="0">IF(YEAR(B4)=1956,"칠순",IF(YEAR(B4)=1966,"회갑",""))</f>
        <v/>
      </c>
    </row>
    <row r="5" spans="1:4">
      <c r="A5" s="70" t="s">
        <v>177</v>
      </c>
      <c r="B5" s="20">
        <v>17785</v>
      </c>
      <c r="C5" s="45" t="s">
        <v>178</v>
      </c>
      <c r="D5" s="45" t="str">
        <f t="shared" si="0"/>
        <v/>
      </c>
    </row>
    <row r="6" spans="1:4">
      <c r="A6" s="70" t="s">
        <v>179</v>
      </c>
      <c r="B6" s="20">
        <v>24389</v>
      </c>
      <c r="C6" s="45" t="s">
        <v>180</v>
      </c>
      <c r="D6" s="45" t="str">
        <f t="shared" si="0"/>
        <v>회갑</v>
      </c>
    </row>
    <row r="7" spans="1:4">
      <c r="A7" s="70" t="s">
        <v>181</v>
      </c>
      <c r="B7" s="20">
        <v>13615</v>
      </c>
      <c r="C7" s="45" t="s">
        <v>136</v>
      </c>
      <c r="D7" s="45" t="str">
        <f t="shared" si="0"/>
        <v/>
      </c>
    </row>
    <row r="8" spans="1:4">
      <c r="A8" s="70" t="s">
        <v>182</v>
      </c>
      <c r="B8" s="20">
        <v>22909</v>
      </c>
      <c r="C8" s="45" t="s">
        <v>183</v>
      </c>
      <c r="D8" s="45" t="str">
        <f t="shared" si="0"/>
        <v/>
      </c>
    </row>
    <row r="9" spans="1:4">
      <c r="A9" s="70" t="s">
        <v>184</v>
      </c>
      <c r="B9" s="20">
        <v>15254</v>
      </c>
      <c r="C9" s="45" t="s">
        <v>185</v>
      </c>
      <c r="D9" s="45" t="str">
        <f t="shared" si="0"/>
        <v/>
      </c>
    </row>
    <row r="10" spans="1:4">
      <c r="A10" s="70" t="s">
        <v>186</v>
      </c>
      <c r="B10" s="20">
        <v>20758</v>
      </c>
      <c r="C10" s="45" t="s">
        <v>187</v>
      </c>
      <c r="D10" s="45" t="str">
        <f t="shared" si="0"/>
        <v>칠순</v>
      </c>
    </row>
    <row r="11" spans="1:4">
      <c r="A11" s="70" t="s">
        <v>143</v>
      </c>
      <c r="B11" s="20">
        <v>18824</v>
      </c>
      <c r="C11" s="45" t="s">
        <v>188</v>
      </c>
      <c r="D11" s="45" t="str">
        <f t="shared" si="0"/>
        <v/>
      </c>
    </row>
    <row r="12" spans="1:4">
      <c r="A12" s="70" t="s">
        <v>189</v>
      </c>
      <c r="B12" s="20">
        <v>24354</v>
      </c>
      <c r="C12" s="45" t="s">
        <v>190</v>
      </c>
      <c r="D12" s="45" t="str">
        <f t="shared" si="0"/>
        <v>회갑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6"/>
  <sheetViews>
    <sheetView workbookViewId="0"/>
  </sheetViews>
  <sheetFormatPr defaultRowHeight="16.5"/>
  <cols>
    <col min="2" max="5" width="10.375" customWidth="1"/>
  </cols>
  <sheetData>
    <row r="1" spans="1:5">
      <c r="A1" s="3"/>
      <c r="B1" s="3"/>
      <c r="C1" s="3" t="s">
        <v>8</v>
      </c>
      <c r="D1" s="3"/>
      <c r="E1" s="3"/>
    </row>
    <row r="2" spans="1:5" ht="33">
      <c r="A2" s="4" t="s">
        <v>9</v>
      </c>
      <c r="B2" s="5">
        <v>1</v>
      </c>
      <c r="C2" s="5">
        <v>2</v>
      </c>
      <c r="D2" s="5">
        <v>3</v>
      </c>
      <c r="E2" s="53">
        <v>45748</v>
      </c>
    </row>
    <row r="3" spans="1:5">
      <c r="A3" s="5" t="s">
        <v>10</v>
      </c>
      <c r="B3" s="6">
        <v>150250</v>
      </c>
      <c r="C3" s="6">
        <v>132570</v>
      </c>
      <c r="D3" s="6">
        <v>135720</v>
      </c>
      <c r="E3" s="6">
        <v>137810</v>
      </c>
    </row>
    <row r="4" spans="1:5">
      <c r="A4" s="5" t="s">
        <v>11</v>
      </c>
      <c r="B4" s="6">
        <v>105370</v>
      </c>
      <c r="C4" s="6">
        <v>110540</v>
      </c>
      <c r="D4" s="6">
        <v>114635</v>
      </c>
      <c r="E4" s="6">
        <v>117325</v>
      </c>
    </row>
    <row r="5" spans="1:5">
      <c r="A5" s="5" t="s">
        <v>12</v>
      </c>
      <c r="B5" s="6">
        <v>28435</v>
      </c>
      <c r="C5" s="6">
        <v>29710</v>
      </c>
      <c r="D5" s="6">
        <v>3011</v>
      </c>
      <c r="E5" s="6">
        <v>31445</v>
      </c>
    </row>
    <row r="6" spans="1:5">
      <c r="A6" s="5" t="s">
        <v>13</v>
      </c>
      <c r="B6" s="6">
        <v>9063</v>
      </c>
      <c r="C6" s="6">
        <v>9280</v>
      </c>
      <c r="D6" s="6">
        <v>9547</v>
      </c>
      <c r="E6" s="6">
        <v>9653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6"/>
  <sheetViews>
    <sheetView workbookViewId="0"/>
  </sheetViews>
  <sheetFormatPr defaultRowHeight="16.5"/>
  <cols>
    <col min="2" max="5" width="10.375" customWidth="1"/>
  </cols>
  <sheetData>
    <row r="1" spans="1:5">
      <c r="A1" s="3"/>
      <c r="B1" s="3"/>
      <c r="C1" s="3" t="s">
        <v>8</v>
      </c>
      <c r="D1" s="3"/>
      <c r="E1" s="3"/>
    </row>
    <row r="2" spans="1:5" ht="33">
      <c r="A2" s="4" t="s">
        <v>9</v>
      </c>
      <c r="B2" s="51">
        <v>1</v>
      </c>
      <c r="C2" s="51">
        <v>2</v>
      </c>
      <c r="D2" s="51">
        <v>3</v>
      </c>
      <c r="E2" s="53">
        <f>MONTH(45748)</f>
        <v>4</v>
      </c>
    </row>
    <row r="3" spans="1:5">
      <c r="A3" s="51" t="s">
        <v>10</v>
      </c>
      <c r="B3" s="6">
        <v>150250</v>
      </c>
      <c r="C3" s="6">
        <v>132570</v>
      </c>
      <c r="D3" s="6">
        <v>135720</v>
      </c>
      <c r="E3" s="6">
        <v>137810</v>
      </c>
    </row>
    <row r="4" spans="1:5">
      <c r="A4" s="51" t="s">
        <v>11</v>
      </c>
      <c r="B4" s="6">
        <v>105370</v>
      </c>
      <c r="C4" s="6">
        <v>110540</v>
      </c>
      <c r="D4" s="6">
        <v>114635</v>
      </c>
      <c r="E4" s="6">
        <v>117325</v>
      </c>
    </row>
    <row r="5" spans="1:5">
      <c r="A5" s="51" t="s">
        <v>12</v>
      </c>
      <c r="B5" s="6">
        <v>28435</v>
      </c>
      <c r="C5" s="6">
        <v>29710</v>
      </c>
      <c r="D5" s="6">
        <v>3011</v>
      </c>
      <c r="E5" s="6">
        <v>31445</v>
      </c>
    </row>
    <row r="6" spans="1:5">
      <c r="A6" s="51" t="s">
        <v>13</v>
      </c>
      <c r="B6" s="6">
        <v>9063</v>
      </c>
      <c r="C6" s="6">
        <v>9280</v>
      </c>
      <c r="D6" s="6">
        <v>9547</v>
      </c>
      <c r="E6" s="6">
        <v>9653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6"/>
  <sheetViews>
    <sheetView workbookViewId="0"/>
  </sheetViews>
  <sheetFormatPr defaultRowHeight="16.5"/>
  <cols>
    <col min="2" max="2" width="13.25" bestFit="1" customWidth="1"/>
    <col min="3" max="4" width="12.375" bestFit="1" customWidth="1"/>
  </cols>
  <sheetData>
    <row r="1" spans="1:4">
      <c r="A1" s="7"/>
      <c r="B1" s="8" t="s">
        <v>14</v>
      </c>
      <c r="C1" s="3"/>
      <c r="D1" s="3"/>
    </row>
    <row r="2" spans="1:4">
      <c r="A2" s="3"/>
      <c r="B2" s="3"/>
      <c r="C2" s="3" t="s">
        <v>15</v>
      </c>
      <c r="D2" s="9">
        <v>45698</v>
      </c>
    </row>
    <row r="3" spans="1:4">
      <c r="A3" s="10" t="s">
        <v>16</v>
      </c>
      <c r="B3" s="53" t="s">
        <v>17</v>
      </c>
      <c r="C3" s="11" t="s">
        <v>18</v>
      </c>
      <c r="D3" s="5" t="s">
        <v>19</v>
      </c>
    </row>
    <row r="4" spans="1:4">
      <c r="A4" s="12" t="s">
        <v>20</v>
      </c>
      <c r="B4" s="13"/>
      <c r="C4" s="14">
        <v>5</v>
      </c>
      <c r="D4" s="13">
        <v>15</v>
      </c>
    </row>
    <row r="5" spans="1:4">
      <c r="A5" s="15" t="s">
        <v>21</v>
      </c>
      <c r="B5" s="13"/>
      <c r="C5" s="13">
        <v>7</v>
      </c>
      <c r="D5" s="13">
        <v>10</v>
      </c>
    </row>
    <row r="6" spans="1:4">
      <c r="A6" s="15" t="s">
        <v>22</v>
      </c>
      <c r="B6" s="13"/>
      <c r="C6" s="13">
        <v>9</v>
      </c>
      <c r="D6" s="13">
        <v>9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6"/>
  <sheetViews>
    <sheetView workbookViewId="0"/>
  </sheetViews>
  <sheetFormatPr defaultRowHeight="16.5"/>
  <cols>
    <col min="2" max="2" width="13.25" bestFit="1" customWidth="1"/>
    <col min="3" max="4" width="12.375" bestFit="1" customWidth="1"/>
  </cols>
  <sheetData>
    <row r="1" spans="1:4">
      <c r="A1" s="7"/>
      <c r="B1" s="8" t="s">
        <v>14</v>
      </c>
      <c r="C1" s="3"/>
      <c r="D1" s="3"/>
    </row>
    <row r="2" spans="1:4">
      <c r="A2" s="3"/>
      <c r="B2" s="3"/>
      <c r="C2" s="3" t="s">
        <v>15</v>
      </c>
      <c r="D2" s="9">
        <v>45698</v>
      </c>
    </row>
    <row r="3" spans="1:4">
      <c r="A3" s="10" t="s">
        <v>16</v>
      </c>
      <c r="B3" s="53" t="s">
        <v>17</v>
      </c>
      <c r="C3" s="11" t="s">
        <v>18</v>
      </c>
      <c r="D3" s="51" t="s">
        <v>19</v>
      </c>
    </row>
    <row r="4" spans="1:4">
      <c r="A4" s="12" t="s">
        <v>20</v>
      </c>
      <c r="B4" s="57">
        <f>DAY($D$2)-DAY(C4)</f>
        <v>5</v>
      </c>
      <c r="C4" s="14">
        <v>5</v>
      </c>
      <c r="D4" s="13">
        <v>15</v>
      </c>
    </row>
    <row r="5" spans="1:4">
      <c r="A5" s="15" t="s">
        <v>21</v>
      </c>
      <c r="B5" s="57">
        <f t="shared" ref="B5:B6" si="0">DAY($D$2)-DAY(C5)</f>
        <v>3</v>
      </c>
      <c r="C5" s="13">
        <v>7</v>
      </c>
      <c r="D5" s="13">
        <v>10</v>
      </c>
    </row>
    <row r="6" spans="1:4">
      <c r="A6" s="15" t="s">
        <v>22</v>
      </c>
      <c r="B6" s="57">
        <f t="shared" si="0"/>
        <v>1</v>
      </c>
      <c r="C6" s="13">
        <v>9</v>
      </c>
      <c r="D6" s="13">
        <v>9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8"/>
  <sheetViews>
    <sheetView workbookViewId="0"/>
  </sheetViews>
  <sheetFormatPr defaultRowHeight="16.5"/>
  <cols>
    <col min="1" max="5" width="9.875" customWidth="1"/>
  </cols>
  <sheetData>
    <row r="1" spans="1:5">
      <c r="A1" s="16"/>
      <c r="B1" s="3"/>
      <c r="C1" s="17" t="s">
        <v>23</v>
      </c>
      <c r="D1" s="3"/>
      <c r="E1" s="3"/>
    </row>
    <row r="2" spans="1:5">
      <c r="A2" s="5" t="s">
        <v>24</v>
      </c>
      <c r="B2" s="5" t="s">
        <v>25</v>
      </c>
      <c r="C2" s="5" t="s">
        <v>26</v>
      </c>
      <c r="D2" s="5" t="s">
        <v>27</v>
      </c>
      <c r="E2" s="53" t="s">
        <v>28</v>
      </c>
    </row>
    <row r="3" spans="1:5">
      <c r="A3" s="5" t="s">
        <v>29</v>
      </c>
      <c r="B3" s="18">
        <v>0.375</v>
      </c>
      <c r="C3" s="5" t="s">
        <v>30</v>
      </c>
      <c r="D3" s="18">
        <v>0.47916666666666669</v>
      </c>
      <c r="E3" s="6"/>
    </row>
    <row r="4" spans="1:5">
      <c r="A4" s="5" t="s">
        <v>31</v>
      </c>
      <c r="B4" s="18">
        <v>0.47916666666666669</v>
      </c>
      <c r="C4" s="5" t="s">
        <v>32</v>
      </c>
      <c r="D4" s="18">
        <v>0.60416666666666663</v>
      </c>
      <c r="E4" s="6"/>
    </row>
    <row r="5" spans="1:5">
      <c r="A5" s="5" t="s">
        <v>33</v>
      </c>
      <c r="B5" s="18">
        <v>0.39583333333333331</v>
      </c>
      <c r="C5" s="5" t="s">
        <v>34</v>
      </c>
      <c r="D5" s="18">
        <v>0.64583333333333337</v>
      </c>
      <c r="E5" s="6"/>
    </row>
    <row r="6" spans="1:5">
      <c r="A6" s="5" t="s">
        <v>32</v>
      </c>
      <c r="B6" s="18">
        <v>0.5</v>
      </c>
      <c r="C6" s="5" t="s">
        <v>35</v>
      </c>
      <c r="D6" s="18">
        <v>0.70833333333333337</v>
      </c>
      <c r="E6" s="6"/>
    </row>
    <row r="7" spans="1:5">
      <c r="A7" s="5" t="s">
        <v>30</v>
      </c>
      <c r="B7" s="18">
        <v>0.33333333333333331</v>
      </c>
      <c r="C7" s="5" t="s">
        <v>36</v>
      </c>
      <c r="D7" s="18">
        <v>0.41666666666666669</v>
      </c>
      <c r="E7" s="6"/>
    </row>
    <row r="8" spans="1:5">
      <c r="A8" s="5" t="s">
        <v>37</v>
      </c>
      <c r="B8" s="18">
        <v>0.41666666666666669</v>
      </c>
      <c r="C8" s="5" t="s">
        <v>38</v>
      </c>
      <c r="D8" s="18">
        <v>0.50694444444444442</v>
      </c>
      <c r="E8" s="6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8"/>
  <sheetViews>
    <sheetView workbookViewId="0"/>
  </sheetViews>
  <sheetFormatPr defaultRowHeight="16.5"/>
  <cols>
    <col min="1" max="5" width="9.875" customWidth="1"/>
  </cols>
  <sheetData>
    <row r="1" spans="1:5">
      <c r="A1" s="16"/>
      <c r="B1" s="3"/>
      <c r="C1" s="17" t="s">
        <v>23</v>
      </c>
      <c r="D1" s="3"/>
      <c r="E1" s="3"/>
    </row>
    <row r="2" spans="1:5">
      <c r="A2" s="51" t="s">
        <v>24</v>
      </c>
      <c r="B2" s="51" t="s">
        <v>25</v>
      </c>
      <c r="C2" s="51" t="s">
        <v>26</v>
      </c>
      <c r="D2" s="51" t="s">
        <v>27</v>
      </c>
      <c r="E2" s="53" t="s">
        <v>28</v>
      </c>
    </row>
    <row r="3" spans="1:5">
      <c r="A3" s="51" t="s">
        <v>29</v>
      </c>
      <c r="B3" s="18">
        <v>0.375</v>
      </c>
      <c r="C3" s="51" t="s">
        <v>30</v>
      </c>
      <c r="D3" s="18">
        <v>0.47916666666666669</v>
      </c>
      <c r="E3" s="58">
        <f t="shared" ref="E3:E8" si="0">(HOUR(D3)-HOUR(B3))*4000</f>
        <v>8000</v>
      </c>
    </row>
    <row r="4" spans="1:5">
      <c r="A4" s="51" t="s">
        <v>31</v>
      </c>
      <c r="B4" s="18">
        <v>0.47916666666666669</v>
      </c>
      <c r="C4" s="51" t="s">
        <v>32</v>
      </c>
      <c r="D4" s="18">
        <v>0.60416666666666663</v>
      </c>
      <c r="E4" s="58">
        <f t="shared" si="0"/>
        <v>12000</v>
      </c>
    </row>
    <row r="5" spans="1:5">
      <c r="A5" s="51" t="s">
        <v>33</v>
      </c>
      <c r="B5" s="18">
        <v>0.39583333333333331</v>
      </c>
      <c r="C5" s="51" t="s">
        <v>34</v>
      </c>
      <c r="D5" s="18">
        <v>0.64583333333333337</v>
      </c>
      <c r="E5" s="58">
        <f t="shared" si="0"/>
        <v>24000</v>
      </c>
    </row>
    <row r="6" spans="1:5">
      <c r="A6" s="51" t="s">
        <v>32</v>
      </c>
      <c r="B6" s="18">
        <v>0.5</v>
      </c>
      <c r="C6" s="51" t="s">
        <v>35</v>
      </c>
      <c r="D6" s="18">
        <v>0.70833333333333337</v>
      </c>
      <c r="E6" s="58">
        <f t="shared" si="0"/>
        <v>20000</v>
      </c>
    </row>
    <row r="7" spans="1:5">
      <c r="A7" s="51" t="s">
        <v>30</v>
      </c>
      <c r="B7" s="18">
        <v>0.33333333333333331</v>
      </c>
      <c r="C7" s="51" t="s">
        <v>36</v>
      </c>
      <c r="D7" s="18">
        <v>0.41666666666666669</v>
      </c>
      <c r="E7" s="58">
        <f t="shared" si="0"/>
        <v>8000</v>
      </c>
    </row>
    <row r="8" spans="1:5">
      <c r="A8" s="51" t="s">
        <v>35</v>
      </c>
      <c r="B8" s="18">
        <v>0.41666666666666669</v>
      </c>
      <c r="C8" s="51" t="s">
        <v>38</v>
      </c>
      <c r="D8" s="18">
        <v>0.50694444444444442</v>
      </c>
      <c r="E8" s="58">
        <f t="shared" si="0"/>
        <v>8000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C10"/>
  <sheetViews>
    <sheetView workbookViewId="0"/>
  </sheetViews>
  <sheetFormatPr defaultRowHeight="16.5"/>
  <cols>
    <col min="1" max="1" width="11.375" customWidth="1"/>
    <col min="2" max="2" width="19.375" customWidth="1"/>
    <col min="3" max="3" width="17.125" customWidth="1"/>
  </cols>
  <sheetData>
    <row r="1" spans="1:3">
      <c r="A1" s="3" t="s">
        <v>39</v>
      </c>
      <c r="B1" s="3"/>
      <c r="C1" s="3"/>
    </row>
    <row r="2" spans="1:3">
      <c r="A2" s="5" t="s">
        <v>40</v>
      </c>
      <c r="B2" s="10" t="s">
        <v>41</v>
      </c>
      <c r="C2" s="53" t="s">
        <v>42</v>
      </c>
    </row>
    <row r="3" spans="1:3">
      <c r="A3" s="5" t="s">
        <v>43</v>
      </c>
      <c r="B3" s="71">
        <v>45909.40625</v>
      </c>
      <c r="C3" s="5"/>
    </row>
    <row r="4" spans="1:3">
      <c r="A4" s="5" t="s">
        <v>44</v>
      </c>
      <c r="B4" s="71">
        <v>45909.347453703704</v>
      </c>
      <c r="C4" s="5"/>
    </row>
    <row r="5" spans="1:3">
      <c r="A5" s="5" t="s">
        <v>45</v>
      </c>
      <c r="B5" s="71">
        <v>45910.774305555555</v>
      </c>
      <c r="C5" s="5"/>
    </row>
    <row r="6" spans="1:3">
      <c r="A6" s="5" t="s">
        <v>46</v>
      </c>
      <c r="B6" s="71">
        <v>45909.364583333336</v>
      </c>
      <c r="C6" s="5"/>
    </row>
    <row r="7" spans="1:3">
      <c r="A7" s="5" t="s">
        <v>47</v>
      </c>
      <c r="B7" s="71">
        <v>45910.631944444445</v>
      </c>
      <c r="C7" s="5"/>
    </row>
    <row r="8" spans="1:3">
      <c r="A8" s="5" t="s">
        <v>48</v>
      </c>
      <c r="B8" s="71">
        <v>45909.364583333336</v>
      </c>
      <c r="C8" s="5"/>
    </row>
    <row r="9" spans="1:3">
      <c r="A9" s="5" t="s">
        <v>49</v>
      </c>
      <c r="B9" s="71">
        <v>45911.486111111109</v>
      </c>
      <c r="C9" s="5"/>
    </row>
    <row r="10" spans="1:3">
      <c r="A10" s="5" t="s">
        <v>50</v>
      </c>
      <c r="B10" s="71">
        <v>45909.45</v>
      </c>
      <c r="C10" s="5"/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10"/>
  <sheetViews>
    <sheetView workbookViewId="0"/>
  </sheetViews>
  <sheetFormatPr defaultRowHeight="16.5"/>
  <cols>
    <col min="1" max="1" width="11.375" customWidth="1"/>
    <col min="2" max="2" width="19.375" customWidth="1"/>
    <col min="3" max="3" width="17.125" customWidth="1"/>
  </cols>
  <sheetData>
    <row r="1" spans="1:3">
      <c r="A1" s="3" t="s">
        <v>39</v>
      </c>
      <c r="B1" s="3"/>
      <c r="C1" s="3"/>
    </row>
    <row r="2" spans="1:3">
      <c r="A2" s="51" t="s">
        <v>40</v>
      </c>
      <c r="B2" s="10" t="s">
        <v>39</v>
      </c>
      <c r="C2" s="53" t="s">
        <v>42</v>
      </c>
    </row>
    <row r="3" spans="1:3">
      <c r="A3" s="51" t="s">
        <v>43</v>
      </c>
      <c r="B3" s="71">
        <v>45909.40625</v>
      </c>
      <c r="C3" s="59" t="str">
        <f>HOUR(B3) &amp; "시"&amp; MINUTE(B3) &amp; "분"</f>
        <v>9시45분</v>
      </c>
    </row>
    <row r="4" spans="1:3">
      <c r="A4" s="51" t="s">
        <v>44</v>
      </c>
      <c r="B4" s="71">
        <v>45909.347453703704</v>
      </c>
      <c r="C4" s="59" t="str">
        <f t="shared" ref="C4:C10" si="0">HOUR(B4) &amp; "시"&amp; MINUTE(B4) &amp; "분"</f>
        <v>8시20분</v>
      </c>
    </row>
    <row r="5" spans="1:3">
      <c r="A5" s="51" t="s">
        <v>45</v>
      </c>
      <c r="B5" s="71">
        <v>45910.774305555555</v>
      </c>
      <c r="C5" s="59" t="str">
        <f t="shared" si="0"/>
        <v>18시35분</v>
      </c>
    </row>
    <row r="6" spans="1:3">
      <c r="A6" s="51" t="s">
        <v>46</v>
      </c>
      <c r="B6" s="71">
        <v>45909.364583333336</v>
      </c>
      <c r="C6" s="59" t="str">
        <f t="shared" si="0"/>
        <v>8시45분</v>
      </c>
    </row>
    <row r="7" spans="1:3">
      <c r="A7" s="51" t="s">
        <v>47</v>
      </c>
      <c r="B7" s="71">
        <v>45910.631944444445</v>
      </c>
      <c r="C7" s="59" t="str">
        <f t="shared" si="0"/>
        <v>15시10분</v>
      </c>
    </row>
    <row r="8" spans="1:3">
      <c r="A8" s="51" t="s">
        <v>48</v>
      </c>
      <c r="B8" s="71">
        <v>45909.364583333336</v>
      </c>
      <c r="C8" s="59" t="str">
        <f t="shared" si="0"/>
        <v>8시45분</v>
      </c>
    </row>
    <row r="9" spans="1:3">
      <c r="A9" s="51" t="s">
        <v>49</v>
      </c>
      <c r="B9" s="71">
        <v>45911.486111111109</v>
      </c>
      <c r="C9" s="59" t="str">
        <f t="shared" si="0"/>
        <v>11시40분</v>
      </c>
    </row>
    <row r="10" spans="1:3">
      <c r="A10" s="51" t="s">
        <v>50</v>
      </c>
      <c r="B10" s="71">
        <v>45909.45</v>
      </c>
      <c r="C10" s="59" t="str">
        <f t="shared" si="0"/>
        <v>10시48분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E11"/>
  <sheetViews>
    <sheetView workbookViewId="0"/>
  </sheetViews>
  <sheetFormatPr defaultRowHeight="16.5"/>
  <cols>
    <col min="1" max="1" width="11" bestFit="1" customWidth="1"/>
    <col min="2" max="2" width="10" customWidth="1"/>
    <col min="3" max="3" width="11.625" customWidth="1"/>
    <col min="4" max="5" width="15.25" customWidth="1"/>
  </cols>
  <sheetData>
    <row r="1" spans="1:5">
      <c r="A1" s="3"/>
      <c r="B1" s="3"/>
      <c r="C1" s="19" t="s">
        <v>51</v>
      </c>
      <c r="D1" s="3"/>
      <c r="E1" s="3"/>
    </row>
    <row r="2" spans="1:5">
      <c r="A2" s="3"/>
      <c r="B2" s="3"/>
      <c r="C2" s="3"/>
      <c r="D2" s="3"/>
      <c r="E2" s="3"/>
    </row>
    <row r="3" spans="1:5">
      <c r="A3" s="3"/>
      <c r="B3" s="3"/>
      <c r="C3" s="3"/>
      <c r="D3" s="53" t="s">
        <v>52</v>
      </c>
      <c r="E3" s="20"/>
    </row>
    <row r="4" spans="1:5" ht="17.25" thickBot="1">
      <c r="A4" s="21" t="s">
        <v>53</v>
      </c>
      <c r="B4" s="21" t="s">
        <v>54</v>
      </c>
      <c r="C4" s="21" t="s">
        <v>55</v>
      </c>
      <c r="D4" s="21" t="s">
        <v>56</v>
      </c>
      <c r="E4" s="21" t="s">
        <v>57</v>
      </c>
    </row>
    <row r="5" spans="1:5" ht="17.25" thickTop="1">
      <c r="A5" s="22" t="s">
        <v>58</v>
      </c>
      <c r="B5" s="22" t="s">
        <v>59</v>
      </c>
      <c r="C5" s="23">
        <v>20</v>
      </c>
      <c r="D5" s="24">
        <v>240000</v>
      </c>
      <c r="E5" s="24">
        <v>83720</v>
      </c>
    </row>
    <row r="6" spans="1:5">
      <c r="A6" s="15" t="s">
        <v>60</v>
      </c>
      <c r="B6" s="15" t="s">
        <v>61</v>
      </c>
      <c r="C6" s="6">
        <v>7</v>
      </c>
      <c r="D6" s="25">
        <v>84000</v>
      </c>
      <c r="E6" s="25">
        <v>312000</v>
      </c>
    </row>
    <row r="7" spans="1:5">
      <c r="A7" s="15" t="s">
        <v>62</v>
      </c>
      <c r="B7" s="15" t="s">
        <v>63</v>
      </c>
      <c r="C7" s="6">
        <v>7</v>
      </c>
      <c r="D7" s="25">
        <v>80500</v>
      </c>
      <c r="E7" s="25">
        <v>156000</v>
      </c>
    </row>
    <row r="8" spans="1:5">
      <c r="A8" s="15" t="s">
        <v>64</v>
      </c>
      <c r="B8" s="15" t="s">
        <v>65</v>
      </c>
      <c r="C8" s="6">
        <v>12</v>
      </c>
      <c r="D8" s="25">
        <v>300000</v>
      </c>
      <c r="E8" s="25"/>
    </row>
    <row r="9" spans="1:5">
      <c r="A9" s="15" t="s">
        <v>66</v>
      </c>
      <c r="B9" s="15" t="s">
        <v>67</v>
      </c>
      <c r="C9" s="6">
        <v>12</v>
      </c>
      <c r="D9" s="25">
        <v>150000</v>
      </c>
      <c r="E9" s="25"/>
    </row>
    <row r="10" spans="1:5">
      <c r="A10" s="15" t="s">
        <v>68</v>
      </c>
      <c r="B10" s="15" t="s">
        <v>63</v>
      </c>
      <c r="C10" s="6">
        <v>7</v>
      </c>
      <c r="D10" s="25">
        <v>80500</v>
      </c>
      <c r="E10" s="25">
        <v>130000</v>
      </c>
    </row>
    <row r="11" spans="1:5">
      <c r="A11" s="15" t="s">
        <v>66</v>
      </c>
      <c r="B11" s="15" t="s">
        <v>69</v>
      </c>
      <c r="C11" s="6">
        <v>15</v>
      </c>
      <c r="D11" s="25">
        <v>278250</v>
      </c>
      <c r="E11" s="25">
        <v>702000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11"/>
  <sheetViews>
    <sheetView workbookViewId="0"/>
  </sheetViews>
  <sheetFormatPr defaultRowHeight="16.5"/>
  <cols>
    <col min="1" max="1" width="11" bestFit="1" customWidth="1"/>
    <col min="2" max="2" width="10" customWidth="1"/>
    <col min="3" max="3" width="11.625" customWidth="1"/>
    <col min="4" max="5" width="15.25" customWidth="1"/>
  </cols>
  <sheetData>
    <row r="1" spans="1:5">
      <c r="A1" s="3"/>
      <c r="B1" s="3"/>
      <c r="C1" s="19" t="s">
        <v>51</v>
      </c>
      <c r="D1" s="3"/>
      <c r="E1" s="3"/>
    </row>
    <row r="2" spans="1:5">
      <c r="A2" s="3"/>
      <c r="B2" s="3"/>
      <c r="C2" s="3"/>
      <c r="D2" s="3"/>
      <c r="E2" s="3"/>
    </row>
    <row r="3" spans="1:5">
      <c r="A3" s="3"/>
      <c r="B3" s="3"/>
      <c r="C3" s="3"/>
      <c r="D3" s="53" t="s">
        <v>52</v>
      </c>
      <c r="E3" s="60">
        <f ca="1">TODAY()</f>
        <v>45222</v>
      </c>
    </row>
    <row r="4" spans="1:5" ht="17.25" thickBot="1">
      <c r="A4" s="21" t="s">
        <v>53</v>
      </c>
      <c r="B4" s="21" t="s">
        <v>54</v>
      </c>
      <c r="C4" s="21" t="s">
        <v>55</v>
      </c>
      <c r="D4" s="21" t="s">
        <v>56</v>
      </c>
      <c r="E4" s="21" t="s">
        <v>57</v>
      </c>
    </row>
    <row r="5" spans="1:5" ht="17.25" thickTop="1">
      <c r="A5" s="22" t="s">
        <v>58</v>
      </c>
      <c r="B5" s="22" t="s">
        <v>59</v>
      </c>
      <c r="C5" s="23">
        <v>20</v>
      </c>
      <c r="D5" s="24">
        <v>240000</v>
      </c>
      <c r="E5" s="24">
        <v>83720</v>
      </c>
    </row>
    <row r="6" spans="1:5">
      <c r="A6" s="15" t="s">
        <v>60</v>
      </c>
      <c r="B6" s="15" t="s">
        <v>61</v>
      </c>
      <c r="C6" s="6">
        <v>7</v>
      </c>
      <c r="D6" s="25">
        <v>84000</v>
      </c>
      <c r="E6" s="25">
        <v>312000</v>
      </c>
    </row>
    <row r="7" spans="1:5">
      <c r="A7" s="15" t="s">
        <v>62</v>
      </c>
      <c r="B7" s="15" t="s">
        <v>63</v>
      </c>
      <c r="C7" s="6">
        <v>7</v>
      </c>
      <c r="D7" s="25">
        <v>80500</v>
      </c>
      <c r="E7" s="25">
        <v>156000</v>
      </c>
    </row>
    <row r="8" spans="1:5">
      <c r="A8" s="15" t="s">
        <v>58</v>
      </c>
      <c r="B8" s="15" t="s">
        <v>65</v>
      </c>
      <c r="C8" s="6">
        <v>12</v>
      </c>
      <c r="D8" s="25">
        <v>300000</v>
      </c>
      <c r="E8" s="25"/>
    </row>
    <row r="9" spans="1:5">
      <c r="A9" s="15" t="s">
        <v>62</v>
      </c>
      <c r="B9" s="15" t="s">
        <v>67</v>
      </c>
      <c r="C9" s="6">
        <v>12</v>
      </c>
      <c r="D9" s="25">
        <v>150000</v>
      </c>
      <c r="E9" s="25"/>
    </row>
    <row r="10" spans="1:5">
      <c r="A10" s="15" t="s">
        <v>60</v>
      </c>
      <c r="B10" s="15" t="s">
        <v>63</v>
      </c>
      <c r="C10" s="6">
        <v>7</v>
      </c>
      <c r="D10" s="25">
        <v>80500</v>
      </c>
      <c r="E10" s="25">
        <v>130000</v>
      </c>
    </row>
    <row r="11" spans="1:5">
      <c r="A11" s="15" t="s">
        <v>62</v>
      </c>
      <c r="B11" s="15" t="s">
        <v>69</v>
      </c>
      <c r="C11" s="6">
        <v>15</v>
      </c>
      <c r="D11" s="25">
        <v>278250</v>
      </c>
      <c r="E11" s="25">
        <v>702000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2:B2"/>
  <sheetViews>
    <sheetView workbookViewId="0"/>
  </sheetViews>
  <sheetFormatPr defaultRowHeight="16.5"/>
  <cols>
    <col min="2" max="2" width="28.625" customWidth="1"/>
  </cols>
  <sheetData>
    <row r="2" spans="1:2">
      <c r="A2" s="53" t="s">
        <v>70</v>
      </c>
      <c r="B2" s="26"/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2:B2"/>
  <sheetViews>
    <sheetView workbookViewId="0"/>
  </sheetViews>
  <sheetFormatPr defaultRowHeight="16.5"/>
  <cols>
    <col min="2" max="2" width="28.625" customWidth="1"/>
  </cols>
  <sheetData>
    <row r="2" spans="1:2">
      <c r="A2" s="53" t="s">
        <v>70</v>
      </c>
      <c r="B2" s="61">
        <f ca="1">NOW()</f>
        <v>45222.890414583337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L5"/>
  <sheetViews>
    <sheetView workbookViewId="0"/>
  </sheetViews>
  <sheetFormatPr defaultRowHeight="16.5"/>
  <cols>
    <col min="2" max="2" width="11" bestFit="1" customWidth="1"/>
    <col min="3" max="3" width="12.375" bestFit="1" customWidth="1"/>
    <col min="4" max="4" width="11" bestFit="1" customWidth="1"/>
    <col min="5" max="5" width="7" customWidth="1"/>
    <col min="6" max="10" width="3.375" customWidth="1"/>
    <col min="11" max="11" width="5.25" customWidth="1"/>
    <col min="12" max="12" width="9.25" customWidth="1"/>
  </cols>
  <sheetData>
    <row r="1" spans="1:12">
      <c r="A1" s="7"/>
      <c r="B1" s="27"/>
      <c r="C1" s="28" t="s">
        <v>71</v>
      </c>
      <c r="D1" s="27"/>
      <c r="E1" s="27"/>
      <c r="F1" s="27"/>
      <c r="G1" s="27"/>
      <c r="H1" s="27"/>
      <c r="I1" s="27"/>
      <c r="J1" s="27"/>
      <c r="K1" s="27"/>
      <c r="L1" s="27"/>
    </row>
    <row r="2" spans="1:12">
      <c r="A2" s="29" t="s">
        <v>72</v>
      </c>
      <c r="B2" s="54" t="s">
        <v>73</v>
      </c>
      <c r="C2" s="11" t="s">
        <v>74</v>
      </c>
      <c r="D2" s="5" t="s">
        <v>75</v>
      </c>
      <c r="E2" s="80" t="s">
        <v>76</v>
      </c>
      <c r="F2" s="80"/>
      <c r="G2" s="80"/>
      <c r="H2" s="80"/>
      <c r="I2" s="80"/>
      <c r="J2" s="80"/>
      <c r="K2" s="80"/>
      <c r="L2" s="80"/>
    </row>
    <row r="3" spans="1:12">
      <c r="A3" s="10" t="s">
        <v>77</v>
      </c>
      <c r="B3" s="31"/>
      <c r="C3" s="32">
        <v>7</v>
      </c>
      <c r="D3" s="72">
        <f>DATE(E3,G3+C3,I3)</f>
        <v>45994</v>
      </c>
      <c r="E3" s="73">
        <v>2025</v>
      </c>
      <c r="F3" s="74" t="s">
        <v>78</v>
      </c>
      <c r="G3" s="75">
        <v>5</v>
      </c>
      <c r="H3" s="75" t="s">
        <v>79</v>
      </c>
      <c r="I3" s="75">
        <v>3</v>
      </c>
      <c r="J3" s="75" t="s">
        <v>80</v>
      </c>
      <c r="K3" s="75" t="s">
        <v>81</v>
      </c>
      <c r="L3" s="76" t="s">
        <v>82</v>
      </c>
    </row>
    <row r="4" spans="1:12">
      <c r="A4" s="5" t="s">
        <v>83</v>
      </c>
      <c r="B4" s="31"/>
      <c r="C4" s="30">
        <v>8</v>
      </c>
      <c r="D4" s="72">
        <f t="shared" ref="D4:D5" si="0">DATE(E4,G4+C4,I4)</f>
        <v>46054</v>
      </c>
      <c r="E4" s="73">
        <v>2025</v>
      </c>
      <c r="F4" s="77" t="s">
        <v>78</v>
      </c>
      <c r="G4" s="78">
        <v>6</v>
      </c>
      <c r="H4" s="78" t="s">
        <v>79</v>
      </c>
      <c r="I4" s="78">
        <v>1</v>
      </c>
      <c r="J4" s="78" t="s">
        <v>80</v>
      </c>
      <c r="K4" s="78" t="s">
        <v>84</v>
      </c>
      <c r="L4" s="79" t="s">
        <v>82</v>
      </c>
    </row>
    <row r="5" spans="1:12">
      <c r="A5" s="5" t="s">
        <v>85</v>
      </c>
      <c r="B5" s="31"/>
      <c r="C5" s="30">
        <v>10</v>
      </c>
      <c r="D5" s="72">
        <f t="shared" si="0"/>
        <v>46144</v>
      </c>
      <c r="E5" s="73">
        <v>2025</v>
      </c>
      <c r="F5" s="74" t="s">
        <v>78</v>
      </c>
      <c r="G5" s="75">
        <v>7</v>
      </c>
      <c r="H5" s="75" t="s">
        <v>79</v>
      </c>
      <c r="I5" s="75">
        <v>2</v>
      </c>
      <c r="J5" s="75" t="s">
        <v>86</v>
      </c>
      <c r="K5" s="75" t="s">
        <v>87</v>
      </c>
      <c r="L5" s="76" t="s">
        <v>82</v>
      </c>
    </row>
  </sheetData>
  <mergeCells count="1">
    <mergeCell ref="E2:L2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L5"/>
  <sheetViews>
    <sheetView workbookViewId="0"/>
  </sheetViews>
  <sheetFormatPr defaultRowHeight="16.5"/>
  <cols>
    <col min="2" max="2" width="11" bestFit="1" customWidth="1"/>
    <col min="3" max="3" width="12.375" bestFit="1" customWidth="1"/>
    <col min="4" max="4" width="11" bestFit="1" customWidth="1"/>
    <col min="5" max="5" width="7" customWidth="1"/>
    <col min="6" max="10" width="3.375" customWidth="1"/>
    <col min="11" max="11" width="5.25" customWidth="1"/>
    <col min="12" max="12" width="9.25" customWidth="1"/>
  </cols>
  <sheetData>
    <row r="1" spans="1:12">
      <c r="A1" s="7"/>
      <c r="B1" s="27"/>
      <c r="C1" s="28" t="s">
        <v>71</v>
      </c>
      <c r="D1" s="27"/>
      <c r="E1" s="27"/>
      <c r="F1" s="27"/>
      <c r="G1" s="27"/>
      <c r="H1" s="27"/>
      <c r="I1" s="27"/>
      <c r="J1" s="27"/>
      <c r="K1" s="27"/>
      <c r="L1" s="27"/>
    </row>
    <row r="2" spans="1:12">
      <c r="A2" s="29" t="s">
        <v>72</v>
      </c>
      <c r="B2" s="54" t="s">
        <v>73</v>
      </c>
      <c r="C2" s="11" t="s">
        <v>74</v>
      </c>
      <c r="D2" s="51" t="s">
        <v>75</v>
      </c>
      <c r="E2" s="80" t="s">
        <v>76</v>
      </c>
      <c r="F2" s="80"/>
      <c r="G2" s="80"/>
      <c r="H2" s="80"/>
      <c r="I2" s="80"/>
      <c r="J2" s="80"/>
      <c r="K2" s="80"/>
      <c r="L2" s="80"/>
    </row>
    <row r="3" spans="1:12">
      <c r="A3" s="10" t="s">
        <v>77</v>
      </c>
      <c r="B3" s="31">
        <f>DATE(E3,G3,I3)</f>
        <v>45780</v>
      </c>
      <c r="C3" s="32">
        <v>7</v>
      </c>
      <c r="D3" s="72">
        <f>DATE(E3,G3+C3,I3)</f>
        <v>45994</v>
      </c>
      <c r="E3" s="73">
        <v>2025</v>
      </c>
      <c r="F3" s="74" t="s">
        <v>78</v>
      </c>
      <c r="G3" s="75">
        <v>5</v>
      </c>
      <c r="H3" s="75" t="s">
        <v>79</v>
      </c>
      <c r="I3" s="75">
        <v>3</v>
      </c>
      <c r="J3" s="75" t="s">
        <v>80</v>
      </c>
      <c r="K3" s="75" t="s">
        <v>81</v>
      </c>
      <c r="L3" s="76" t="s">
        <v>82</v>
      </c>
    </row>
    <row r="4" spans="1:12">
      <c r="A4" s="51" t="s">
        <v>83</v>
      </c>
      <c r="B4" s="31">
        <f t="shared" ref="B4:B5" si="0">DATE(E4,G4,I4)</f>
        <v>45809</v>
      </c>
      <c r="C4" s="30">
        <v>8</v>
      </c>
      <c r="D4" s="72">
        <f t="shared" ref="D4:D5" si="1">DATE(E4,G4+C4,I4)</f>
        <v>46054</v>
      </c>
      <c r="E4" s="73">
        <v>2025</v>
      </c>
      <c r="F4" s="77" t="s">
        <v>78</v>
      </c>
      <c r="G4" s="78">
        <v>6</v>
      </c>
      <c r="H4" s="78" t="s">
        <v>79</v>
      </c>
      <c r="I4" s="78">
        <v>1</v>
      </c>
      <c r="J4" s="78" t="s">
        <v>80</v>
      </c>
      <c r="K4" s="78" t="s">
        <v>84</v>
      </c>
      <c r="L4" s="79" t="s">
        <v>82</v>
      </c>
    </row>
    <row r="5" spans="1:12">
      <c r="A5" s="51" t="s">
        <v>85</v>
      </c>
      <c r="B5" s="31">
        <f t="shared" si="0"/>
        <v>45840</v>
      </c>
      <c r="C5" s="30">
        <v>10</v>
      </c>
      <c r="D5" s="72">
        <f t="shared" si="1"/>
        <v>46144</v>
      </c>
      <c r="E5" s="73">
        <v>2025</v>
      </c>
      <c r="F5" s="74" t="s">
        <v>78</v>
      </c>
      <c r="G5" s="75">
        <v>7</v>
      </c>
      <c r="H5" s="75" t="s">
        <v>79</v>
      </c>
      <c r="I5" s="75">
        <v>2</v>
      </c>
      <c r="J5" s="75" t="s">
        <v>86</v>
      </c>
      <c r="K5" s="75" t="s">
        <v>87</v>
      </c>
      <c r="L5" s="76" t="s">
        <v>82</v>
      </c>
    </row>
  </sheetData>
  <mergeCells count="1">
    <mergeCell ref="E2:L2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K5"/>
  <sheetViews>
    <sheetView workbookViewId="0"/>
  </sheetViews>
  <sheetFormatPr defaultRowHeight="16.5"/>
  <cols>
    <col min="2" max="2" width="13" bestFit="1" customWidth="1"/>
    <col min="3" max="3" width="16.125" bestFit="1" customWidth="1"/>
    <col min="4" max="4" width="13" bestFit="1" customWidth="1"/>
    <col min="5" max="10" width="4.25" customWidth="1"/>
    <col min="11" max="11" width="9.875" customWidth="1"/>
  </cols>
  <sheetData>
    <row r="1" spans="1:11">
      <c r="A1" s="7"/>
      <c r="B1" s="27"/>
      <c r="C1" s="28" t="s">
        <v>88</v>
      </c>
      <c r="D1" s="27"/>
      <c r="E1" s="27"/>
      <c r="F1" s="27"/>
      <c r="G1" s="27"/>
      <c r="H1" s="27"/>
      <c r="I1" s="27"/>
      <c r="J1" s="27"/>
      <c r="K1" s="27"/>
    </row>
    <row r="2" spans="1:11">
      <c r="A2" s="29" t="s">
        <v>89</v>
      </c>
      <c r="B2" s="54" t="s">
        <v>90</v>
      </c>
      <c r="C2" s="11" t="s">
        <v>91</v>
      </c>
      <c r="D2" s="5" t="s">
        <v>92</v>
      </c>
      <c r="E2" s="80" t="s">
        <v>93</v>
      </c>
      <c r="F2" s="80"/>
      <c r="G2" s="80"/>
      <c r="H2" s="80"/>
      <c r="I2" s="80"/>
      <c r="J2" s="80"/>
      <c r="K2" s="80"/>
    </row>
    <row r="3" spans="1:11">
      <c r="A3" s="10" t="s">
        <v>94</v>
      </c>
      <c r="B3" s="40"/>
      <c r="C3" s="32">
        <v>3</v>
      </c>
      <c r="D3" s="41">
        <v>4.7280092592592589E-2</v>
      </c>
      <c r="E3" s="33">
        <v>1</v>
      </c>
      <c r="F3" s="34" t="s">
        <v>95</v>
      </c>
      <c r="G3" s="35">
        <v>5</v>
      </c>
      <c r="H3" s="35" t="s">
        <v>96</v>
      </c>
      <c r="I3" s="35">
        <v>5</v>
      </c>
      <c r="J3" s="36" t="s">
        <v>97</v>
      </c>
      <c r="K3" s="37" t="s">
        <v>98</v>
      </c>
    </row>
    <row r="4" spans="1:11">
      <c r="A4" s="5" t="s">
        <v>83</v>
      </c>
      <c r="B4" s="40"/>
      <c r="C4" s="30">
        <v>8</v>
      </c>
      <c r="D4" s="41">
        <v>5.1446759259259262E-2</v>
      </c>
      <c r="E4" s="42">
        <v>1</v>
      </c>
      <c r="F4" s="38" t="s">
        <v>99</v>
      </c>
      <c r="G4" s="39">
        <v>6</v>
      </c>
      <c r="H4" s="35" t="s">
        <v>100</v>
      </c>
      <c r="I4" s="39">
        <v>5</v>
      </c>
      <c r="J4" s="36" t="s">
        <v>97</v>
      </c>
      <c r="K4" s="37" t="s">
        <v>101</v>
      </c>
    </row>
    <row r="5" spans="1:11">
      <c r="A5" s="5" t="s">
        <v>85</v>
      </c>
      <c r="B5" s="40"/>
      <c r="C5" s="30">
        <v>10</v>
      </c>
      <c r="D5" s="41">
        <v>5.3530092592592594E-2</v>
      </c>
      <c r="E5" s="33">
        <v>1</v>
      </c>
      <c r="F5" s="34" t="s">
        <v>99</v>
      </c>
      <c r="G5" s="35">
        <v>7</v>
      </c>
      <c r="H5" s="35" t="s">
        <v>102</v>
      </c>
      <c r="I5" s="35">
        <v>5</v>
      </c>
      <c r="J5" s="36" t="s">
        <v>97</v>
      </c>
      <c r="K5" s="37" t="s">
        <v>101</v>
      </c>
    </row>
  </sheetData>
  <mergeCells count="1">
    <mergeCell ref="E2:K2"/>
  </mergeCells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K5"/>
  <sheetViews>
    <sheetView workbookViewId="0"/>
  </sheetViews>
  <sheetFormatPr defaultRowHeight="16.5"/>
  <cols>
    <col min="2" max="2" width="13" bestFit="1" customWidth="1"/>
    <col min="3" max="3" width="16.125" bestFit="1" customWidth="1"/>
    <col min="4" max="4" width="13" bestFit="1" customWidth="1"/>
    <col min="5" max="10" width="4.25" customWidth="1"/>
    <col min="11" max="11" width="9.875" customWidth="1"/>
  </cols>
  <sheetData>
    <row r="1" spans="1:11">
      <c r="A1" s="7"/>
      <c r="B1" s="27"/>
      <c r="C1" s="28" t="s">
        <v>88</v>
      </c>
      <c r="D1" s="27"/>
      <c r="E1" s="27"/>
      <c r="F1" s="27"/>
      <c r="G1" s="27"/>
      <c r="H1" s="27"/>
      <c r="I1" s="27"/>
      <c r="J1" s="27"/>
      <c r="K1" s="27"/>
    </row>
    <row r="2" spans="1:11">
      <c r="A2" s="29" t="s">
        <v>89</v>
      </c>
      <c r="B2" s="54" t="s">
        <v>90</v>
      </c>
      <c r="C2" s="11" t="s">
        <v>91</v>
      </c>
      <c r="D2" s="51" t="s">
        <v>92</v>
      </c>
      <c r="E2" s="80" t="s">
        <v>93</v>
      </c>
      <c r="F2" s="80"/>
      <c r="G2" s="80"/>
      <c r="H2" s="80"/>
      <c r="I2" s="80"/>
      <c r="J2" s="80"/>
      <c r="K2" s="80"/>
    </row>
    <row r="3" spans="1:11">
      <c r="A3" s="10" t="s">
        <v>94</v>
      </c>
      <c r="B3" s="40">
        <f>TIME(E3,G3,I3)</f>
        <v>4.5196759259259256E-2</v>
      </c>
      <c r="C3" s="32">
        <v>3</v>
      </c>
      <c r="D3" s="41">
        <v>4.7280092592592589E-2</v>
      </c>
      <c r="E3" s="33">
        <v>1</v>
      </c>
      <c r="F3" s="34" t="s">
        <v>95</v>
      </c>
      <c r="G3" s="35">
        <v>5</v>
      </c>
      <c r="H3" s="35" t="s">
        <v>96</v>
      </c>
      <c r="I3" s="35">
        <v>5</v>
      </c>
      <c r="J3" s="36" t="s">
        <v>97</v>
      </c>
      <c r="K3" s="37" t="s">
        <v>98</v>
      </c>
    </row>
    <row r="4" spans="1:11">
      <c r="A4" s="51" t="s">
        <v>83</v>
      </c>
      <c r="B4" s="40">
        <f t="shared" ref="B4:B5" si="0">TIME(E4,G4,I4)</f>
        <v>4.5891203703703705E-2</v>
      </c>
      <c r="C4" s="30">
        <v>8</v>
      </c>
      <c r="D4" s="41">
        <v>5.1446759259259262E-2</v>
      </c>
      <c r="E4" s="42">
        <v>1</v>
      </c>
      <c r="F4" s="38" t="s">
        <v>95</v>
      </c>
      <c r="G4" s="39">
        <v>6</v>
      </c>
      <c r="H4" s="35" t="s">
        <v>96</v>
      </c>
      <c r="I4" s="39">
        <v>5</v>
      </c>
      <c r="J4" s="36" t="s">
        <v>97</v>
      </c>
      <c r="K4" s="37" t="s">
        <v>98</v>
      </c>
    </row>
    <row r="5" spans="1:11">
      <c r="A5" s="51" t="s">
        <v>85</v>
      </c>
      <c r="B5" s="40">
        <f t="shared" si="0"/>
        <v>4.6585648148148147E-2</v>
      </c>
      <c r="C5" s="30">
        <v>10</v>
      </c>
      <c r="D5" s="41">
        <v>5.3530092592592594E-2</v>
      </c>
      <c r="E5" s="33">
        <v>1</v>
      </c>
      <c r="F5" s="34" t="s">
        <v>95</v>
      </c>
      <c r="G5" s="35">
        <v>7</v>
      </c>
      <c r="H5" s="35" t="s">
        <v>96</v>
      </c>
      <c r="I5" s="35">
        <v>5</v>
      </c>
      <c r="J5" s="36" t="s">
        <v>97</v>
      </c>
      <c r="K5" s="37" t="s">
        <v>98</v>
      </c>
    </row>
  </sheetData>
  <mergeCells count="1">
    <mergeCell ref="E2:K2"/>
  </mergeCells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B6"/>
  <sheetViews>
    <sheetView workbookViewId="0"/>
  </sheetViews>
  <sheetFormatPr defaultRowHeight="16.5"/>
  <sheetData>
    <row r="1" spans="1:2">
      <c r="A1" s="19" t="s">
        <v>147</v>
      </c>
      <c r="B1" s="3"/>
    </row>
    <row r="2" spans="1:2">
      <c r="A2" s="66"/>
      <c r="B2" s="66"/>
    </row>
    <row r="3" spans="1:2">
      <c r="A3" s="63" t="s">
        <v>148</v>
      </c>
      <c r="B3" s="67" t="s">
        <v>149</v>
      </c>
    </row>
    <row r="4" spans="1:2">
      <c r="A4" s="15" t="s">
        <v>150</v>
      </c>
      <c r="B4" s="15"/>
    </row>
    <row r="5" spans="1:2">
      <c r="A5" s="15" t="s">
        <v>151</v>
      </c>
      <c r="B5" s="15"/>
    </row>
    <row r="6" spans="1:2">
      <c r="A6" s="15" t="s">
        <v>152</v>
      </c>
      <c r="B6" s="15"/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B6"/>
  <sheetViews>
    <sheetView workbookViewId="0"/>
  </sheetViews>
  <sheetFormatPr defaultRowHeight="16.5"/>
  <sheetData>
    <row r="1" spans="1:2">
      <c r="A1" s="19" t="s">
        <v>147</v>
      </c>
      <c r="B1" s="3"/>
    </row>
    <row r="2" spans="1:2">
      <c r="A2" s="66"/>
      <c r="B2" s="66"/>
    </row>
    <row r="3" spans="1:2">
      <c r="A3" s="63" t="s">
        <v>148</v>
      </c>
      <c r="B3" s="67" t="s">
        <v>149</v>
      </c>
    </row>
    <row r="4" spans="1:2">
      <c r="A4" s="15" t="s">
        <v>150</v>
      </c>
      <c r="B4" s="15">
        <f>DATEVALUE("2025-01-01")</f>
        <v>45658</v>
      </c>
    </row>
    <row r="5" spans="1:2">
      <c r="A5" s="15" t="s">
        <v>151</v>
      </c>
      <c r="B5" s="15">
        <f>DATEVALUE("2025-03-01")</f>
        <v>45717</v>
      </c>
    </row>
    <row r="6" spans="1:2">
      <c r="A6" s="15" t="s">
        <v>152</v>
      </c>
      <c r="B6" s="15">
        <f>DATEVALUE("2025-05-05")</f>
        <v>45782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C9"/>
  <sheetViews>
    <sheetView workbookViewId="0"/>
  </sheetViews>
  <sheetFormatPr defaultRowHeight="16.5"/>
  <sheetData>
    <row r="1" spans="1:3">
      <c r="A1" s="43"/>
      <c r="B1" s="19" t="s">
        <v>103</v>
      </c>
      <c r="C1" s="3"/>
    </row>
    <row r="2" spans="1:3">
      <c r="A2" s="5" t="s">
        <v>104</v>
      </c>
      <c r="B2" s="5" t="s">
        <v>105</v>
      </c>
      <c r="C2" s="53" t="s">
        <v>106</v>
      </c>
    </row>
    <row r="3" spans="1:3">
      <c r="A3" s="5" t="s">
        <v>107</v>
      </c>
      <c r="B3" s="44">
        <v>24717</v>
      </c>
      <c r="C3" s="5"/>
    </row>
    <row r="4" spans="1:3">
      <c r="A4" s="5" t="s">
        <v>108</v>
      </c>
      <c r="B4" s="44">
        <v>26582</v>
      </c>
      <c r="C4" s="5"/>
    </row>
    <row r="5" spans="1:3">
      <c r="A5" s="5" t="s">
        <v>109</v>
      </c>
      <c r="B5" s="44">
        <v>22271</v>
      </c>
      <c r="C5" s="5"/>
    </row>
    <row r="6" spans="1:3">
      <c r="A6" s="5" t="s">
        <v>110</v>
      </c>
      <c r="B6" s="44">
        <v>27467</v>
      </c>
      <c r="C6" s="5"/>
    </row>
    <row r="7" spans="1:3">
      <c r="A7" s="5" t="s">
        <v>111</v>
      </c>
      <c r="B7" s="44">
        <v>30207</v>
      </c>
      <c r="C7" s="5"/>
    </row>
    <row r="8" spans="1:3">
      <c r="A8" s="5" t="s">
        <v>112</v>
      </c>
      <c r="B8" s="44">
        <v>30819</v>
      </c>
      <c r="C8" s="5"/>
    </row>
    <row r="9" spans="1:3">
      <c r="A9" s="5" t="s">
        <v>113</v>
      </c>
      <c r="B9" s="44">
        <v>30535</v>
      </c>
      <c r="C9" s="5"/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C9"/>
  <sheetViews>
    <sheetView workbookViewId="0">
      <selection activeCell="L31" sqref="L31"/>
    </sheetView>
  </sheetViews>
  <sheetFormatPr defaultRowHeight="16.5"/>
  <sheetData>
    <row r="1" spans="1:3">
      <c r="A1" s="43"/>
      <c r="B1" s="19" t="s">
        <v>103</v>
      </c>
      <c r="C1" s="3"/>
    </row>
    <row r="2" spans="1:3">
      <c r="A2" s="51" t="s">
        <v>104</v>
      </c>
      <c r="B2" s="51" t="s">
        <v>105</v>
      </c>
      <c r="C2" s="53" t="s">
        <v>106</v>
      </c>
    </row>
    <row r="3" spans="1:3">
      <c r="A3" s="51" t="s">
        <v>107</v>
      </c>
      <c r="B3" s="44">
        <v>24717</v>
      </c>
      <c r="C3" s="59" t="str">
        <f>CHOOSE(WEEKDAY(B3,1),"일요일","월요일","화요일","수요일","목요일","금요일","토요일")</f>
        <v>토요일</v>
      </c>
    </row>
    <row r="4" spans="1:3">
      <c r="A4" s="51" t="s">
        <v>108</v>
      </c>
      <c r="B4" s="44">
        <v>26582</v>
      </c>
      <c r="C4" s="59" t="str">
        <f t="shared" ref="C4:C9" si="0">CHOOSE(WEEKDAY(B4,1),"일요일","월요일","화요일","수요일","목요일","금요일","토요일")</f>
        <v>화요일</v>
      </c>
    </row>
    <row r="5" spans="1:3">
      <c r="A5" s="51" t="s">
        <v>109</v>
      </c>
      <c r="B5" s="44">
        <v>22271</v>
      </c>
      <c r="C5" s="59" t="str">
        <f t="shared" si="0"/>
        <v>수요일</v>
      </c>
    </row>
    <row r="6" spans="1:3">
      <c r="A6" s="51" t="s">
        <v>110</v>
      </c>
      <c r="B6" s="44">
        <v>27467</v>
      </c>
      <c r="C6" s="59" t="str">
        <f t="shared" si="0"/>
        <v>금요일</v>
      </c>
    </row>
    <row r="7" spans="1:3">
      <c r="A7" s="51" t="s">
        <v>111</v>
      </c>
      <c r="B7" s="44">
        <v>30207</v>
      </c>
      <c r="C7" s="59" t="str">
        <f t="shared" si="0"/>
        <v>월요일</v>
      </c>
    </row>
    <row r="8" spans="1:3">
      <c r="A8" s="51" t="s">
        <v>112</v>
      </c>
      <c r="B8" s="44">
        <v>30819</v>
      </c>
      <c r="C8" s="59" t="str">
        <f t="shared" si="0"/>
        <v>목요일</v>
      </c>
    </row>
    <row r="9" spans="1:3">
      <c r="A9" s="51" t="s">
        <v>113</v>
      </c>
      <c r="B9" s="44">
        <v>30535</v>
      </c>
      <c r="C9" s="59" t="str">
        <f t="shared" si="0"/>
        <v>일요일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8D64B-F159-4E26-AA6E-51DDC1030654}">
  <dimension ref="A1:E12"/>
  <sheetViews>
    <sheetView workbookViewId="0"/>
  </sheetViews>
  <sheetFormatPr defaultRowHeight="16.5"/>
  <cols>
    <col min="3" max="4" width="9.875" bestFit="1" customWidth="1"/>
  </cols>
  <sheetData>
    <row r="1" spans="1:5">
      <c r="A1" s="78" t="s">
        <v>191</v>
      </c>
      <c r="B1" s="78"/>
      <c r="C1" s="78"/>
      <c r="D1" s="78"/>
      <c r="E1" s="78"/>
    </row>
    <row r="2" spans="1:5">
      <c r="A2" s="59" t="s">
        <v>104</v>
      </c>
      <c r="B2" s="59" t="s">
        <v>192</v>
      </c>
      <c r="C2" s="59" t="s">
        <v>193</v>
      </c>
      <c r="D2" s="59" t="s">
        <v>194</v>
      </c>
      <c r="E2" s="53" t="s">
        <v>195</v>
      </c>
    </row>
    <row r="3" spans="1:5">
      <c r="A3" s="59" t="s">
        <v>196</v>
      </c>
      <c r="B3" s="45">
        <v>30000</v>
      </c>
      <c r="C3" s="81">
        <v>45668</v>
      </c>
      <c r="D3" s="81">
        <v>45925</v>
      </c>
      <c r="E3" s="45"/>
    </row>
    <row r="4" spans="1:5">
      <c r="A4" s="59" t="s">
        <v>197</v>
      </c>
      <c r="B4" s="45">
        <v>50000</v>
      </c>
      <c r="C4" s="81">
        <v>45731</v>
      </c>
      <c r="D4" s="81">
        <v>46004</v>
      </c>
      <c r="E4" s="45"/>
    </row>
    <row r="5" spans="1:5">
      <c r="A5" s="59" t="s">
        <v>198</v>
      </c>
      <c r="B5" s="45">
        <v>20000</v>
      </c>
      <c r="C5" s="81">
        <v>45713</v>
      </c>
      <c r="D5" s="81">
        <v>45798</v>
      </c>
      <c r="E5" s="45"/>
    </row>
    <row r="6" spans="1:5">
      <c r="A6" s="59" t="s">
        <v>199</v>
      </c>
      <c r="B6" s="45">
        <v>30000</v>
      </c>
      <c r="C6" s="81">
        <v>45755</v>
      </c>
      <c r="D6" s="81">
        <v>45883</v>
      </c>
      <c r="E6" s="45"/>
    </row>
    <row r="7" spans="1:5">
      <c r="A7" s="59" t="s">
        <v>200</v>
      </c>
      <c r="B7" s="45">
        <v>30000</v>
      </c>
      <c r="C7" s="81">
        <v>45661</v>
      </c>
      <c r="D7" s="81">
        <v>45692</v>
      </c>
      <c r="E7" s="45"/>
    </row>
    <row r="8" spans="1:5">
      <c r="A8" s="59" t="s">
        <v>201</v>
      </c>
      <c r="B8" s="45">
        <v>20000</v>
      </c>
      <c r="C8" s="81">
        <v>45727</v>
      </c>
      <c r="D8" s="81">
        <v>45919</v>
      </c>
      <c r="E8" s="45"/>
    </row>
    <row r="9" spans="1:5">
      <c r="A9" s="59" t="s">
        <v>202</v>
      </c>
      <c r="B9" s="45">
        <v>50000</v>
      </c>
      <c r="C9" s="81">
        <v>45802</v>
      </c>
      <c r="D9" s="81">
        <v>45991</v>
      </c>
      <c r="E9" s="45"/>
    </row>
    <row r="10" spans="1:5">
      <c r="A10" s="59" t="s">
        <v>203</v>
      </c>
      <c r="B10" s="45">
        <v>50000</v>
      </c>
      <c r="C10" s="81">
        <v>45701</v>
      </c>
      <c r="D10" s="81">
        <v>46015</v>
      </c>
      <c r="E10" s="45"/>
    </row>
    <row r="11" spans="1:5">
      <c r="A11" s="59" t="s">
        <v>204</v>
      </c>
      <c r="B11" s="45">
        <v>20000</v>
      </c>
      <c r="C11" s="81">
        <v>45770</v>
      </c>
      <c r="D11" s="81">
        <v>45821</v>
      </c>
      <c r="E11" s="45"/>
    </row>
    <row r="12" spans="1:5">
      <c r="A12" s="59" t="s">
        <v>205</v>
      </c>
      <c r="B12" s="45">
        <v>30000</v>
      </c>
      <c r="C12" s="81">
        <v>45682</v>
      </c>
      <c r="D12" s="81">
        <v>45860</v>
      </c>
      <c r="E12" s="45"/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5090A-3291-4135-BBAE-385220F24B83}">
  <dimension ref="A1:E12"/>
  <sheetViews>
    <sheetView workbookViewId="0"/>
  </sheetViews>
  <sheetFormatPr defaultRowHeight="16.5"/>
  <cols>
    <col min="3" max="4" width="9.875" bestFit="1" customWidth="1"/>
  </cols>
  <sheetData>
    <row r="1" spans="1:5">
      <c r="A1" s="78" t="s">
        <v>191</v>
      </c>
      <c r="B1" s="78"/>
      <c r="C1" s="78"/>
      <c r="D1" s="78"/>
      <c r="E1" s="78"/>
    </row>
    <row r="2" spans="1:5">
      <c r="A2" s="59" t="s">
        <v>104</v>
      </c>
      <c r="B2" s="59" t="s">
        <v>192</v>
      </c>
      <c r="C2" s="59" t="s">
        <v>193</v>
      </c>
      <c r="D2" s="59" t="s">
        <v>194</v>
      </c>
      <c r="E2" s="53" t="s">
        <v>195</v>
      </c>
    </row>
    <row r="3" spans="1:5">
      <c r="A3" s="59" t="s">
        <v>196</v>
      </c>
      <c r="B3" s="45">
        <v>30000</v>
      </c>
      <c r="C3" s="81">
        <v>45668</v>
      </c>
      <c r="D3" s="81">
        <v>45925</v>
      </c>
      <c r="E3" s="45">
        <f>B3*_xlfn.DAYS(D3,C3)*0.2%</f>
        <v>15420</v>
      </c>
    </row>
    <row r="4" spans="1:5">
      <c r="A4" s="59" t="s">
        <v>197</v>
      </c>
      <c r="B4" s="45">
        <v>50000</v>
      </c>
      <c r="C4" s="81">
        <v>45731</v>
      </c>
      <c r="D4" s="81">
        <v>46004</v>
      </c>
      <c r="E4" s="45">
        <f t="shared" ref="E4:E12" si="0">B4*_xlfn.DAYS(D4,C4)*0.2%</f>
        <v>27300</v>
      </c>
    </row>
    <row r="5" spans="1:5">
      <c r="A5" s="59" t="s">
        <v>198</v>
      </c>
      <c r="B5" s="45">
        <v>20000</v>
      </c>
      <c r="C5" s="81">
        <v>45713</v>
      </c>
      <c r="D5" s="81">
        <v>45798</v>
      </c>
      <c r="E5" s="45">
        <f t="shared" si="0"/>
        <v>3400</v>
      </c>
    </row>
    <row r="6" spans="1:5">
      <c r="A6" s="59" t="s">
        <v>199</v>
      </c>
      <c r="B6" s="45">
        <v>30000</v>
      </c>
      <c r="C6" s="81">
        <v>45755</v>
      </c>
      <c r="D6" s="81">
        <v>45883</v>
      </c>
      <c r="E6" s="45">
        <f t="shared" si="0"/>
        <v>7680</v>
      </c>
    </row>
    <row r="7" spans="1:5">
      <c r="A7" s="59" t="s">
        <v>200</v>
      </c>
      <c r="B7" s="45">
        <v>30000</v>
      </c>
      <c r="C7" s="81">
        <v>45661</v>
      </c>
      <c r="D7" s="81">
        <v>45692</v>
      </c>
      <c r="E7" s="45">
        <f t="shared" si="0"/>
        <v>1860</v>
      </c>
    </row>
    <row r="8" spans="1:5">
      <c r="A8" s="59" t="s">
        <v>201</v>
      </c>
      <c r="B8" s="45">
        <v>20000</v>
      </c>
      <c r="C8" s="81">
        <v>45727</v>
      </c>
      <c r="D8" s="81">
        <v>45919</v>
      </c>
      <c r="E8" s="45">
        <f t="shared" si="0"/>
        <v>7680</v>
      </c>
    </row>
    <row r="9" spans="1:5">
      <c r="A9" s="59" t="s">
        <v>202</v>
      </c>
      <c r="B9" s="45">
        <v>50000</v>
      </c>
      <c r="C9" s="81">
        <v>45802</v>
      </c>
      <c r="D9" s="81">
        <v>45991</v>
      </c>
      <c r="E9" s="45">
        <f t="shared" si="0"/>
        <v>18900</v>
      </c>
    </row>
    <row r="10" spans="1:5">
      <c r="A10" s="59" t="s">
        <v>203</v>
      </c>
      <c r="B10" s="45">
        <v>50000</v>
      </c>
      <c r="C10" s="81">
        <v>45701</v>
      </c>
      <c r="D10" s="81">
        <v>46015</v>
      </c>
      <c r="E10" s="45">
        <f t="shared" si="0"/>
        <v>31400</v>
      </c>
    </row>
    <row r="11" spans="1:5">
      <c r="A11" s="59" t="s">
        <v>204</v>
      </c>
      <c r="B11" s="45">
        <v>20000</v>
      </c>
      <c r="C11" s="81">
        <v>45770</v>
      </c>
      <c r="D11" s="81">
        <v>45821</v>
      </c>
      <c r="E11" s="45">
        <f t="shared" si="0"/>
        <v>2040</v>
      </c>
    </row>
    <row r="12" spans="1:5">
      <c r="A12" s="59" t="s">
        <v>205</v>
      </c>
      <c r="B12" s="45">
        <v>30000</v>
      </c>
      <c r="C12" s="81">
        <v>45682</v>
      </c>
      <c r="D12" s="81">
        <v>45860</v>
      </c>
      <c r="E12" s="45">
        <f t="shared" si="0"/>
        <v>10680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C10"/>
  <sheetViews>
    <sheetView workbookViewId="0"/>
  </sheetViews>
  <sheetFormatPr defaultRowHeight="16.5"/>
  <cols>
    <col min="1" max="1" width="11.125" bestFit="1" customWidth="1"/>
    <col min="3" max="3" width="11.625" bestFit="1" customWidth="1"/>
  </cols>
  <sheetData>
    <row r="1" spans="1:3">
      <c r="A1" s="46"/>
      <c r="B1" s="46"/>
      <c r="C1" s="46"/>
    </row>
    <row r="2" spans="1:3">
      <c r="A2" s="47" t="s">
        <v>153</v>
      </c>
      <c r="B2" s="47" t="s">
        <v>154</v>
      </c>
      <c r="C2" s="68" t="s">
        <v>155</v>
      </c>
    </row>
    <row r="3" spans="1:3">
      <c r="A3" s="48">
        <v>45936</v>
      </c>
      <c r="B3" s="47">
        <v>3</v>
      </c>
      <c r="C3" s="48"/>
    </row>
    <row r="4" spans="1:3">
      <c r="A4" s="48">
        <v>45792</v>
      </c>
      <c r="B4" s="47">
        <v>12</v>
      </c>
      <c r="C4" s="48"/>
    </row>
    <row r="5" spans="1:3">
      <c r="A5" s="48">
        <v>45814</v>
      </c>
      <c r="B5" s="47">
        <v>24</v>
      </c>
      <c r="C5" s="48"/>
    </row>
    <row r="6" spans="1:3">
      <c r="A6" s="46"/>
      <c r="B6" s="46"/>
      <c r="C6" s="46"/>
    </row>
    <row r="7" spans="1:3">
      <c r="A7" s="47" t="s">
        <v>156</v>
      </c>
      <c r="B7" s="47" t="s">
        <v>154</v>
      </c>
      <c r="C7" s="68" t="s">
        <v>157</v>
      </c>
    </row>
    <row r="8" spans="1:3">
      <c r="A8" s="48">
        <v>44962</v>
      </c>
      <c r="B8" s="47">
        <v>-12</v>
      </c>
      <c r="C8" s="48"/>
    </row>
    <row r="9" spans="1:3">
      <c r="A9" s="48">
        <v>45524</v>
      </c>
      <c r="B9" s="47">
        <v>-3</v>
      </c>
      <c r="C9" s="48"/>
    </row>
    <row r="10" spans="1:3">
      <c r="A10" s="48">
        <v>45816</v>
      </c>
      <c r="B10" s="47">
        <v>-24</v>
      </c>
      <c r="C10" s="48"/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C10"/>
  <sheetViews>
    <sheetView workbookViewId="0"/>
  </sheetViews>
  <sheetFormatPr defaultRowHeight="16.5"/>
  <cols>
    <col min="1" max="1" width="11.125" bestFit="1" customWidth="1"/>
    <col min="3" max="3" width="11.625" bestFit="1" customWidth="1"/>
  </cols>
  <sheetData>
    <row r="1" spans="1:3">
      <c r="A1" s="46"/>
      <c r="B1" s="46"/>
      <c r="C1" s="46"/>
    </row>
    <row r="2" spans="1:3">
      <c r="A2" s="47" t="s">
        <v>158</v>
      </c>
      <c r="B2" s="47" t="s">
        <v>115</v>
      </c>
      <c r="C2" s="68" t="s">
        <v>159</v>
      </c>
    </row>
    <row r="3" spans="1:3">
      <c r="A3" s="48">
        <v>45936</v>
      </c>
      <c r="B3" s="47">
        <v>3</v>
      </c>
      <c r="C3" s="48">
        <f>EDATE(A3,B3)</f>
        <v>46028</v>
      </c>
    </row>
    <row r="4" spans="1:3">
      <c r="A4" s="48">
        <v>45792</v>
      </c>
      <c r="B4" s="47">
        <v>12</v>
      </c>
      <c r="C4" s="48">
        <f t="shared" ref="C4:C5" si="0">EDATE(A4,B4)</f>
        <v>46157</v>
      </c>
    </row>
    <row r="5" spans="1:3">
      <c r="A5" s="48">
        <v>45814</v>
      </c>
      <c r="B5" s="47">
        <v>24</v>
      </c>
      <c r="C5" s="48">
        <f t="shared" si="0"/>
        <v>46544</v>
      </c>
    </row>
    <row r="6" spans="1:3">
      <c r="A6" s="46"/>
      <c r="B6" s="46"/>
      <c r="C6" s="46"/>
    </row>
    <row r="7" spans="1:3">
      <c r="A7" s="47" t="s">
        <v>160</v>
      </c>
      <c r="B7" s="47" t="s">
        <v>161</v>
      </c>
      <c r="C7" s="68" t="s">
        <v>157</v>
      </c>
    </row>
    <row r="8" spans="1:3">
      <c r="A8" s="48">
        <v>44962</v>
      </c>
      <c r="B8" s="47">
        <v>-12</v>
      </c>
      <c r="C8" s="48">
        <f>EDATE(A8,B8)</f>
        <v>44597</v>
      </c>
    </row>
    <row r="9" spans="1:3">
      <c r="A9" s="48">
        <v>45524</v>
      </c>
      <c r="B9" s="47">
        <v>-3</v>
      </c>
      <c r="C9" s="48">
        <f>EDATE(A9,B9)</f>
        <v>45432</v>
      </c>
    </row>
    <row r="10" spans="1:3">
      <c r="A10" s="48">
        <v>45816</v>
      </c>
      <c r="B10" s="47">
        <v>-24</v>
      </c>
      <c r="C10" s="48">
        <f t="shared" ref="C10" si="1">EDATE(A10,B10)</f>
        <v>45085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C8"/>
  <sheetViews>
    <sheetView workbookViewId="0"/>
  </sheetViews>
  <sheetFormatPr defaultRowHeight="16.5"/>
  <cols>
    <col min="1" max="1" width="11.125" bestFit="1" customWidth="1"/>
    <col min="3" max="3" width="12.5" customWidth="1"/>
  </cols>
  <sheetData>
    <row r="1" spans="1:3">
      <c r="A1" s="46"/>
      <c r="B1" s="46"/>
      <c r="C1" s="46"/>
    </row>
    <row r="2" spans="1:3">
      <c r="A2" s="47" t="s">
        <v>114</v>
      </c>
      <c r="B2" s="47" t="s">
        <v>115</v>
      </c>
      <c r="C2" s="55" t="s">
        <v>116</v>
      </c>
    </row>
    <row r="3" spans="1:3">
      <c r="A3" s="48">
        <v>45782</v>
      </c>
      <c r="B3" s="47">
        <v>3</v>
      </c>
      <c r="C3" s="48"/>
    </row>
    <row r="4" spans="1:3">
      <c r="A4" s="48">
        <v>45792</v>
      </c>
      <c r="B4" s="47">
        <v>-1</v>
      </c>
      <c r="C4" s="48"/>
    </row>
    <row r="5" spans="1:3">
      <c r="A5" s="48">
        <v>45814</v>
      </c>
      <c r="B5" s="47">
        <v>2</v>
      </c>
      <c r="C5" s="48"/>
    </row>
    <row r="6" spans="1:3">
      <c r="A6" s="48">
        <v>45855</v>
      </c>
      <c r="B6" s="47">
        <v>-5</v>
      </c>
      <c r="C6" s="48"/>
    </row>
    <row r="7" spans="1:3">
      <c r="A7" s="48">
        <v>45884</v>
      </c>
      <c r="B7" s="47">
        <v>4</v>
      </c>
      <c r="C7" s="48"/>
    </row>
    <row r="8" spans="1:3">
      <c r="A8" s="48">
        <v>46016</v>
      </c>
      <c r="B8" s="47">
        <v>6</v>
      </c>
      <c r="C8" s="48"/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C8"/>
  <sheetViews>
    <sheetView workbookViewId="0"/>
  </sheetViews>
  <sheetFormatPr defaultRowHeight="16.5"/>
  <cols>
    <col min="1" max="1" width="11.125" bestFit="1" customWidth="1"/>
    <col min="3" max="3" width="12.5" customWidth="1"/>
  </cols>
  <sheetData>
    <row r="1" spans="1:3">
      <c r="A1" s="46"/>
      <c r="B1" s="46"/>
      <c r="C1" s="46"/>
    </row>
    <row r="2" spans="1:3">
      <c r="A2" s="47" t="s">
        <v>114</v>
      </c>
      <c r="B2" s="47" t="s">
        <v>115</v>
      </c>
      <c r="C2" s="55" t="s">
        <v>116</v>
      </c>
    </row>
    <row r="3" spans="1:3">
      <c r="A3" s="48">
        <v>45782</v>
      </c>
      <c r="B3" s="47">
        <v>3</v>
      </c>
      <c r="C3" s="62">
        <f>EOMONTH(A3,B3)</f>
        <v>45900</v>
      </c>
    </row>
    <row r="4" spans="1:3">
      <c r="A4" s="48">
        <v>45792</v>
      </c>
      <c r="B4" s="47">
        <v>-1</v>
      </c>
      <c r="C4" s="62">
        <f t="shared" ref="C4:C8" si="0">EOMONTH(A4,B4)</f>
        <v>45777</v>
      </c>
    </row>
    <row r="5" spans="1:3">
      <c r="A5" s="48">
        <v>45814</v>
      </c>
      <c r="B5" s="47">
        <v>2</v>
      </c>
      <c r="C5" s="62">
        <f t="shared" si="0"/>
        <v>45900</v>
      </c>
    </row>
    <row r="6" spans="1:3">
      <c r="A6" s="48">
        <v>45855</v>
      </c>
      <c r="B6" s="47">
        <v>-5</v>
      </c>
      <c r="C6" s="62">
        <f t="shared" si="0"/>
        <v>45716</v>
      </c>
    </row>
    <row r="7" spans="1:3">
      <c r="A7" s="48">
        <v>45884</v>
      </c>
      <c r="B7" s="47">
        <v>4</v>
      </c>
      <c r="C7" s="62">
        <f t="shared" si="0"/>
        <v>46022</v>
      </c>
    </row>
    <row r="8" spans="1:3">
      <c r="A8" s="48">
        <v>46016</v>
      </c>
      <c r="B8" s="47">
        <v>6</v>
      </c>
      <c r="C8" s="62">
        <f t="shared" si="0"/>
        <v>46203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8"/>
  <sheetViews>
    <sheetView workbookViewId="0"/>
  </sheetViews>
  <sheetFormatPr defaultRowHeight="16.5"/>
  <cols>
    <col min="1" max="1" width="10.75" bestFit="1" customWidth="1"/>
    <col min="2" max="2" width="24.125" bestFit="1" customWidth="1"/>
  </cols>
  <sheetData>
    <row r="1" spans="1:2">
      <c r="A1" s="48" t="s">
        <v>162</v>
      </c>
      <c r="B1" s="48" t="s">
        <v>163</v>
      </c>
    </row>
    <row r="2" spans="1:2">
      <c r="A2" s="48">
        <v>45566</v>
      </c>
      <c r="B2" s="48" t="s">
        <v>164</v>
      </c>
    </row>
    <row r="3" spans="1:2">
      <c r="A3" s="48">
        <v>45717</v>
      </c>
      <c r="B3" s="48" t="s">
        <v>165</v>
      </c>
    </row>
    <row r="4" spans="1:2">
      <c r="A4" s="48">
        <v>45622</v>
      </c>
      <c r="B4" s="48" t="s">
        <v>166</v>
      </c>
    </row>
    <row r="5" spans="1:2">
      <c r="A5" s="48">
        <v>45630</v>
      </c>
      <c r="B5" s="48" t="s">
        <v>166</v>
      </c>
    </row>
    <row r="6" spans="1:2">
      <c r="A6" s="48">
        <v>45312</v>
      </c>
      <c r="B6" s="48" t="s">
        <v>166</v>
      </c>
    </row>
    <row r="7" spans="1:2">
      <c r="A7" s="3"/>
      <c r="B7" s="3"/>
    </row>
    <row r="8" spans="1:2">
      <c r="A8" s="67" t="s">
        <v>167</v>
      </c>
      <c r="B8" s="63"/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B8"/>
  <sheetViews>
    <sheetView workbookViewId="0"/>
  </sheetViews>
  <sheetFormatPr defaultRowHeight="16.5"/>
  <cols>
    <col min="1" max="1" width="10.75" bestFit="1" customWidth="1"/>
    <col min="2" max="2" width="24.125" bestFit="1" customWidth="1"/>
  </cols>
  <sheetData>
    <row r="1" spans="1:2">
      <c r="A1" s="48" t="s">
        <v>162</v>
      </c>
      <c r="B1" s="48" t="s">
        <v>163</v>
      </c>
    </row>
    <row r="2" spans="1:2">
      <c r="A2" s="48">
        <v>45566</v>
      </c>
      <c r="B2" s="48" t="s">
        <v>164</v>
      </c>
    </row>
    <row r="3" spans="1:2">
      <c r="A3" s="48">
        <v>45717</v>
      </c>
      <c r="B3" s="48" t="s">
        <v>165</v>
      </c>
    </row>
    <row r="4" spans="1:2">
      <c r="A4" s="48">
        <v>45622</v>
      </c>
      <c r="B4" s="48" t="s">
        <v>166</v>
      </c>
    </row>
    <row r="5" spans="1:2">
      <c r="A5" s="48">
        <v>45630</v>
      </c>
      <c r="B5" s="48" t="s">
        <v>166</v>
      </c>
    </row>
    <row r="6" spans="1:2">
      <c r="A6" s="48">
        <v>45312</v>
      </c>
      <c r="B6" s="48" t="s">
        <v>166</v>
      </c>
    </row>
    <row r="7" spans="1:2">
      <c r="A7" s="3"/>
      <c r="B7" s="3"/>
    </row>
    <row r="8" spans="1:2">
      <c r="A8" s="67" t="s">
        <v>167</v>
      </c>
      <c r="B8" s="63">
        <f>NETWORKDAYS(A2,A3,A4:A6)</f>
        <v>107</v>
      </c>
    </row>
  </sheetData>
  <phoneticPr fontId="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B8"/>
  <sheetViews>
    <sheetView workbookViewId="0"/>
  </sheetViews>
  <sheetFormatPr defaultRowHeight="16.5"/>
  <cols>
    <col min="1" max="1" width="10.75" bestFit="1" customWidth="1"/>
    <col min="2" max="2" width="10.125" bestFit="1" customWidth="1"/>
  </cols>
  <sheetData>
    <row r="1" spans="1:2">
      <c r="A1" s="3"/>
      <c r="B1" s="3"/>
    </row>
    <row r="2" spans="1:2">
      <c r="A2" s="47" t="s">
        <v>168</v>
      </c>
      <c r="B2" s="68" t="s">
        <v>169</v>
      </c>
    </row>
    <row r="3" spans="1:2">
      <c r="A3" s="48">
        <v>45782</v>
      </c>
      <c r="B3" s="49"/>
    </row>
    <row r="4" spans="1:2">
      <c r="A4" s="48">
        <v>45792</v>
      </c>
      <c r="B4" s="49"/>
    </row>
    <row r="5" spans="1:2">
      <c r="A5" s="48">
        <v>45814</v>
      </c>
      <c r="B5" s="49"/>
    </row>
    <row r="6" spans="1:2">
      <c r="A6" s="48">
        <v>45855</v>
      </c>
      <c r="B6" s="49"/>
    </row>
    <row r="7" spans="1:2">
      <c r="A7" s="48">
        <v>45884</v>
      </c>
      <c r="B7" s="49"/>
    </row>
    <row r="8" spans="1:2">
      <c r="A8" s="48">
        <v>46016</v>
      </c>
      <c r="B8" s="49"/>
    </row>
  </sheetData>
  <phoneticPr fontId="2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B8"/>
  <sheetViews>
    <sheetView workbookViewId="0"/>
  </sheetViews>
  <sheetFormatPr defaultRowHeight="16.5"/>
  <cols>
    <col min="1" max="1" width="10.75" bestFit="1" customWidth="1"/>
    <col min="2" max="2" width="10.125" bestFit="1" customWidth="1"/>
  </cols>
  <sheetData>
    <row r="1" spans="1:2">
      <c r="A1" s="3"/>
      <c r="B1" s="3"/>
    </row>
    <row r="2" spans="1:2">
      <c r="A2" s="47" t="s">
        <v>168</v>
      </c>
      <c r="B2" s="68" t="s">
        <v>169</v>
      </c>
    </row>
    <row r="3" spans="1:2">
      <c r="A3" s="48">
        <v>45782</v>
      </c>
      <c r="B3" s="49">
        <f>WEEKNUM(A3,1)</f>
        <v>19</v>
      </c>
    </row>
    <row r="4" spans="1:2">
      <c r="A4" s="48">
        <v>45792</v>
      </c>
      <c r="B4" s="49">
        <f t="shared" ref="B4:B8" si="0">WEEKNUM(A4,1)</f>
        <v>20</v>
      </c>
    </row>
    <row r="5" spans="1:2">
      <c r="A5" s="48">
        <v>45814</v>
      </c>
      <c r="B5" s="49">
        <f t="shared" si="0"/>
        <v>23</v>
      </c>
    </row>
    <row r="6" spans="1:2">
      <c r="A6" s="48">
        <v>45855</v>
      </c>
      <c r="B6" s="49">
        <f t="shared" si="0"/>
        <v>29</v>
      </c>
    </row>
    <row r="7" spans="1:2">
      <c r="A7" s="48">
        <v>45884</v>
      </c>
      <c r="B7" s="49">
        <f t="shared" si="0"/>
        <v>33</v>
      </c>
    </row>
    <row r="8" spans="1:2">
      <c r="A8" s="48">
        <v>46016</v>
      </c>
      <c r="B8" s="49">
        <f t="shared" si="0"/>
        <v>52</v>
      </c>
    </row>
  </sheetData>
  <phoneticPr fontId="2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E8"/>
  <sheetViews>
    <sheetView workbookViewId="0"/>
  </sheetViews>
  <sheetFormatPr defaultRowHeight="16.5"/>
  <cols>
    <col min="1" max="1" width="11.125" bestFit="1" customWidth="1"/>
    <col min="2" max="2" width="10.375" customWidth="1"/>
    <col min="3" max="4" width="9.875" bestFit="1" customWidth="1"/>
    <col min="5" max="5" width="11" bestFit="1" customWidth="1"/>
  </cols>
  <sheetData>
    <row r="1" spans="1:5">
      <c r="A1" s="46"/>
      <c r="B1" s="46"/>
      <c r="C1" s="46"/>
      <c r="D1" s="46"/>
      <c r="E1" s="46"/>
    </row>
    <row r="2" spans="1:5">
      <c r="A2" s="47" t="s">
        <v>117</v>
      </c>
      <c r="B2" s="47" t="s">
        <v>118</v>
      </c>
      <c r="C2" s="47" t="s">
        <v>119</v>
      </c>
      <c r="D2" s="47" t="s">
        <v>120</v>
      </c>
      <c r="E2" s="55" t="s">
        <v>121</v>
      </c>
    </row>
    <row r="3" spans="1:5">
      <c r="A3" s="48">
        <v>44197</v>
      </c>
      <c r="B3" s="49">
        <v>130</v>
      </c>
      <c r="C3" s="50">
        <v>42856</v>
      </c>
      <c r="D3" s="50">
        <v>42891</v>
      </c>
      <c r="E3" s="48"/>
    </row>
    <row r="4" spans="1:5">
      <c r="A4" s="48">
        <v>44562</v>
      </c>
      <c r="B4" s="49">
        <v>160</v>
      </c>
      <c r="C4" s="50">
        <v>43160</v>
      </c>
      <c r="D4" s="50">
        <v>43195</v>
      </c>
      <c r="E4" s="48"/>
    </row>
    <row r="5" spans="1:5">
      <c r="A5" s="48">
        <v>44927</v>
      </c>
      <c r="B5" s="49">
        <v>180</v>
      </c>
      <c r="C5" s="50">
        <v>43497</v>
      </c>
      <c r="D5" s="50">
        <v>43590</v>
      </c>
      <c r="E5" s="48"/>
    </row>
    <row r="6" spans="1:5">
      <c r="A6" s="48">
        <v>45292</v>
      </c>
      <c r="B6" s="49">
        <v>200</v>
      </c>
      <c r="C6" s="50">
        <v>43983</v>
      </c>
      <c r="D6" s="50">
        <v>44048</v>
      </c>
      <c r="E6" s="48"/>
    </row>
    <row r="7" spans="1:5">
      <c r="A7" s="48">
        <v>45658</v>
      </c>
      <c r="B7" s="49">
        <v>220</v>
      </c>
      <c r="C7" s="50">
        <v>44378</v>
      </c>
      <c r="D7" s="50">
        <v>44444</v>
      </c>
      <c r="E7" s="48"/>
    </row>
    <row r="8" spans="1:5">
      <c r="A8" s="48">
        <v>46023</v>
      </c>
      <c r="B8" s="49">
        <v>250</v>
      </c>
      <c r="C8" s="50">
        <v>44774</v>
      </c>
      <c r="D8" s="50">
        <v>44809</v>
      </c>
      <c r="E8" s="4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E8"/>
  <sheetViews>
    <sheetView workbookViewId="0"/>
  </sheetViews>
  <sheetFormatPr defaultRowHeight="16.5"/>
  <cols>
    <col min="1" max="1" width="11.125" bestFit="1" customWidth="1"/>
    <col min="2" max="2" width="10.375" customWidth="1"/>
    <col min="3" max="4" width="9.875" bestFit="1" customWidth="1"/>
    <col min="5" max="5" width="11.125" bestFit="1" customWidth="1"/>
  </cols>
  <sheetData>
    <row r="1" spans="1:5">
      <c r="A1" s="46"/>
      <c r="B1" s="46"/>
      <c r="C1" s="46"/>
      <c r="D1" s="46"/>
      <c r="E1" s="46"/>
    </row>
    <row r="2" spans="1:5">
      <c r="A2" s="47" t="s">
        <v>114</v>
      </c>
      <c r="B2" s="47" t="s">
        <v>118</v>
      </c>
      <c r="C2" s="47" t="s">
        <v>119</v>
      </c>
      <c r="D2" s="47" t="s">
        <v>120</v>
      </c>
      <c r="E2" s="55" t="s">
        <v>121</v>
      </c>
    </row>
    <row r="3" spans="1:5">
      <c r="A3" s="48">
        <v>44197</v>
      </c>
      <c r="B3" s="49">
        <v>130</v>
      </c>
      <c r="C3" s="50">
        <v>42856</v>
      </c>
      <c r="D3" s="50">
        <v>42891</v>
      </c>
      <c r="E3" s="62">
        <f>WORKDAY(A3,B3,C3:D3)</f>
        <v>44379</v>
      </c>
    </row>
    <row r="4" spans="1:5">
      <c r="A4" s="48">
        <v>44562</v>
      </c>
      <c r="B4" s="49">
        <v>160</v>
      </c>
      <c r="C4" s="50">
        <v>43160</v>
      </c>
      <c r="D4" s="50">
        <v>43195</v>
      </c>
      <c r="E4" s="62">
        <f t="shared" ref="E4:E8" si="0">WORKDAY(A4,B4,C4:D4)</f>
        <v>44785</v>
      </c>
    </row>
    <row r="5" spans="1:5">
      <c r="A5" s="48">
        <v>44927</v>
      </c>
      <c r="B5" s="49">
        <v>180</v>
      </c>
      <c r="C5" s="50">
        <v>43497</v>
      </c>
      <c r="D5" s="50">
        <v>43590</v>
      </c>
      <c r="E5" s="62">
        <f t="shared" si="0"/>
        <v>45177</v>
      </c>
    </row>
    <row r="6" spans="1:5">
      <c r="A6" s="48">
        <v>45292</v>
      </c>
      <c r="B6" s="49">
        <v>200</v>
      </c>
      <c r="C6" s="50">
        <v>43983</v>
      </c>
      <c r="D6" s="50">
        <v>44048</v>
      </c>
      <c r="E6" s="62">
        <f t="shared" si="0"/>
        <v>45572</v>
      </c>
    </row>
    <row r="7" spans="1:5">
      <c r="A7" s="48">
        <v>45658</v>
      </c>
      <c r="B7" s="49">
        <v>220</v>
      </c>
      <c r="C7" s="50">
        <v>44378</v>
      </c>
      <c r="D7" s="50">
        <v>44444</v>
      </c>
      <c r="E7" s="62">
        <f t="shared" si="0"/>
        <v>45966</v>
      </c>
    </row>
    <row r="8" spans="1:5">
      <c r="A8" s="48">
        <v>46023</v>
      </c>
      <c r="B8" s="49">
        <v>250</v>
      </c>
      <c r="C8" s="50">
        <v>44774</v>
      </c>
      <c r="D8" s="50">
        <v>44809</v>
      </c>
      <c r="E8" s="62">
        <f t="shared" si="0"/>
        <v>46373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36</vt:i4>
      </vt:variant>
    </vt:vector>
  </HeadingPairs>
  <TitlesOfParts>
    <vt:vector size="36" baseType="lpstr">
      <vt:lpstr>YEAR1(예제)</vt:lpstr>
      <vt:lpstr>YEAR1(결과)</vt:lpstr>
      <vt:lpstr>YEAR2(예제)</vt:lpstr>
      <vt:lpstr>YEAR2(결과)</vt:lpstr>
      <vt:lpstr>MONTH(예제)</vt:lpstr>
      <vt:lpstr>MONTH(결과)</vt:lpstr>
      <vt:lpstr>DAY(예제)</vt:lpstr>
      <vt:lpstr>DAY(결과)</vt:lpstr>
      <vt:lpstr>HOUR(예제)</vt:lpstr>
      <vt:lpstr>HOUR(결과)</vt:lpstr>
      <vt:lpstr>MINUTE(예제)</vt:lpstr>
      <vt:lpstr>MINUTE(결과)</vt:lpstr>
      <vt:lpstr>TODAY(예제)</vt:lpstr>
      <vt:lpstr>TODAY(결과)</vt:lpstr>
      <vt:lpstr>NOW(예제)</vt:lpstr>
      <vt:lpstr>NOW(결과)</vt:lpstr>
      <vt:lpstr>DATE(예제)</vt:lpstr>
      <vt:lpstr>DATE(결과)</vt:lpstr>
      <vt:lpstr>TIME(예제)</vt:lpstr>
      <vt:lpstr>TIME(결과)</vt:lpstr>
      <vt:lpstr>DATEVALUE(예제)</vt:lpstr>
      <vt:lpstr>DATEVALUE(결과)</vt:lpstr>
      <vt:lpstr>WEEKDAY(예제)</vt:lpstr>
      <vt:lpstr>WEEKDAY(결과)</vt:lpstr>
      <vt:lpstr>DAYS(예제)</vt:lpstr>
      <vt:lpstr>DAYS(결과)</vt:lpstr>
      <vt:lpstr>EDATE(예제)</vt:lpstr>
      <vt:lpstr>EDATE(결과)</vt:lpstr>
      <vt:lpstr>EOMOTH(예제)</vt:lpstr>
      <vt:lpstr>EOMOTH(결과)</vt:lpstr>
      <vt:lpstr>NETWORKDAYS(예제)</vt:lpstr>
      <vt:lpstr>NETWORKDAYS(결과)</vt:lpstr>
      <vt:lpstr>WEEKNUM(예제)</vt:lpstr>
      <vt:lpstr>WEEKNUM(결과)</vt:lpstr>
      <vt:lpstr>WORKDAY(예제)</vt:lpstr>
      <vt:lpstr>WORKDAY(결과)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 윤정</cp:lastModifiedBy>
  <dcterms:created xsi:type="dcterms:W3CDTF">2020-04-05T13:23:01Z</dcterms:created>
  <dcterms:modified xsi:type="dcterms:W3CDTF">2023-10-23T12:22:23Z</dcterms:modified>
</cp:coreProperties>
</file>