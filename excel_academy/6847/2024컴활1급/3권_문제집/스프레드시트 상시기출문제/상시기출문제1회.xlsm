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"/>
    </mc:Choice>
  </mc:AlternateContent>
  <xr:revisionPtr revIDLastSave="0" documentId="13_ncr:1_{E05FC96A-6B38-41DB-B364-D4A7786D0DBD}" xr6:coauthVersionLast="47" xr6:coauthVersionMax="47" xr10:uidLastSave="{00000000-0000-0000-0000-000000000000}"/>
  <bookViews>
    <workbookView xWindow="0" yWindow="540" windowWidth="17265" windowHeight="12615" tabRatio="912" xr2:uid="{00000000-000D-0000-FFFF-FFFF00000000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6" r:id="rId5"/>
    <sheet name="기타작업-2" sheetId="5" r:id="rId6"/>
    <sheet name="기타작업-3" sheetId="7" r:id="rId7"/>
  </sheets>
  <definedNames>
    <definedName name="_xlnm._FilterDatabase" localSheetId="1" hidden="1">계산작업!$K$3:$K$26</definedName>
    <definedName name="_xlnm.Extract" localSheetId="1">계산작업!$K$29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4" l="1"/>
  <c r="E4" i="6" l="1"/>
  <c r="E5" i="6"/>
  <c r="E6" i="6"/>
  <c r="E7" i="6"/>
  <c r="E8" i="6"/>
  <c r="E3" i="6"/>
</calcChain>
</file>

<file path=xl/sharedStrings.xml><?xml version="1.0" encoding="utf-8"?>
<sst xmlns="http://schemas.openxmlformats.org/spreadsheetml/2006/main" count="294" uniqueCount="195">
  <si>
    <t>전기밥솥</t>
  </si>
  <si>
    <t>전동치솔</t>
  </si>
  <si>
    <t>면도기</t>
  </si>
  <si>
    <t>다리미</t>
  </si>
  <si>
    <t>총합계</t>
  </si>
  <si>
    <t>제품명</t>
    <phoneticPr fontId="1" type="noConversion"/>
  </si>
  <si>
    <t>지역상품권</t>
    <phoneticPr fontId="1" type="noConversion"/>
  </si>
  <si>
    <t>현금</t>
    <phoneticPr fontId="1" type="noConversion"/>
  </si>
  <si>
    <t>신용카드</t>
    <phoneticPr fontId="1" type="noConversion"/>
  </si>
  <si>
    <t>에어프라이어</t>
    <phoneticPr fontId="1" type="noConversion"/>
  </si>
  <si>
    <t>커피머신</t>
    <phoneticPr fontId="1" type="noConversion"/>
  </si>
  <si>
    <t>[표1]</t>
    <phoneticPr fontId="1" type="noConversion"/>
  </si>
  <si>
    <t>판매수량</t>
    <phoneticPr fontId="1" type="noConversion"/>
  </si>
  <si>
    <t>판매금액</t>
    <phoneticPr fontId="1" type="noConversion"/>
  </si>
  <si>
    <t>[표1] 지점별 제품 판매현황</t>
    <phoneticPr fontId="1" type="noConversion"/>
  </si>
  <si>
    <t>지점</t>
    <phoneticPr fontId="1" type="noConversion"/>
  </si>
  <si>
    <t>제품명</t>
    <phoneticPr fontId="1" type="noConversion"/>
  </si>
  <si>
    <t>제품명</t>
    <phoneticPr fontId="1" type="noConversion"/>
  </si>
  <si>
    <t>주문처</t>
    <phoneticPr fontId="4" type="noConversion"/>
  </si>
  <si>
    <t>물품코드</t>
    <phoneticPr fontId="4" type="noConversion"/>
  </si>
  <si>
    <t>판매단가</t>
    <phoneticPr fontId="4" type="noConversion"/>
  </si>
  <si>
    <t>주문수량</t>
    <phoneticPr fontId="4" type="noConversion"/>
  </si>
  <si>
    <t>인하대</t>
    <phoneticPr fontId="4" type="noConversion"/>
  </si>
  <si>
    <t>전주대</t>
    <phoneticPr fontId="4" type="noConversion"/>
  </si>
  <si>
    <t>군산대</t>
    <phoneticPr fontId="4" type="noConversion"/>
  </si>
  <si>
    <t>목포대</t>
    <phoneticPr fontId="4" type="noConversion"/>
  </si>
  <si>
    <t>부산대</t>
    <phoneticPr fontId="4" type="noConversion"/>
  </si>
  <si>
    <t>동아대</t>
    <phoneticPr fontId="4" type="noConversion"/>
  </si>
  <si>
    <t>서울대</t>
    <phoneticPr fontId="4" type="noConversion"/>
  </si>
  <si>
    <t>경상대</t>
    <phoneticPr fontId="4" type="noConversion"/>
  </si>
  <si>
    <t>울산대</t>
    <phoneticPr fontId="4" type="noConversion"/>
  </si>
  <si>
    <t>대원대</t>
    <phoneticPr fontId="4" type="noConversion"/>
  </si>
  <si>
    <t>세종대</t>
    <phoneticPr fontId="4" type="noConversion"/>
  </si>
  <si>
    <t>문화대</t>
    <phoneticPr fontId="4" type="noConversion"/>
  </si>
  <si>
    <t>남서울대</t>
    <phoneticPr fontId="4" type="noConversion"/>
  </si>
  <si>
    <t>명지대</t>
    <phoneticPr fontId="4" type="noConversion"/>
  </si>
  <si>
    <t>배제대</t>
    <phoneticPr fontId="4" type="noConversion"/>
  </si>
  <si>
    <t>인천대</t>
    <phoneticPr fontId="4" type="noConversion"/>
  </si>
  <si>
    <t>선문대</t>
    <phoneticPr fontId="4" type="noConversion"/>
  </si>
  <si>
    <t>호서대</t>
    <phoneticPr fontId="4" type="noConversion"/>
  </si>
  <si>
    <t>[표1]</t>
    <phoneticPr fontId="1" type="noConversion"/>
  </si>
  <si>
    <t>대출금액</t>
    <phoneticPr fontId="1" type="noConversion"/>
  </si>
  <si>
    <t>대출기간</t>
    <phoneticPr fontId="1" type="noConversion"/>
  </si>
  <si>
    <t>월납입액</t>
    <phoneticPr fontId="1" type="noConversion"/>
  </si>
  <si>
    <t>[표1]</t>
    <phoneticPr fontId="1" type="noConversion"/>
  </si>
  <si>
    <t>[표2]</t>
    <phoneticPr fontId="1" type="noConversion"/>
  </si>
  <si>
    <t>이자율</t>
    <phoneticPr fontId="1" type="noConversion"/>
  </si>
  <si>
    <t>강사번호</t>
    <phoneticPr fontId="1" type="noConversion"/>
  </si>
  <si>
    <t>T-002</t>
  </si>
  <si>
    <t>T-003</t>
  </si>
  <si>
    <t>T-004</t>
  </si>
  <si>
    <t>T-005</t>
  </si>
  <si>
    <t>T-006</t>
  </si>
  <si>
    <t>T-007</t>
  </si>
  <si>
    <t>T-008</t>
  </si>
  <si>
    <t>T-009</t>
  </si>
  <si>
    <t>T-010</t>
  </si>
  <si>
    <t>T-011</t>
  </si>
  <si>
    <t>T-012</t>
  </si>
  <si>
    <t>T-013</t>
  </si>
  <si>
    <t>T-014</t>
  </si>
  <si>
    <t>강사명</t>
    <phoneticPr fontId="1" type="noConversion"/>
  </si>
  <si>
    <t>장소영</t>
    <phoneticPr fontId="1" type="noConversion"/>
  </si>
  <si>
    <t>이훈덕</t>
    <phoneticPr fontId="1" type="noConversion"/>
  </si>
  <si>
    <t>최영조</t>
    <phoneticPr fontId="1" type="noConversion"/>
  </si>
  <si>
    <t>김상균</t>
    <phoneticPr fontId="1" type="noConversion"/>
  </si>
  <si>
    <t>황은주</t>
    <phoneticPr fontId="1" type="noConversion"/>
  </si>
  <si>
    <t>전구민</t>
    <phoneticPr fontId="1" type="noConversion"/>
  </si>
  <si>
    <t>김아연</t>
    <phoneticPr fontId="1" type="noConversion"/>
  </si>
  <si>
    <t>강주연</t>
    <phoneticPr fontId="1" type="noConversion"/>
  </si>
  <si>
    <t>김남우</t>
    <phoneticPr fontId="1" type="noConversion"/>
  </si>
  <si>
    <t>오연경</t>
    <phoneticPr fontId="1" type="noConversion"/>
  </si>
  <si>
    <t>유전수</t>
    <phoneticPr fontId="1" type="noConversion"/>
  </si>
  <si>
    <t>김환빈</t>
    <phoneticPr fontId="1" type="noConversion"/>
  </si>
  <si>
    <t>나이</t>
    <phoneticPr fontId="1" type="noConversion"/>
  </si>
  <si>
    <t>주소</t>
    <phoneticPr fontId="1" type="noConversion"/>
  </si>
  <si>
    <t>경기</t>
    <phoneticPr fontId="1" type="noConversion"/>
  </si>
  <si>
    <t>서울</t>
    <phoneticPr fontId="1" type="noConversion"/>
  </si>
  <si>
    <t>인천</t>
    <phoneticPr fontId="1" type="noConversion"/>
  </si>
  <si>
    <t>석사</t>
    <phoneticPr fontId="1" type="noConversion"/>
  </si>
  <si>
    <t>박사</t>
    <phoneticPr fontId="1" type="noConversion"/>
  </si>
  <si>
    <t>학사</t>
    <phoneticPr fontId="1" type="noConversion"/>
  </si>
  <si>
    <t>최종학력</t>
    <phoneticPr fontId="1" type="noConversion"/>
  </si>
  <si>
    <t>전화번호</t>
    <phoneticPr fontId="1" type="noConversion"/>
  </si>
  <si>
    <t>02-587-1570</t>
    <phoneticPr fontId="1" type="noConversion"/>
  </si>
  <si>
    <t>031-787-9578</t>
    <phoneticPr fontId="1" type="noConversion"/>
  </si>
  <si>
    <t>032-354-7897</t>
    <phoneticPr fontId="1" type="noConversion"/>
  </si>
  <si>
    <t>02-357-9520</t>
    <phoneticPr fontId="1" type="noConversion"/>
  </si>
  <si>
    <t>032-547-3687</t>
    <phoneticPr fontId="1" type="noConversion"/>
  </si>
  <si>
    <t>02-357-7531</t>
    <phoneticPr fontId="1" type="noConversion"/>
  </si>
  <si>
    <t>031-951-1597</t>
    <phoneticPr fontId="1" type="noConversion"/>
  </si>
  <si>
    <t>031-963-7410</t>
    <phoneticPr fontId="1" type="noConversion"/>
  </si>
  <si>
    <t>032-852-7463</t>
    <phoneticPr fontId="1" type="noConversion"/>
  </si>
  <si>
    <t>02-974-1234</t>
    <phoneticPr fontId="1" type="noConversion"/>
  </si>
  <si>
    <t>032-456-7890</t>
    <phoneticPr fontId="1" type="noConversion"/>
  </si>
  <si>
    <t>02-951-7530</t>
    <phoneticPr fontId="1" type="noConversion"/>
  </si>
  <si>
    <t>031-456-9874</t>
    <phoneticPr fontId="1" type="noConversion"/>
  </si>
  <si>
    <t>T-001</t>
    <phoneticPr fontId="1" type="noConversion"/>
  </si>
  <si>
    <t>김소주</t>
    <phoneticPr fontId="1" type="noConversion"/>
  </si>
  <si>
    <t>김진서</t>
    <phoneticPr fontId="1" type="noConversion"/>
  </si>
  <si>
    <t>강의평점</t>
    <phoneticPr fontId="1" type="noConversion"/>
  </si>
  <si>
    <t>강의일정</t>
    <phoneticPr fontId="1" type="noConversion"/>
  </si>
  <si>
    <t>T-015</t>
  </si>
  <si>
    <t>T-016</t>
  </si>
  <si>
    <t>T-017</t>
  </si>
  <si>
    <t>T-018</t>
  </si>
  <si>
    <t>T-019</t>
  </si>
  <si>
    <t>T-020</t>
  </si>
  <si>
    <t>T-021</t>
  </si>
  <si>
    <t>T-022</t>
  </si>
  <si>
    <t>T-023</t>
  </si>
  <si>
    <t>T-024</t>
  </si>
  <si>
    <t>T-025</t>
  </si>
  <si>
    <t>T-026</t>
  </si>
  <si>
    <t>김소영</t>
    <phoneticPr fontId="1" type="noConversion"/>
  </si>
  <si>
    <t>박유주</t>
    <phoneticPr fontId="1" type="noConversion"/>
  </si>
  <si>
    <t>강호균</t>
    <phoneticPr fontId="1" type="noConversion"/>
  </si>
  <si>
    <t>황호안</t>
    <phoneticPr fontId="1" type="noConversion"/>
  </si>
  <si>
    <t>박주연</t>
    <phoneticPr fontId="1" type="noConversion"/>
  </si>
  <si>
    <t>이주연</t>
    <phoneticPr fontId="1" type="noConversion"/>
  </si>
  <si>
    <t>유호준</t>
    <phoneticPr fontId="1" type="noConversion"/>
  </si>
  <si>
    <t>임상준</t>
    <phoneticPr fontId="1" type="noConversion"/>
  </si>
  <si>
    <t>강유주</t>
    <phoneticPr fontId="1" type="noConversion"/>
  </si>
  <si>
    <t>전미옥</t>
    <phoneticPr fontId="1" type="noConversion"/>
  </si>
  <si>
    <t>위소연</t>
    <phoneticPr fontId="1" type="noConversion"/>
  </si>
  <si>
    <t>김조변</t>
    <phoneticPr fontId="1" type="noConversion"/>
  </si>
  <si>
    <t>02-222-5781</t>
    <phoneticPr fontId="1" type="noConversion"/>
  </si>
  <si>
    <t>031-874-9641</t>
    <phoneticPr fontId="1" type="noConversion"/>
  </si>
  <si>
    <t>02-784-8745</t>
    <phoneticPr fontId="1" type="noConversion"/>
  </si>
  <si>
    <t>032-954-8745</t>
    <phoneticPr fontId="1" type="noConversion"/>
  </si>
  <si>
    <t>02-587-9634</t>
    <phoneticPr fontId="1" type="noConversion"/>
  </si>
  <si>
    <t>031-754-9678</t>
    <phoneticPr fontId="1" type="noConversion"/>
  </si>
  <si>
    <t>02-456-7890</t>
    <phoneticPr fontId="1" type="noConversion"/>
  </si>
  <si>
    <t>032-874-9687</t>
    <phoneticPr fontId="1" type="noConversion"/>
  </si>
  <si>
    <t>02-487-9612</t>
    <phoneticPr fontId="1" type="noConversion"/>
  </si>
  <si>
    <t>032-478-9654</t>
    <phoneticPr fontId="1" type="noConversion"/>
  </si>
  <si>
    <t>032-745-8541</t>
    <phoneticPr fontId="1" type="noConversion"/>
  </si>
  <si>
    <t>02-368-9421</t>
    <phoneticPr fontId="1" type="noConversion"/>
  </si>
  <si>
    <t>고객번호</t>
    <phoneticPr fontId="1" type="noConversion"/>
  </si>
  <si>
    <t>대출일</t>
    <phoneticPr fontId="1" type="noConversion"/>
  </si>
  <si>
    <t>비고</t>
    <phoneticPr fontId="1" type="noConversion"/>
  </si>
  <si>
    <t>[표4]</t>
    <phoneticPr fontId="1" type="noConversion"/>
  </si>
  <si>
    <t>대출형태</t>
    <phoneticPr fontId="1" type="noConversion"/>
  </si>
  <si>
    <t>신용</t>
    <phoneticPr fontId="1" type="noConversion"/>
  </si>
  <si>
    <t>담보</t>
    <phoneticPr fontId="1" type="noConversion"/>
  </si>
  <si>
    <t>[표3]</t>
    <phoneticPr fontId="1" type="noConversion"/>
  </si>
  <si>
    <t>대출년도</t>
    <phoneticPr fontId="1" type="noConversion"/>
  </si>
  <si>
    <t>대출종류</t>
    <phoneticPr fontId="1" type="noConversion"/>
  </si>
  <si>
    <t>기간</t>
    <phoneticPr fontId="1" type="noConversion"/>
  </si>
  <si>
    <t>수수료</t>
    <phoneticPr fontId="1" type="noConversion"/>
  </si>
  <si>
    <t>등급</t>
    <phoneticPr fontId="1" type="noConversion"/>
  </si>
  <si>
    <t>모바일신용</t>
    <phoneticPr fontId="1" type="noConversion"/>
  </si>
  <si>
    <t>직장인신용</t>
    <phoneticPr fontId="1" type="noConversion"/>
  </si>
  <si>
    <t>u-보금</t>
    <phoneticPr fontId="1" type="noConversion"/>
  </si>
  <si>
    <t>아낌e보금</t>
    <phoneticPr fontId="1" type="noConversion"/>
  </si>
  <si>
    <t>t-보금</t>
    <phoneticPr fontId="1" type="noConversion"/>
  </si>
  <si>
    <t>주택담보</t>
    <phoneticPr fontId="1" type="noConversion"/>
  </si>
  <si>
    <t>적금담보</t>
    <phoneticPr fontId="1" type="noConversion"/>
  </si>
  <si>
    <t>전세금담보</t>
    <phoneticPr fontId="1" type="noConversion"/>
  </si>
  <si>
    <t>프리미엄</t>
    <phoneticPr fontId="1" type="noConversion"/>
  </si>
  <si>
    <t>골드</t>
    <phoneticPr fontId="1" type="noConversion"/>
  </si>
  <si>
    <t>로얄</t>
    <phoneticPr fontId="1" type="noConversion"/>
  </si>
  <si>
    <t>MVP</t>
    <phoneticPr fontId="1" type="noConversion"/>
  </si>
  <si>
    <t>일반신용</t>
    <phoneticPr fontId="1" type="noConversion"/>
  </si>
  <si>
    <t>보금</t>
    <phoneticPr fontId="1" type="noConversion"/>
  </si>
  <si>
    <t>신혼부부</t>
    <phoneticPr fontId="1" type="noConversion"/>
  </si>
  <si>
    <t>청년</t>
    <phoneticPr fontId="1" type="noConversion"/>
  </si>
  <si>
    <t>자영업자</t>
    <phoneticPr fontId="1" type="noConversion"/>
  </si>
  <si>
    <t>M</t>
    <phoneticPr fontId="1" type="noConversion"/>
  </si>
  <si>
    <t>Y</t>
    <phoneticPr fontId="1" type="noConversion"/>
  </si>
  <si>
    <t>O</t>
    <phoneticPr fontId="1" type="noConversion"/>
  </si>
  <si>
    <t>CRY-021</t>
    <phoneticPr fontId="1" type="noConversion"/>
  </si>
  <si>
    <t>CRY-048</t>
    <phoneticPr fontId="1" type="noConversion"/>
  </si>
  <si>
    <t>CRM-023</t>
    <phoneticPr fontId="1" type="noConversion"/>
  </si>
  <si>
    <t>CRM-002</t>
    <phoneticPr fontId="1" type="noConversion"/>
  </si>
  <si>
    <t>CRY-091</t>
    <phoneticPr fontId="1" type="noConversion"/>
  </si>
  <si>
    <t>CRO-034</t>
    <phoneticPr fontId="1" type="noConversion"/>
  </si>
  <si>
    <t>CRM-042</t>
    <phoneticPr fontId="1" type="noConversion"/>
  </si>
  <si>
    <t>CRO-071</t>
    <phoneticPr fontId="1" type="noConversion"/>
  </si>
  <si>
    <t>CRO-084</t>
    <phoneticPr fontId="1" type="noConversion"/>
  </si>
  <si>
    <t>CRO-029</t>
    <phoneticPr fontId="1" type="noConversion"/>
  </si>
  <si>
    <t>CRY-064</t>
    <phoneticPr fontId="1" type="noConversion"/>
  </si>
  <si>
    <t>CRO-032</t>
    <phoneticPr fontId="1" type="noConversion"/>
  </si>
  <si>
    <t>CRY-074</t>
    <phoneticPr fontId="1" type="noConversion"/>
  </si>
  <si>
    <t>CRM-054</t>
    <phoneticPr fontId="1" type="noConversion"/>
  </si>
  <si>
    <t>CRM-038</t>
    <phoneticPr fontId="1" type="noConversion"/>
  </si>
  <si>
    <t>CRY-052</t>
    <phoneticPr fontId="1" type="noConversion"/>
  </si>
  <si>
    <t>CRM-074</t>
    <phoneticPr fontId="1" type="noConversion"/>
  </si>
  <si>
    <t>CRY-086</t>
    <phoneticPr fontId="1" type="noConversion"/>
  </si>
  <si>
    <t>CRO-097</t>
    <phoneticPr fontId="1" type="noConversion"/>
  </si>
  <si>
    <t>CRM-021</t>
    <phoneticPr fontId="1" type="noConversion"/>
  </si>
  <si>
    <t>CRO-004</t>
    <phoneticPr fontId="1" type="noConversion"/>
  </si>
  <si>
    <t>CRM-006</t>
    <phoneticPr fontId="1" type="noConversion"/>
  </si>
  <si>
    <t>CRO-014</t>
    <phoneticPr fontId="1" type="noConversion"/>
  </si>
  <si>
    <t>전동칫솔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</si>
</sst>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General&quot;개&quot;&quot;월&quot;"/>
    <numFmt numFmtId="178" formatCode="0&quot;개월&quot;"/>
    <numFmt numFmtId="179" formatCode="0&quot;위&quot;"/>
    <numFmt numFmtId="180" formatCode="0&quot;년&quot;"/>
    <numFmt numFmtId="181" formatCode="General&quot;이상&quot;"/>
    <numFmt numFmtId="182" formatCode="General&quot;미만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0" borderId="0" xfId="0" applyFont="1" applyFill="1">
      <alignment vertical="center"/>
    </xf>
    <xf numFmtId="41" fontId="3" fillId="0" borderId="1" xfId="1" applyFont="1" applyFill="1" applyBorder="1" applyAlignment="1"/>
    <xf numFmtId="0" fontId="3" fillId="0" borderId="1" xfId="0" applyFont="1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0" fillId="0" borderId="1" xfId="0" applyBorder="1" applyAlignment="1"/>
    <xf numFmtId="0" fontId="0" fillId="0" borderId="1" xfId="0" quotePrefix="1" applyBorder="1" applyAlignment="1"/>
    <xf numFmtId="42" fontId="0" fillId="0" borderId="1" xfId="2" applyFont="1" applyBorder="1" applyAlignment="1"/>
    <xf numFmtId="0" fontId="0" fillId="0" borderId="1" xfId="0" applyBorder="1" applyAlignment="1">
      <alignment horizont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6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41" fontId="0" fillId="0" borderId="1" xfId="1" applyFon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>
      <alignment vertical="center"/>
    </xf>
    <xf numFmtId="179" fontId="0" fillId="2" borderId="1" xfId="0" applyNumberFormat="1" applyFill="1" applyBorder="1" applyAlignment="1">
      <alignment horizontal="center" vertical="center"/>
    </xf>
    <xf numFmtId="179" fontId="0" fillId="2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textRotation="255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지역상품권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'기타작업-1'!$A$3:$A$8</c:f>
              <c:strCache>
                <c:ptCount val="6"/>
                <c:pt idx="0">
                  <c:v>전기밥솥</c:v>
                </c:pt>
                <c:pt idx="1">
                  <c:v>커피머신</c:v>
                </c:pt>
                <c:pt idx="2">
                  <c:v>에어프라이어</c:v>
                </c:pt>
                <c:pt idx="3">
                  <c:v>다리미</c:v>
                </c:pt>
                <c:pt idx="4">
                  <c:v>면도기</c:v>
                </c:pt>
                <c:pt idx="5">
                  <c:v>전동칫솔</c:v>
                </c:pt>
              </c:strCache>
            </c:strRef>
          </c:cat>
          <c:val>
            <c:numRef>
              <c:f>'기타작업-1'!$B$3:$B$8</c:f>
              <c:numCache>
                <c:formatCode>_(* #,##0_);_(* \(#,##0\);_(* "-"_);_(@_)</c:formatCode>
                <c:ptCount val="6"/>
                <c:pt idx="0">
                  <c:v>1070000</c:v>
                </c:pt>
                <c:pt idx="1">
                  <c:v>760000</c:v>
                </c:pt>
                <c:pt idx="2">
                  <c:v>1730000</c:v>
                </c:pt>
                <c:pt idx="3">
                  <c:v>860000</c:v>
                </c:pt>
                <c:pt idx="4">
                  <c:v>950000</c:v>
                </c:pt>
                <c:pt idx="5">
                  <c:v>1460000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A-48BF-A2F6-22A51D80CF17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'기타작업-1'!$A$3:$A$8</c:f>
              <c:strCache>
                <c:ptCount val="6"/>
                <c:pt idx="0">
                  <c:v>전기밥솥</c:v>
                </c:pt>
                <c:pt idx="1">
                  <c:v>커피머신</c:v>
                </c:pt>
                <c:pt idx="2">
                  <c:v>에어프라이어</c:v>
                </c:pt>
                <c:pt idx="3">
                  <c:v>다리미</c:v>
                </c:pt>
                <c:pt idx="4">
                  <c:v>면도기</c:v>
                </c:pt>
                <c:pt idx="5">
                  <c:v>전동칫솔</c:v>
                </c:pt>
              </c:strCache>
            </c:strRef>
          </c:cat>
          <c:val>
            <c:numRef>
              <c:f>'기타작업-1'!$C$3:$C$8</c:f>
              <c:numCache>
                <c:formatCode>_(* #,##0_);_(* \(#,##0\);_(* "-"_);_(@_)</c:formatCode>
                <c:ptCount val="6"/>
                <c:pt idx="0">
                  <c:v>1240000</c:v>
                </c:pt>
                <c:pt idx="1">
                  <c:v>680000</c:v>
                </c:pt>
                <c:pt idx="2">
                  <c:v>1544000</c:v>
                </c:pt>
                <c:pt idx="3">
                  <c:v>1180000</c:v>
                </c:pt>
                <c:pt idx="4">
                  <c:v>1140000</c:v>
                </c:pt>
                <c:pt idx="5">
                  <c:v>872000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DA-48BF-A2F6-22A51D80CF17}"/>
            </c:ext>
          </c:extLst>
        </c:ser>
        <c:ser>
          <c:idx val="2"/>
          <c:order val="2"/>
          <c:tx>
            <c:strRef>
              <c:f>'기타작업-1'!$D$2</c:f>
              <c:strCache>
                <c:ptCount val="1"/>
                <c:pt idx="0">
                  <c:v>신용카드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'기타작업-1'!$A$3:$A$8</c:f>
              <c:strCache>
                <c:ptCount val="6"/>
                <c:pt idx="0">
                  <c:v>전기밥솥</c:v>
                </c:pt>
                <c:pt idx="1">
                  <c:v>커피머신</c:v>
                </c:pt>
                <c:pt idx="2">
                  <c:v>에어프라이어</c:v>
                </c:pt>
                <c:pt idx="3">
                  <c:v>다리미</c:v>
                </c:pt>
                <c:pt idx="4">
                  <c:v>면도기</c:v>
                </c:pt>
                <c:pt idx="5">
                  <c:v>전동칫솔</c:v>
                </c:pt>
              </c:strCache>
            </c:strRef>
          </c:cat>
          <c:val>
            <c:numRef>
              <c:f>'기타작업-1'!$D$3:$D$8</c:f>
              <c:numCache>
                <c:formatCode>_(* #,##0_);_(* \(#,##0\);_(* "-"_);_(@_)</c:formatCode>
                <c:ptCount val="6"/>
                <c:pt idx="0">
                  <c:v>1440000</c:v>
                </c:pt>
                <c:pt idx="1">
                  <c:v>1453000</c:v>
                </c:pt>
                <c:pt idx="2">
                  <c:v>1296000</c:v>
                </c:pt>
                <c:pt idx="3">
                  <c:v>895000</c:v>
                </c:pt>
                <c:pt idx="4">
                  <c:v>339600</c:v>
                </c:pt>
                <c:pt idx="5">
                  <c:v>681600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DA-48BF-A2F6-22A51D80C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0614975"/>
        <c:axId val="1870609983"/>
      </c:barChart>
      <c:catAx>
        <c:axId val="1870614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0609983"/>
        <c:crosses val="autoZero"/>
        <c:auto val="1"/>
        <c:lblAlgn val="ctr"/>
        <c:lblOffset val="100"/>
        <c:noMultiLvlLbl val="0"/>
      </c:catAx>
      <c:valAx>
        <c:axId val="187060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061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209550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cmd판매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"/>
  <sheetViews>
    <sheetView tabSelected="1" workbookViewId="0"/>
  </sheetViews>
  <sheetFormatPr defaultRowHeight="16.5" x14ac:dyDescent="0.3"/>
  <cols>
    <col min="5" max="5" width="12.875" bestFit="1" customWidth="1"/>
    <col min="8" max="8" width="10.75" bestFit="1" customWidth="1"/>
  </cols>
  <sheetData>
    <row r="1" spans="1:9" x14ac:dyDescent="0.3">
      <c r="A1" t="s">
        <v>11</v>
      </c>
    </row>
    <row r="2" spans="1:9" x14ac:dyDescent="0.3">
      <c r="A2" t="s">
        <v>47</v>
      </c>
      <c r="B2" t="s">
        <v>61</v>
      </c>
      <c r="C2" t="s">
        <v>74</v>
      </c>
      <c r="D2" t="s">
        <v>75</v>
      </c>
      <c r="E2" t="s">
        <v>83</v>
      </c>
      <c r="F2" t="s">
        <v>100</v>
      </c>
      <c r="G2" t="s">
        <v>82</v>
      </c>
      <c r="H2" t="s">
        <v>101</v>
      </c>
    </row>
    <row r="3" spans="1:9" x14ac:dyDescent="0.3">
      <c r="A3" t="s">
        <v>97</v>
      </c>
      <c r="B3" t="s">
        <v>62</v>
      </c>
      <c r="C3" s="17">
        <v>33</v>
      </c>
      <c r="D3" t="s">
        <v>77</v>
      </c>
      <c r="E3" t="s">
        <v>84</v>
      </c>
      <c r="F3" s="18">
        <v>89</v>
      </c>
      <c r="G3" s="17" t="s">
        <v>79</v>
      </c>
      <c r="H3" s="19">
        <v>45905</v>
      </c>
    </row>
    <row r="4" spans="1:9" x14ac:dyDescent="0.3">
      <c r="A4" t="s">
        <v>48</v>
      </c>
      <c r="B4" t="s">
        <v>63</v>
      </c>
      <c r="C4" s="17">
        <v>33</v>
      </c>
      <c r="D4" t="s">
        <v>76</v>
      </c>
      <c r="E4" t="s">
        <v>85</v>
      </c>
      <c r="F4" s="18">
        <v>93</v>
      </c>
      <c r="G4" s="17" t="s">
        <v>80</v>
      </c>
      <c r="H4" s="19">
        <v>45416</v>
      </c>
    </row>
    <row r="5" spans="1:9" x14ac:dyDescent="0.3">
      <c r="A5" t="s">
        <v>49</v>
      </c>
      <c r="B5" t="s">
        <v>64</v>
      </c>
      <c r="C5" s="17">
        <v>43</v>
      </c>
      <c r="D5" t="s">
        <v>78</v>
      </c>
      <c r="E5" t="s">
        <v>86</v>
      </c>
      <c r="F5" s="18">
        <v>81</v>
      </c>
      <c r="G5" s="18" t="s">
        <v>81</v>
      </c>
      <c r="H5" s="19">
        <v>45940</v>
      </c>
    </row>
    <row r="6" spans="1:9" x14ac:dyDescent="0.3">
      <c r="A6" t="s">
        <v>50</v>
      </c>
      <c r="B6" t="s">
        <v>65</v>
      </c>
      <c r="C6" s="17">
        <v>43</v>
      </c>
      <c r="D6" t="s">
        <v>77</v>
      </c>
      <c r="E6" t="s">
        <v>87</v>
      </c>
      <c r="F6" s="18">
        <v>85</v>
      </c>
      <c r="G6" s="18" t="s">
        <v>81</v>
      </c>
      <c r="H6" s="19">
        <v>45481</v>
      </c>
    </row>
    <row r="7" spans="1:9" x14ac:dyDescent="0.3">
      <c r="A7" t="s">
        <v>51</v>
      </c>
      <c r="B7" t="s">
        <v>66</v>
      </c>
      <c r="C7" s="17">
        <v>35</v>
      </c>
      <c r="D7" t="s">
        <v>78</v>
      </c>
      <c r="E7" t="s">
        <v>88</v>
      </c>
      <c r="F7" s="18">
        <v>95</v>
      </c>
      <c r="G7" s="17" t="s">
        <v>79</v>
      </c>
      <c r="H7" s="19">
        <v>45815</v>
      </c>
    </row>
    <row r="8" spans="1:9" x14ac:dyDescent="0.3">
      <c r="A8" t="s">
        <v>52</v>
      </c>
      <c r="B8" t="s">
        <v>98</v>
      </c>
      <c r="C8" s="17">
        <v>30</v>
      </c>
      <c r="D8" t="s">
        <v>77</v>
      </c>
      <c r="E8" s="16" t="s">
        <v>89</v>
      </c>
      <c r="F8" s="18">
        <v>98</v>
      </c>
      <c r="G8" s="18" t="s">
        <v>81</v>
      </c>
      <c r="H8" s="19">
        <v>45909</v>
      </c>
      <c r="I8" s="16"/>
    </row>
    <row r="9" spans="1:9" x14ac:dyDescent="0.3">
      <c r="A9" t="s">
        <v>53</v>
      </c>
      <c r="B9" t="s">
        <v>67</v>
      </c>
      <c r="C9" s="17">
        <v>48</v>
      </c>
      <c r="D9" t="s">
        <v>76</v>
      </c>
      <c r="E9" t="s">
        <v>90</v>
      </c>
      <c r="F9" s="18">
        <v>70</v>
      </c>
      <c r="G9" s="17" t="s">
        <v>80</v>
      </c>
      <c r="H9" s="19">
        <v>45513</v>
      </c>
    </row>
    <row r="10" spans="1:9" x14ac:dyDescent="0.3">
      <c r="A10" t="s">
        <v>54</v>
      </c>
      <c r="B10" t="s">
        <v>68</v>
      </c>
      <c r="C10" s="17">
        <v>46</v>
      </c>
      <c r="D10" t="s">
        <v>76</v>
      </c>
      <c r="E10" t="s">
        <v>91</v>
      </c>
      <c r="F10" s="18">
        <v>94</v>
      </c>
      <c r="G10" s="18" t="s">
        <v>81</v>
      </c>
      <c r="H10" s="19">
        <v>46337</v>
      </c>
    </row>
    <row r="11" spans="1:9" x14ac:dyDescent="0.3">
      <c r="A11" t="s">
        <v>55</v>
      </c>
      <c r="B11" t="s">
        <v>69</v>
      </c>
      <c r="C11" s="17">
        <v>43</v>
      </c>
      <c r="D11" t="s">
        <v>78</v>
      </c>
      <c r="E11" t="s">
        <v>92</v>
      </c>
      <c r="F11" s="18">
        <v>91</v>
      </c>
      <c r="G11" s="17" t="s">
        <v>79</v>
      </c>
      <c r="H11" s="19">
        <v>46357</v>
      </c>
    </row>
    <row r="12" spans="1:9" x14ac:dyDescent="0.3">
      <c r="A12" t="s">
        <v>56</v>
      </c>
      <c r="B12" t="s">
        <v>70</v>
      </c>
      <c r="C12" s="17">
        <v>38</v>
      </c>
      <c r="D12" t="s">
        <v>77</v>
      </c>
      <c r="E12" t="s">
        <v>93</v>
      </c>
      <c r="F12" s="18">
        <v>90</v>
      </c>
      <c r="G12" s="18" t="s">
        <v>81</v>
      </c>
      <c r="H12" s="19">
        <v>45939</v>
      </c>
    </row>
    <row r="13" spans="1:9" x14ac:dyDescent="0.3">
      <c r="A13" t="s">
        <v>57</v>
      </c>
      <c r="B13" t="s">
        <v>71</v>
      </c>
      <c r="C13" s="17">
        <v>49</v>
      </c>
      <c r="D13" t="s">
        <v>78</v>
      </c>
      <c r="E13" t="s">
        <v>94</v>
      </c>
      <c r="F13" s="18">
        <v>89</v>
      </c>
      <c r="G13" s="17" t="s">
        <v>80</v>
      </c>
      <c r="H13" s="19">
        <v>45605</v>
      </c>
    </row>
    <row r="14" spans="1:9" x14ac:dyDescent="0.3">
      <c r="A14" t="s">
        <v>58</v>
      </c>
      <c r="B14" t="s">
        <v>99</v>
      </c>
      <c r="C14" s="17">
        <v>40</v>
      </c>
      <c r="D14" t="s">
        <v>76</v>
      </c>
      <c r="E14" t="s">
        <v>91</v>
      </c>
      <c r="F14" s="18">
        <v>88</v>
      </c>
      <c r="G14" s="18" t="s">
        <v>81</v>
      </c>
      <c r="H14" s="19">
        <v>46086</v>
      </c>
    </row>
    <row r="15" spans="1:9" x14ac:dyDescent="0.3">
      <c r="A15" t="s">
        <v>59</v>
      </c>
      <c r="B15" t="s">
        <v>72</v>
      </c>
      <c r="C15" s="17">
        <v>36</v>
      </c>
      <c r="D15" t="s">
        <v>77</v>
      </c>
      <c r="E15" t="s">
        <v>95</v>
      </c>
      <c r="F15" s="18">
        <v>87</v>
      </c>
      <c r="G15" s="17" t="s">
        <v>79</v>
      </c>
      <c r="H15" s="19">
        <v>45772</v>
      </c>
    </row>
    <row r="16" spans="1:9" x14ac:dyDescent="0.3">
      <c r="A16" t="s">
        <v>60</v>
      </c>
      <c r="B16" t="s">
        <v>73</v>
      </c>
      <c r="C16" s="17">
        <v>34</v>
      </c>
      <c r="D16" t="s">
        <v>76</v>
      </c>
      <c r="E16" t="s">
        <v>96</v>
      </c>
      <c r="F16" s="18">
        <v>92</v>
      </c>
      <c r="G16" s="17" t="s">
        <v>80</v>
      </c>
      <c r="H16" s="19">
        <v>45710</v>
      </c>
    </row>
    <row r="17" spans="1:8" x14ac:dyDescent="0.3">
      <c r="A17" t="s">
        <v>102</v>
      </c>
      <c r="B17" t="s">
        <v>114</v>
      </c>
      <c r="C17" s="17">
        <v>35</v>
      </c>
      <c r="D17" t="s">
        <v>77</v>
      </c>
      <c r="E17" t="s">
        <v>126</v>
      </c>
      <c r="F17" s="18">
        <v>81</v>
      </c>
      <c r="G17" s="20" t="s">
        <v>79</v>
      </c>
      <c r="H17" s="19">
        <v>45751</v>
      </c>
    </row>
    <row r="18" spans="1:8" x14ac:dyDescent="0.3">
      <c r="A18" t="s">
        <v>103</v>
      </c>
      <c r="B18" t="s">
        <v>115</v>
      </c>
      <c r="C18" s="17">
        <v>31</v>
      </c>
      <c r="D18" t="s">
        <v>76</v>
      </c>
      <c r="E18" t="s">
        <v>127</v>
      </c>
      <c r="F18" s="18">
        <v>80</v>
      </c>
      <c r="G18" s="20" t="s">
        <v>80</v>
      </c>
      <c r="H18" s="19">
        <v>46241</v>
      </c>
    </row>
    <row r="19" spans="1:8" x14ac:dyDescent="0.3">
      <c r="A19" t="s">
        <v>104</v>
      </c>
      <c r="B19" t="s">
        <v>116</v>
      </c>
      <c r="C19" s="17">
        <v>30</v>
      </c>
      <c r="D19" t="s">
        <v>77</v>
      </c>
      <c r="E19" t="s">
        <v>128</v>
      </c>
      <c r="F19" s="18">
        <v>79</v>
      </c>
      <c r="G19" s="20" t="s">
        <v>81</v>
      </c>
      <c r="H19" s="19">
        <v>45753</v>
      </c>
    </row>
    <row r="20" spans="1:8" x14ac:dyDescent="0.3">
      <c r="A20" t="s">
        <v>105</v>
      </c>
      <c r="B20" t="s">
        <v>117</v>
      </c>
      <c r="C20" s="17">
        <v>28</v>
      </c>
      <c r="D20" t="s">
        <v>78</v>
      </c>
      <c r="E20" t="s">
        <v>129</v>
      </c>
      <c r="F20" s="18">
        <v>78</v>
      </c>
      <c r="G20" s="20" t="s">
        <v>79</v>
      </c>
      <c r="H20" s="19">
        <v>45485</v>
      </c>
    </row>
    <row r="21" spans="1:8" x14ac:dyDescent="0.3">
      <c r="A21" t="s">
        <v>106</v>
      </c>
      <c r="B21" t="s">
        <v>118</v>
      </c>
      <c r="C21" s="17">
        <v>32</v>
      </c>
      <c r="D21" t="s">
        <v>77</v>
      </c>
      <c r="E21" t="s">
        <v>130</v>
      </c>
      <c r="F21" s="18">
        <v>92</v>
      </c>
      <c r="G21" s="20" t="s">
        <v>81</v>
      </c>
      <c r="H21" s="19">
        <v>46141</v>
      </c>
    </row>
    <row r="22" spans="1:8" x14ac:dyDescent="0.3">
      <c r="A22" t="s">
        <v>107</v>
      </c>
      <c r="B22" t="s">
        <v>119</v>
      </c>
      <c r="C22" s="17">
        <v>33</v>
      </c>
      <c r="D22" t="s">
        <v>76</v>
      </c>
      <c r="E22" t="s">
        <v>131</v>
      </c>
      <c r="F22" s="18">
        <v>93</v>
      </c>
      <c r="G22" s="20" t="s">
        <v>81</v>
      </c>
      <c r="H22" s="19">
        <v>45815</v>
      </c>
    </row>
    <row r="23" spans="1:8" x14ac:dyDescent="0.3">
      <c r="A23" t="s">
        <v>108</v>
      </c>
      <c r="B23" t="s">
        <v>120</v>
      </c>
      <c r="C23" s="17">
        <v>34</v>
      </c>
      <c r="D23" t="s">
        <v>77</v>
      </c>
      <c r="E23" t="s">
        <v>132</v>
      </c>
      <c r="F23" s="18">
        <v>95</v>
      </c>
      <c r="G23" s="20" t="s">
        <v>80</v>
      </c>
      <c r="H23" s="19">
        <v>46289</v>
      </c>
    </row>
    <row r="24" spans="1:8" x14ac:dyDescent="0.3">
      <c r="A24" t="s">
        <v>109</v>
      </c>
      <c r="B24" t="s">
        <v>121</v>
      </c>
      <c r="C24" s="17">
        <v>35</v>
      </c>
      <c r="D24" t="s">
        <v>78</v>
      </c>
      <c r="E24" t="s">
        <v>133</v>
      </c>
      <c r="F24" s="18">
        <v>94</v>
      </c>
      <c r="G24" s="20" t="s">
        <v>80</v>
      </c>
      <c r="H24" s="19">
        <v>45944</v>
      </c>
    </row>
    <row r="25" spans="1:8" x14ac:dyDescent="0.3">
      <c r="A25" t="s">
        <v>110</v>
      </c>
      <c r="B25" t="s">
        <v>122</v>
      </c>
      <c r="C25" s="17">
        <v>30</v>
      </c>
      <c r="D25" t="s">
        <v>77</v>
      </c>
      <c r="E25" t="s">
        <v>134</v>
      </c>
      <c r="F25" s="18">
        <v>97</v>
      </c>
      <c r="G25" s="20" t="s">
        <v>79</v>
      </c>
      <c r="H25" s="19">
        <v>46283</v>
      </c>
    </row>
    <row r="26" spans="1:8" x14ac:dyDescent="0.3">
      <c r="A26" t="s">
        <v>111</v>
      </c>
      <c r="B26" t="s">
        <v>123</v>
      </c>
      <c r="C26" s="17">
        <v>29</v>
      </c>
      <c r="D26" t="s">
        <v>78</v>
      </c>
      <c r="E26" t="s">
        <v>135</v>
      </c>
      <c r="F26" s="18">
        <v>94</v>
      </c>
      <c r="G26" s="20" t="s">
        <v>79</v>
      </c>
      <c r="H26" s="19">
        <v>45579</v>
      </c>
    </row>
    <row r="27" spans="1:8" x14ac:dyDescent="0.3">
      <c r="A27" t="s">
        <v>112</v>
      </c>
      <c r="B27" t="s">
        <v>124</v>
      </c>
      <c r="C27" s="17">
        <v>36</v>
      </c>
      <c r="D27" t="s">
        <v>78</v>
      </c>
      <c r="E27" t="s">
        <v>136</v>
      </c>
      <c r="F27" s="18">
        <v>84</v>
      </c>
      <c r="G27" s="20" t="s">
        <v>80</v>
      </c>
      <c r="H27" s="19">
        <v>45844</v>
      </c>
    </row>
    <row r="28" spans="1:8" x14ac:dyDescent="0.3">
      <c r="A28" t="s">
        <v>113</v>
      </c>
      <c r="B28" t="s">
        <v>125</v>
      </c>
      <c r="C28" s="17">
        <v>37</v>
      </c>
      <c r="D28" t="s">
        <v>77</v>
      </c>
      <c r="E28" t="s">
        <v>137</v>
      </c>
      <c r="F28" s="18">
        <v>75</v>
      </c>
      <c r="G28" s="20" t="s">
        <v>81</v>
      </c>
      <c r="H28" s="19">
        <v>46157</v>
      </c>
    </row>
  </sheetData>
  <phoneticPr fontId="1" type="noConversion"/>
  <pageMargins left="0.70866141732283472" right="0.70866141732283472" top="0.19685039370078741" bottom="0.19685039370078741" header="0.19685039370078741" footer="0.19685039370078741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0"/>
  <sheetViews>
    <sheetView workbookViewId="0"/>
  </sheetViews>
  <sheetFormatPr defaultRowHeight="16.5" x14ac:dyDescent="0.3"/>
  <cols>
    <col min="1" max="1" width="10.5" customWidth="1"/>
    <col min="2" max="2" width="11.625" bestFit="1" customWidth="1"/>
    <col min="3" max="3" width="13.625" customWidth="1"/>
    <col min="4" max="4" width="13.5" style="23" customWidth="1"/>
    <col min="5" max="5" width="9.875" customWidth="1"/>
    <col min="6" max="6" width="14.625" style="22" customWidth="1"/>
    <col min="7" max="7" width="12.75" customWidth="1"/>
    <col min="8" max="8" width="13.625" customWidth="1"/>
    <col min="9" max="9" width="11.375" customWidth="1"/>
  </cols>
  <sheetData>
    <row r="1" spans="1:9" x14ac:dyDescent="0.3">
      <c r="A1" t="s">
        <v>11</v>
      </c>
    </row>
    <row r="2" spans="1:9" x14ac:dyDescent="0.3">
      <c r="A2" s="21" t="s">
        <v>138</v>
      </c>
      <c r="B2" s="21" t="s">
        <v>150</v>
      </c>
      <c r="C2" s="21" t="s">
        <v>147</v>
      </c>
      <c r="D2" s="24" t="s">
        <v>41</v>
      </c>
      <c r="E2" s="21" t="s">
        <v>148</v>
      </c>
      <c r="F2" s="21" t="s">
        <v>139</v>
      </c>
      <c r="G2" s="31" t="s">
        <v>43</v>
      </c>
      <c r="H2" s="31" t="s">
        <v>149</v>
      </c>
      <c r="I2" s="31" t="s">
        <v>140</v>
      </c>
    </row>
    <row r="3" spans="1:9" x14ac:dyDescent="0.3">
      <c r="A3" s="10" t="s">
        <v>171</v>
      </c>
      <c r="B3" s="10" t="s">
        <v>159</v>
      </c>
      <c r="C3" s="10" t="s">
        <v>151</v>
      </c>
      <c r="D3" s="12">
        <v>4000000</v>
      </c>
      <c r="E3" s="25">
        <v>24</v>
      </c>
      <c r="F3" s="26">
        <v>45414</v>
      </c>
      <c r="G3" s="13"/>
      <c r="H3" s="36"/>
      <c r="I3" s="21"/>
    </row>
    <row r="4" spans="1:9" x14ac:dyDescent="0.3">
      <c r="A4" s="10" t="s">
        <v>178</v>
      </c>
      <c r="B4" s="10" t="s">
        <v>160</v>
      </c>
      <c r="C4" s="10" t="s">
        <v>158</v>
      </c>
      <c r="D4" s="12">
        <v>10000000</v>
      </c>
      <c r="E4" s="25">
        <v>40</v>
      </c>
      <c r="F4" s="26">
        <v>45551</v>
      </c>
      <c r="G4" s="13"/>
      <c r="H4" s="36"/>
      <c r="I4" s="21"/>
    </row>
    <row r="5" spans="1:9" x14ac:dyDescent="0.3">
      <c r="A5" s="10" t="s">
        <v>179</v>
      </c>
      <c r="B5" s="10" t="s">
        <v>162</v>
      </c>
      <c r="C5" s="10" t="s">
        <v>163</v>
      </c>
      <c r="D5" s="12">
        <v>15000000</v>
      </c>
      <c r="E5" s="25">
        <v>24</v>
      </c>
      <c r="F5" s="26">
        <v>45584</v>
      </c>
      <c r="G5" s="13"/>
      <c r="H5" s="36"/>
      <c r="I5" s="21"/>
    </row>
    <row r="6" spans="1:9" x14ac:dyDescent="0.3">
      <c r="A6" s="10" t="s">
        <v>172</v>
      </c>
      <c r="B6" s="10" t="s">
        <v>160</v>
      </c>
      <c r="C6" s="10" t="s">
        <v>152</v>
      </c>
      <c r="D6" s="12">
        <v>6000000</v>
      </c>
      <c r="E6" s="25">
        <v>36</v>
      </c>
      <c r="F6" s="26">
        <v>45316</v>
      </c>
      <c r="G6" s="13"/>
      <c r="H6" s="36"/>
      <c r="I6" s="21"/>
    </row>
    <row r="7" spans="1:9" x14ac:dyDescent="0.3">
      <c r="A7" s="10" t="s">
        <v>173</v>
      </c>
      <c r="B7" s="10" t="s">
        <v>161</v>
      </c>
      <c r="C7" s="10" t="s">
        <v>151</v>
      </c>
      <c r="D7" s="12">
        <v>5000000</v>
      </c>
      <c r="E7" s="25">
        <v>30</v>
      </c>
      <c r="F7" s="26">
        <v>46073</v>
      </c>
      <c r="G7" s="13"/>
      <c r="H7" s="36"/>
      <c r="I7" s="21"/>
    </row>
    <row r="8" spans="1:9" x14ac:dyDescent="0.3">
      <c r="A8" s="10" t="s">
        <v>180</v>
      </c>
      <c r="B8" s="10" t="s">
        <v>162</v>
      </c>
      <c r="C8" s="10" t="s">
        <v>151</v>
      </c>
      <c r="D8" s="12">
        <v>13000000</v>
      </c>
      <c r="E8" s="25">
        <v>18</v>
      </c>
      <c r="F8" s="26">
        <v>46158</v>
      </c>
      <c r="G8" s="13"/>
      <c r="H8" s="36"/>
      <c r="I8" s="21"/>
    </row>
    <row r="9" spans="1:9" x14ac:dyDescent="0.3">
      <c r="A9" s="10" t="s">
        <v>174</v>
      </c>
      <c r="B9" s="10" t="s">
        <v>159</v>
      </c>
      <c r="C9" s="10" t="s">
        <v>153</v>
      </c>
      <c r="D9" s="12">
        <v>2900000</v>
      </c>
      <c r="E9" s="25">
        <v>48</v>
      </c>
      <c r="F9" s="26">
        <v>45720</v>
      </c>
      <c r="G9" s="13"/>
      <c r="H9" s="36"/>
      <c r="I9" s="21"/>
    </row>
    <row r="10" spans="1:9" x14ac:dyDescent="0.3">
      <c r="A10" s="10" t="s">
        <v>175</v>
      </c>
      <c r="B10" s="10" t="s">
        <v>159</v>
      </c>
      <c r="C10" s="10" t="s">
        <v>154</v>
      </c>
      <c r="D10" s="12">
        <v>2500000</v>
      </c>
      <c r="E10" s="25">
        <v>56</v>
      </c>
      <c r="F10" s="26">
        <v>45605</v>
      </c>
      <c r="G10" s="13"/>
      <c r="H10" s="36"/>
      <c r="I10" s="21"/>
    </row>
    <row r="11" spans="1:9" x14ac:dyDescent="0.3">
      <c r="A11" s="10" t="s">
        <v>171</v>
      </c>
      <c r="B11" s="10" t="s">
        <v>159</v>
      </c>
      <c r="C11" s="10" t="s">
        <v>155</v>
      </c>
      <c r="D11" s="12">
        <v>3500000</v>
      </c>
      <c r="E11" s="25">
        <v>50</v>
      </c>
      <c r="F11" s="26">
        <v>45857</v>
      </c>
      <c r="G11" s="13"/>
      <c r="H11" s="36"/>
      <c r="I11" s="21"/>
    </row>
    <row r="12" spans="1:9" x14ac:dyDescent="0.3">
      <c r="A12" s="10" t="s">
        <v>176</v>
      </c>
      <c r="B12" s="10" t="s">
        <v>159</v>
      </c>
      <c r="C12" s="10" t="s">
        <v>156</v>
      </c>
      <c r="D12" s="12">
        <v>9000000</v>
      </c>
      <c r="E12" s="25">
        <v>48</v>
      </c>
      <c r="F12" s="26">
        <v>45815</v>
      </c>
      <c r="G12" s="13"/>
      <c r="H12" s="36"/>
      <c r="I12" s="21"/>
    </row>
    <row r="13" spans="1:9" x14ac:dyDescent="0.3">
      <c r="A13" s="10" t="s">
        <v>177</v>
      </c>
      <c r="B13" s="10" t="s">
        <v>160</v>
      </c>
      <c r="C13" s="10" t="s">
        <v>157</v>
      </c>
      <c r="D13" s="12">
        <v>11000000</v>
      </c>
      <c r="E13" s="25">
        <v>36</v>
      </c>
      <c r="F13" s="26">
        <v>45993</v>
      </c>
      <c r="G13" s="13"/>
      <c r="H13" s="36"/>
      <c r="I13" s="21"/>
    </row>
    <row r="14" spans="1:9" x14ac:dyDescent="0.3">
      <c r="A14" s="10" t="s">
        <v>182</v>
      </c>
      <c r="B14" s="10" t="s">
        <v>162</v>
      </c>
      <c r="C14" s="10" t="s">
        <v>156</v>
      </c>
      <c r="D14" s="12">
        <v>12000000</v>
      </c>
      <c r="E14" s="25">
        <v>24</v>
      </c>
      <c r="F14" s="26">
        <v>45903</v>
      </c>
      <c r="G14" s="13"/>
      <c r="H14" s="36"/>
      <c r="I14" s="21"/>
    </row>
    <row r="15" spans="1:9" x14ac:dyDescent="0.3">
      <c r="A15" s="10" t="s">
        <v>183</v>
      </c>
      <c r="B15" s="10" t="s">
        <v>161</v>
      </c>
      <c r="C15" s="10" t="s">
        <v>157</v>
      </c>
      <c r="D15" s="12">
        <v>7500000</v>
      </c>
      <c r="E15" s="25">
        <v>18</v>
      </c>
      <c r="F15" s="26">
        <v>46115</v>
      </c>
      <c r="G15" s="13"/>
      <c r="H15" s="36"/>
      <c r="I15" s="21"/>
    </row>
    <row r="16" spans="1:9" x14ac:dyDescent="0.3">
      <c r="A16" s="10" t="s">
        <v>184</v>
      </c>
      <c r="B16" s="10" t="s">
        <v>160</v>
      </c>
      <c r="C16" s="10" t="s">
        <v>158</v>
      </c>
      <c r="D16" s="12">
        <v>6500000</v>
      </c>
      <c r="E16" s="25">
        <v>24</v>
      </c>
      <c r="F16" s="26">
        <v>45330</v>
      </c>
      <c r="G16" s="13"/>
      <c r="H16" s="36"/>
      <c r="I16" s="21"/>
    </row>
    <row r="17" spans="1:9" x14ac:dyDescent="0.3">
      <c r="A17" s="10" t="s">
        <v>181</v>
      </c>
      <c r="B17" s="10" t="s">
        <v>161</v>
      </c>
      <c r="C17" s="10" t="s">
        <v>152</v>
      </c>
      <c r="D17" s="12">
        <v>8000000</v>
      </c>
      <c r="E17" s="25">
        <v>15</v>
      </c>
      <c r="F17" s="26">
        <v>45512</v>
      </c>
      <c r="G17" s="13"/>
      <c r="H17" s="36"/>
      <c r="I17" s="21"/>
    </row>
    <row r="18" spans="1:9" x14ac:dyDescent="0.3">
      <c r="A18" s="10" t="s">
        <v>185</v>
      </c>
      <c r="B18" s="10" t="s">
        <v>159</v>
      </c>
      <c r="C18" s="10" t="s">
        <v>155</v>
      </c>
      <c r="D18" s="12">
        <v>2500000</v>
      </c>
      <c r="E18" s="25">
        <v>30</v>
      </c>
      <c r="F18" s="26">
        <v>45671</v>
      </c>
      <c r="G18" s="13"/>
      <c r="H18" s="36"/>
      <c r="I18" s="21"/>
    </row>
    <row r="19" spans="1:9" x14ac:dyDescent="0.3">
      <c r="A19" s="10" t="s">
        <v>186</v>
      </c>
      <c r="B19" s="10" t="s">
        <v>159</v>
      </c>
      <c r="C19" s="10" t="s">
        <v>154</v>
      </c>
      <c r="D19" s="12">
        <v>1800000</v>
      </c>
      <c r="E19" s="25">
        <v>18</v>
      </c>
      <c r="F19" s="26">
        <v>46296</v>
      </c>
      <c r="G19" s="13"/>
      <c r="H19" s="36"/>
      <c r="I19" s="21"/>
    </row>
    <row r="20" spans="1:9" x14ac:dyDescent="0.3">
      <c r="A20" s="10" t="s">
        <v>187</v>
      </c>
      <c r="B20" s="10" t="s">
        <v>159</v>
      </c>
      <c r="C20" s="10" t="s">
        <v>153</v>
      </c>
      <c r="D20" s="12">
        <v>4500000</v>
      </c>
      <c r="E20" s="25">
        <v>48</v>
      </c>
      <c r="F20" s="26">
        <v>45825</v>
      </c>
      <c r="G20" s="13"/>
      <c r="H20" s="36"/>
      <c r="I20" s="21"/>
    </row>
    <row r="21" spans="1:9" x14ac:dyDescent="0.3">
      <c r="A21" s="10" t="s">
        <v>188</v>
      </c>
      <c r="B21" s="10" t="s">
        <v>161</v>
      </c>
      <c r="C21" s="27" t="s">
        <v>152</v>
      </c>
      <c r="D21" s="12">
        <v>8700000</v>
      </c>
      <c r="E21" s="25">
        <v>36</v>
      </c>
      <c r="F21" s="26">
        <v>45539</v>
      </c>
      <c r="G21" s="13"/>
      <c r="H21" s="36"/>
      <c r="I21" s="21"/>
    </row>
    <row r="22" spans="1:9" x14ac:dyDescent="0.3">
      <c r="A22" s="10" t="s">
        <v>189</v>
      </c>
      <c r="B22" s="10" t="s">
        <v>162</v>
      </c>
      <c r="C22" s="27" t="s">
        <v>163</v>
      </c>
      <c r="D22" s="12">
        <v>11500000</v>
      </c>
      <c r="E22" s="25">
        <v>48</v>
      </c>
      <c r="F22" s="26">
        <v>45756</v>
      </c>
      <c r="G22" s="13"/>
      <c r="H22" s="36"/>
      <c r="I22" s="21"/>
    </row>
    <row r="23" spans="1:9" x14ac:dyDescent="0.3">
      <c r="A23" s="10" t="s">
        <v>190</v>
      </c>
      <c r="B23" s="10" t="s">
        <v>160</v>
      </c>
      <c r="C23" s="27" t="s">
        <v>151</v>
      </c>
      <c r="D23" s="12">
        <v>7800000</v>
      </c>
      <c r="E23" s="25">
        <v>30</v>
      </c>
      <c r="F23" s="26">
        <v>46253</v>
      </c>
      <c r="G23" s="13"/>
      <c r="H23" s="36"/>
      <c r="I23" s="21"/>
    </row>
    <row r="24" spans="1:9" x14ac:dyDescent="0.3">
      <c r="A24" s="10" t="s">
        <v>191</v>
      </c>
      <c r="B24" s="10" t="s">
        <v>161</v>
      </c>
      <c r="C24" s="27" t="s">
        <v>157</v>
      </c>
      <c r="D24" s="12">
        <v>8200000</v>
      </c>
      <c r="E24" s="25">
        <v>40</v>
      </c>
      <c r="F24" s="26">
        <v>45568</v>
      </c>
      <c r="G24" s="13"/>
      <c r="H24" s="36"/>
      <c r="I24" s="21"/>
    </row>
    <row r="25" spans="1:9" x14ac:dyDescent="0.3">
      <c r="A25" s="10" t="s">
        <v>192</v>
      </c>
      <c r="B25" s="10" t="s">
        <v>159</v>
      </c>
      <c r="C25" s="27" t="s">
        <v>153</v>
      </c>
      <c r="D25" s="12">
        <v>2800000</v>
      </c>
      <c r="E25" s="25">
        <v>15</v>
      </c>
      <c r="F25" s="26">
        <v>45844</v>
      </c>
      <c r="G25" s="13"/>
      <c r="H25" s="36"/>
      <c r="I25" s="21"/>
    </row>
    <row r="26" spans="1:9" x14ac:dyDescent="0.3">
      <c r="A26" s="10" t="s">
        <v>193</v>
      </c>
      <c r="B26" s="10" t="s">
        <v>160</v>
      </c>
      <c r="C26" s="27" t="s">
        <v>156</v>
      </c>
      <c r="D26" s="12">
        <v>7200000</v>
      </c>
      <c r="E26" s="25">
        <v>36</v>
      </c>
      <c r="F26" s="26">
        <v>46306</v>
      </c>
      <c r="G26" s="13"/>
      <c r="H26" s="36"/>
      <c r="I26" s="21"/>
    </row>
    <row r="28" spans="1:9" x14ac:dyDescent="0.3">
      <c r="A28" t="s">
        <v>45</v>
      </c>
      <c r="F28" s="30" t="s">
        <v>145</v>
      </c>
    </row>
    <row r="29" spans="1:9" x14ac:dyDescent="0.3">
      <c r="A29" s="21" t="s">
        <v>142</v>
      </c>
      <c r="B29" s="28">
        <v>1</v>
      </c>
      <c r="C29" s="28">
        <v>2</v>
      </c>
      <c r="D29" s="29">
        <v>3</v>
      </c>
      <c r="F29" s="39" t="s">
        <v>146</v>
      </c>
      <c r="G29" s="31" t="s">
        <v>165</v>
      </c>
      <c r="H29" s="31" t="s">
        <v>166</v>
      </c>
      <c r="I29" s="31" t="s">
        <v>167</v>
      </c>
    </row>
    <row r="30" spans="1:9" x14ac:dyDescent="0.3">
      <c r="A30" s="21" t="s">
        <v>143</v>
      </c>
      <c r="B30" s="12"/>
      <c r="C30" s="12"/>
      <c r="D30" s="12"/>
      <c r="F30" s="40"/>
      <c r="G30" s="21" t="s">
        <v>168</v>
      </c>
      <c r="H30" s="21" t="s">
        <v>169</v>
      </c>
      <c r="I30" s="21" t="s">
        <v>170</v>
      </c>
    </row>
    <row r="31" spans="1:9" x14ac:dyDescent="0.3">
      <c r="A31" s="21" t="s">
        <v>164</v>
      </c>
      <c r="B31" s="12"/>
      <c r="C31" s="12"/>
      <c r="D31" s="12"/>
      <c r="F31" s="32">
        <v>2024</v>
      </c>
      <c r="G31" s="10"/>
      <c r="H31" s="10"/>
      <c r="I31" s="10"/>
    </row>
    <row r="32" spans="1:9" x14ac:dyDescent="0.3">
      <c r="A32" s="21" t="s">
        <v>144</v>
      </c>
      <c r="B32" s="12"/>
      <c r="C32" s="12"/>
      <c r="D32" s="12"/>
      <c r="F32" s="32">
        <v>2025</v>
      </c>
      <c r="G32" s="10"/>
      <c r="H32" s="10"/>
      <c r="I32" s="10"/>
    </row>
    <row r="33" spans="1:9" x14ac:dyDescent="0.3">
      <c r="F33" s="32">
        <v>2026</v>
      </c>
      <c r="G33" s="10"/>
      <c r="H33" s="10"/>
      <c r="I33" s="10"/>
    </row>
    <row r="34" spans="1:9" x14ac:dyDescent="0.3">
      <c r="A34" s="38" t="s">
        <v>141</v>
      </c>
    </row>
    <row r="35" spans="1:9" x14ac:dyDescent="0.3">
      <c r="A35" s="39" t="s">
        <v>150</v>
      </c>
      <c r="B35" s="34">
        <v>0</v>
      </c>
      <c r="C35" s="34">
        <v>5000000</v>
      </c>
      <c r="D35" s="34">
        <v>10000000</v>
      </c>
    </row>
    <row r="36" spans="1:9" x14ac:dyDescent="0.3">
      <c r="A36" s="40"/>
      <c r="B36" s="35">
        <v>5000000</v>
      </c>
      <c r="C36" s="35">
        <v>10000000</v>
      </c>
      <c r="D36" s="12"/>
    </row>
    <row r="37" spans="1:9" x14ac:dyDescent="0.3">
      <c r="A37" s="33" t="s">
        <v>159</v>
      </c>
      <c r="B37" s="12">
        <v>50000</v>
      </c>
      <c r="C37" s="12">
        <v>45000</v>
      </c>
      <c r="D37" s="12">
        <v>40000</v>
      </c>
    </row>
    <row r="38" spans="1:9" x14ac:dyDescent="0.3">
      <c r="A38" s="33" t="s">
        <v>160</v>
      </c>
      <c r="B38" s="12">
        <v>40000</v>
      </c>
      <c r="C38" s="12">
        <v>35000</v>
      </c>
      <c r="D38" s="12">
        <v>30000</v>
      </c>
    </row>
    <row r="39" spans="1:9" x14ac:dyDescent="0.3">
      <c r="A39" s="33" t="s">
        <v>161</v>
      </c>
      <c r="B39" s="12">
        <v>30000</v>
      </c>
      <c r="C39" s="12">
        <v>25000</v>
      </c>
      <c r="D39" s="12">
        <v>20000</v>
      </c>
    </row>
    <row r="40" spans="1:9" x14ac:dyDescent="0.3">
      <c r="A40" s="33" t="s">
        <v>162</v>
      </c>
      <c r="B40" s="12">
        <v>20000</v>
      </c>
      <c r="C40" s="12">
        <v>15000</v>
      </c>
      <c r="D40" s="12">
        <v>10000</v>
      </c>
    </row>
  </sheetData>
  <mergeCells count="2">
    <mergeCell ref="A35:A36"/>
    <mergeCell ref="F29:F3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6"/>
  <sheetViews>
    <sheetView workbookViewId="0"/>
  </sheetViews>
  <sheetFormatPr defaultRowHeight="16.5" x14ac:dyDescent="0.3"/>
  <cols>
    <col min="2" max="2" width="13.375" customWidth="1"/>
    <col min="3" max="8" width="12.625" customWidth="1"/>
  </cols>
  <sheetData>
    <row r="1" spans="1:8" x14ac:dyDescent="0.3">
      <c r="A1" t="s">
        <v>44</v>
      </c>
    </row>
    <row r="2" spans="1:8" x14ac:dyDescent="0.3">
      <c r="A2" s="10" t="s">
        <v>46</v>
      </c>
      <c r="B2" s="11">
        <v>4.4999999999999998E-2</v>
      </c>
    </row>
    <row r="3" spans="1:8" x14ac:dyDescent="0.3">
      <c r="A3" s="10" t="s">
        <v>42</v>
      </c>
      <c r="B3" s="15">
        <v>60</v>
      </c>
    </row>
    <row r="4" spans="1:8" x14ac:dyDescent="0.3">
      <c r="A4" s="10" t="s">
        <v>41</v>
      </c>
      <c r="B4" s="12">
        <v>-50000000</v>
      </c>
    </row>
    <row r="5" spans="1:8" x14ac:dyDescent="0.3">
      <c r="A5" s="10" t="s">
        <v>43</v>
      </c>
      <c r="B5" s="13">
        <f>PMT(B2/12,B3,B4)</f>
        <v>932150.96207583253</v>
      </c>
    </row>
    <row r="8" spans="1:8" x14ac:dyDescent="0.3">
      <c r="A8" t="s">
        <v>45</v>
      </c>
      <c r="C8" s="41"/>
      <c r="D8" s="41"/>
      <c r="E8" s="41"/>
      <c r="F8" s="41"/>
      <c r="G8" s="41"/>
      <c r="H8" s="41"/>
    </row>
    <row r="9" spans="1:8" ht="17.100000000000001" customHeight="1" x14ac:dyDescent="0.3">
      <c r="B9" s="10"/>
      <c r="C9" s="15">
        <v>12</v>
      </c>
      <c r="D9" s="15">
        <v>24</v>
      </c>
      <c r="E9" s="15">
        <v>36</v>
      </c>
      <c r="F9" s="15">
        <v>48</v>
      </c>
      <c r="G9" s="15">
        <v>60</v>
      </c>
      <c r="H9" s="15">
        <v>72</v>
      </c>
    </row>
    <row r="10" spans="1:8" x14ac:dyDescent="0.3">
      <c r="A10" s="42" t="s">
        <v>46</v>
      </c>
      <c r="B10" s="14">
        <v>0.03</v>
      </c>
      <c r="C10" s="37"/>
      <c r="D10" s="37"/>
      <c r="E10" s="37"/>
      <c r="F10" s="37"/>
      <c r="G10" s="37"/>
      <c r="H10" s="37"/>
    </row>
    <row r="11" spans="1:8" x14ac:dyDescent="0.3">
      <c r="A11" s="42"/>
      <c r="B11" s="14">
        <v>3.5000000000000003E-2</v>
      </c>
      <c r="C11" s="37"/>
      <c r="D11" s="37"/>
      <c r="E11" s="37"/>
      <c r="F11" s="37"/>
      <c r="G11" s="37"/>
      <c r="H11" s="37"/>
    </row>
    <row r="12" spans="1:8" x14ac:dyDescent="0.3">
      <c r="A12" s="42"/>
      <c r="B12" s="14">
        <v>0.04</v>
      </c>
      <c r="C12" s="37"/>
      <c r="D12" s="37"/>
      <c r="E12" s="37"/>
      <c r="F12" s="37"/>
      <c r="G12" s="37"/>
      <c r="H12" s="37"/>
    </row>
    <row r="13" spans="1:8" x14ac:dyDescent="0.3">
      <c r="A13" s="42"/>
      <c r="B13" s="14">
        <v>4.4999999999999998E-2</v>
      </c>
      <c r="C13" s="37"/>
      <c r="D13" s="37"/>
      <c r="E13" s="37"/>
      <c r="F13" s="37"/>
      <c r="G13" s="37"/>
      <c r="H13" s="37"/>
    </row>
    <row r="14" spans="1:8" x14ac:dyDescent="0.3">
      <c r="A14" s="42"/>
      <c r="B14" s="14">
        <v>0.05</v>
      </c>
      <c r="C14" s="37"/>
      <c r="D14" s="37"/>
      <c r="E14" s="37"/>
      <c r="F14" s="37"/>
      <c r="G14" s="37"/>
      <c r="H14" s="37"/>
    </row>
    <row r="15" spans="1:8" x14ac:dyDescent="0.3">
      <c r="A15" s="42"/>
      <c r="B15" s="14">
        <v>5.5E-2</v>
      </c>
      <c r="C15" s="37"/>
      <c r="D15" s="37"/>
      <c r="E15" s="37"/>
      <c r="F15" s="37"/>
      <c r="G15" s="37"/>
      <c r="H15" s="37"/>
    </row>
    <row r="16" spans="1:8" x14ac:dyDescent="0.3">
      <c r="A16" s="42"/>
      <c r="B16" s="14">
        <v>0.06</v>
      </c>
      <c r="C16" s="37"/>
      <c r="D16" s="37"/>
      <c r="E16" s="37"/>
      <c r="F16" s="37"/>
      <c r="G16" s="37"/>
      <c r="H16" s="37"/>
    </row>
  </sheetData>
  <mergeCells count="2">
    <mergeCell ref="C8:H8"/>
    <mergeCell ref="A10:A1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8"/>
  <sheetViews>
    <sheetView workbookViewId="0"/>
  </sheetViews>
  <sheetFormatPr defaultColWidth="8.625" defaultRowHeight="16.5" x14ac:dyDescent="0.3"/>
  <cols>
    <col min="1" max="1" width="15.125" style="1" customWidth="1"/>
    <col min="2" max="2" width="11.625" style="1" bestFit="1" customWidth="1"/>
    <col min="3" max="3" width="10.625" style="1" bestFit="1" customWidth="1"/>
    <col min="4" max="5" width="11.625" style="1" bestFit="1" customWidth="1"/>
    <col min="6" max="16384" width="8.625" style="1"/>
  </cols>
  <sheetData>
    <row r="1" spans="1:5" x14ac:dyDescent="0.3">
      <c r="A1" s="1" t="s">
        <v>11</v>
      </c>
    </row>
    <row r="2" spans="1:5" x14ac:dyDescent="0.3">
      <c r="A2" s="3" t="s">
        <v>5</v>
      </c>
      <c r="B2" s="3" t="s">
        <v>6</v>
      </c>
      <c r="C2" s="3" t="s">
        <v>7</v>
      </c>
      <c r="D2" s="3" t="s">
        <v>8</v>
      </c>
      <c r="E2" s="3" t="s">
        <v>4</v>
      </c>
    </row>
    <row r="3" spans="1:5" x14ac:dyDescent="0.3">
      <c r="A3" s="3" t="s">
        <v>0</v>
      </c>
      <c r="B3" s="2">
        <v>1070000</v>
      </c>
      <c r="C3" s="2">
        <v>1240000</v>
      </c>
      <c r="D3" s="2">
        <v>1440000</v>
      </c>
      <c r="E3" s="2">
        <f>SUM(B3:D3)</f>
        <v>3750000</v>
      </c>
    </row>
    <row r="4" spans="1:5" x14ac:dyDescent="0.3">
      <c r="A4" s="3" t="s">
        <v>10</v>
      </c>
      <c r="B4" s="2">
        <v>760000</v>
      </c>
      <c r="C4" s="2">
        <v>680000</v>
      </c>
      <c r="D4" s="2">
        <v>1453000</v>
      </c>
      <c r="E4" s="2">
        <f t="shared" ref="E4:E8" si="0">SUM(B4:D4)</f>
        <v>2893000</v>
      </c>
    </row>
    <row r="5" spans="1:5" x14ac:dyDescent="0.3">
      <c r="A5" s="3" t="s">
        <v>9</v>
      </c>
      <c r="B5" s="2">
        <v>1730000</v>
      </c>
      <c r="C5" s="2">
        <v>1544000</v>
      </c>
      <c r="D5" s="2">
        <v>1296000</v>
      </c>
      <c r="E5" s="2">
        <f t="shared" si="0"/>
        <v>4570000</v>
      </c>
    </row>
    <row r="6" spans="1:5" x14ac:dyDescent="0.3">
      <c r="A6" s="3" t="s">
        <v>3</v>
      </c>
      <c r="B6" s="2">
        <v>860000</v>
      </c>
      <c r="C6" s="2">
        <v>1180000</v>
      </c>
      <c r="D6" s="2">
        <v>895000</v>
      </c>
      <c r="E6" s="2">
        <f t="shared" si="0"/>
        <v>2935000</v>
      </c>
    </row>
    <row r="7" spans="1:5" x14ac:dyDescent="0.3">
      <c r="A7" s="3" t="s">
        <v>2</v>
      </c>
      <c r="B7" s="2">
        <v>950000</v>
      </c>
      <c r="C7" s="2">
        <v>1140000</v>
      </c>
      <c r="D7" s="2">
        <v>339600</v>
      </c>
      <c r="E7" s="2">
        <f t="shared" si="0"/>
        <v>2429600</v>
      </c>
    </row>
    <row r="8" spans="1:5" x14ac:dyDescent="0.3">
      <c r="A8" s="3" t="s">
        <v>194</v>
      </c>
      <c r="B8" s="2">
        <v>1460000</v>
      </c>
      <c r="C8" s="2">
        <v>872000</v>
      </c>
      <c r="D8" s="2">
        <v>681600</v>
      </c>
      <c r="E8" s="2">
        <f t="shared" si="0"/>
        <v>3013600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0"/>
  <sheetViews>
    <sheetView workbookViewId="0"/>
  </sheetViews>
  <sheetFormatPr defaultRowHeight="16.5" x14ac:dyDescent="0.3"/>
  <cols>
    <col min="3" max="3" width="10.625" customWidth="1"/>
  </cols>
  <sheetData>
    <row r="1" spans="1:4" x14ac:dyDescent="0.3">
      <c r="A1" t="s">
        <v>40</v>
      </c>
    </row>
    <row r="2" spans="1:4" x14ac:dyDescent="0.3">
      <c r="A2" s="9" t="s">
        <v>18</v>
      </c>
      <c r="B2" s="9" t="s">
        <v>19</v>
      </c>
      <c r="C2" s="9" t="s">
        <v>20</v>
      </c>
      <c r="D2" s="9" t="s">
        <v>21</v>
      </c>
    </row>
    <row r="3" spans="1:4" x14ac:dyDescent="0.3">
      <c r="A3" s="6" t="s">
        <v>22</v>
      </c>
      <c r="B3" s="7">
        <v>1101</v>
      </c>
      <c r="C3" s="8">
        <v>12000</v>
      </c>
      <c r="D3" s="7">
        <v>100</v>
      </c>
    </row>
    <row r="4" spans="1:4" x14ac:dyDescent="0.3">
      <c r="A4" s="6" t="s">
        <v>23</v>
      </c>
      <c r="B4" s="7">
        <v>3105</v>
      </c>
      <c r="C4" s="8">
        <v>10000</v>
      </c>
      <c r="D4" s="7">
        <v>150</v>
      </c>
    </row>
    <row r="5" spans="1:4" x14ac:dyDescent="0.3">
      <c r="A5" s="6" t="s">
        <v>24</v>
      </c>
      <c r="B5" s="7">
        <v>3111</v>
      </c>
      <c r="C5" s="8">
        <v>22000</v>
      </c>
      <c r="D5" s="7">
        <v>120</v>
      </c>
    </row>
    <row r="6" spans="1:4" x14ac:dyDescent="0.3">
      <c r="A6" s="6" t="s">
        <v>25</v>
      </c>
      <c r="B6" s="7">
        <v>5133</v>
      </c>
      <c r="C6" s="8">
        <v>23000</v>
      </c>
      <c r="D6" s="7">
        <v>40</v>
      </c>
    </row>
    <row r="7" spans="1:4" x14ac:dyDescent="0.3">
      <c r="A7" s="6" t="s">
        <v>26</v>
      </c>
      <c r="B7" s="7">
        <v>2142</v>
      </c>
      <c r="C7" s="8">
        <v>19000</v>
      </c>
      <c r="D7" s="7">
        <v>100</v>
      </c>
    </row>
    <row r="8" spans="1:4" x14ac:dyDescent="0.3">
      <c r="A8" s="6" t="s">
        <v>27</v>
      </c>
      <c r="B8" s="7">
        <v>4165</v>
      </c>
      <c r="C8" s="8">
        <v>17000</v>
      </c>
      <c r="D8" s="7">
        <v>120</v>
      </c>
    </row>
    <row r="9" spans="1:4" x14ac:dyDescent="0.3">
      <c r="A9" s="6" t="s">
        <v>28</v>
      </c>
      <c r="B9" s="7">
        <v>1109</v>
      </c>
      <c r="C9" s="8">
        <v>19000</v>
      </c>
      <c r="D9" s="7">
        <v>20</v>
      </c>
    </row>
    <row r="10" spans="1:4" x14ac:dyDescent="0.3">
      <c r="A10" s="6" t="s">
        <v>29</v>
      </c>
      <c r="B10" s="7">
        <v>5147</v>
      </c>
      <c r="C10" s="8">
        <v>18000</v>
      </c>
      <c r="D10" s="7">
        <v>50</v>
      </c>
    </row>
    <row r="11" spans="1:4" x14ac:dyDescent="0.3">
      <c r="A11" s="6" t="s">
        <v>30</v>
      </c>
      <c r="B11" s="7">
        <v>3127</v>
      </c>
      <c r="C11" s="8">
        <v>20000</v>
      </c>
      <c r="D11" s="7">
        <v>90</v>
      </c>
    </row>
    <row r="12" spans="1:4" x14ac:dyDescent="0.3">
      <c r="A12" s="6" t="s">
        <v>31</v>
      </c>
      <c r="B12" s="7">
        <v>2130</v>
      </c>
      <c r="C12" s="8">
        <v>21000</v>
      </c>
      <c r="D12" s="7">
        <v>130</v>
      </c>
    </row>
    <row r="13" spans="1:4" x14ac:dyDescent="0.3">
      <c r="A13" s="6" t="s">
        <v>32</v>
      </c>
      <c r="B13" s="7">
        <v>1101</v>
      </c>
      <c r="C13" s="8">
        <v>12000</v>
      </c>
      <c r="D13" s="6">
        <v>50</v>
      </c>
    </row>
    <row r="14" spans="1:4" x14ac:dyDescent="0.3">
      <c r="A14" s="6" t="s">
        <v>33</v>
      </c>
      <c r="B14" s="7">
        <v>2140</v>
      </c>
      <c r="C14" s="8">
        <v>15000</v>
      </c>
      <c r="D14" s="6">
        <v>20</v>
      </c>
    </row>
    <row r="15" spans="1:4" x14ac:dyDescent="0.3">
      <c r="A15" s="6" t="s">
        <v>34</v>
      </c>
      <c r="B15" s="7">
        <v>2122</v>
      </c>
      <c r="C15" s="8">
        <v>20000</v>
      </c>
      <c r="D15" s="6">
        <v>100</v>
      </c>
    </row>
    <row r="16" spans="1:4" x14ac:dyDescent="0.3">
      <c r="A16" s="6" t="s">
        <v>35</v>
      </c>
      <c r="B16" s="7">
        <v>3105</v>
      </c>
      <c r="C16" s="8">
        <v>10000</v>
      </c>
      <c r="D16" s="6">
        <v>200</v>
      </c>
    </row>
    <row r="17" spans="1:4" x14ac:dyDescent="0.3">
      <c r="A17" s="6" t="s">
        <v>36</v>
      </c>
      <c r="B17" s="7">
        <v>3111</v>
      </c>
      <c r="C17" s="8">
        <v>22000</v>
      </c>
      <c r="D17" s="6">
        <v>170</v>
      </c>
    </row>
    <row r="18" spans="1:4" x14ac:dyDescent="0.3">
      <c r="A18" s="6" t="s">
        <v>37</v>
      </c>
      <c r="B18" s="7">
        <v>5133</v>
      </c>
      <c r="C18" s="8">
        <v>23000</v>
      </c>
      <c r="D18" s="6">
        <v>90</v>
      </c>
    </row>
    <row r="19" spans="1:4" x14ac:dyDescent="0.3">
      <c r="A19" s="6" t="s">
        <v>38</v>
      </c>
      <c r="B19" s="7">
        <v>2142</v>
      </c>
      <c r="C19" s="8">
        <v>19000</v>
      </c>
      <c r="D19" s="6">
        <v>80</v>
      </c>
    </row>
    <row r="20" spans="1:4" x14ac:dyDescent="0.3">
      <c r="A20" s="6" t="s">
        <v>39</v>
      </c>
      <c r="B20" s="7">
        <v>4165</v>
      </c>
      <c r="C20" s="8">
        <v>17000</v>
      </c>
      <c r="D20" s="6">
        <v>20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0"/>
  <sheetViews>
    <sheetView workbookViewId="0"/>
  </sheetViews>
  <sheetFormatPr defaultRowHeight="16.5" x14ac:dyDescent="0.3"/>
  <cols>
    <col min="9" max="9" width="12.375" bestFit="1" customWidth="1"/>
  </cols>
  <sheetData>
    <row r="1" spans="1:9" x14ac:dyDescent="0.3">
      <c r="A1" t="s">
        <v>14</v>
      </c>
    </row>
    <row r="2" spans="1:9" x14ac:dyDescent="0.3">
      <c r="A2" t="s">
        <v>15</v>
      </c>
      <c r="B2" t="s">
        <v>16</v>
      </c>
      <c r="C2" t="s">
        <v>12</v>
      </c>
      <c r="D2" t="s">
        <v>13</v>
      </c>
    </row>
    <row r="4" spans="1:9" x14ac:dyDescent="0.3">
      <c r="I4" s="4" t="s">
        <v>17</v>
      </c>
    </row>
    <row r="5" spans="1:9" x14ac:dyDescent="0.3">
      <c r="I5" s="5" t="s">
        <v>0</v>
      </c>
    </row>
    <row r="6" spans="1:9" x14ac:dyDescent="0.3">
      <c r="I6" s="5" t="s">
        <v>10</v>
      </c>
    </row>
    <row r="7" spans="1:9" x14ac:dyDescent="0.3">
      <c r="I7" s="5" t="s">
        <v>9</v>
      </c>
    </row>
    <row r="8" spans="1:9" x14ac:dyDescent="0.3">
      <c r="I8" s="5" t="s">
        <v>3</v>
      </c>
    </row>
    <row r="9" spans="1:9" x14ac:dyDescent="0.3">
      <c r="I9" s="5" t="s">
        <v>2</v>
      </c>
    </row>
    <row r="10" spans="1:9" x14ac:dyDescent="0.3">
      <c r="I10" s="5" t="s">
        <v>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판매등록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7169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계산작업!Extract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2023-02-18T09:21:08Z</dcterms:created>
  <dcterms:modified xsi:type="dcterms:W3CDTF">2023-10-16T22:26:46Z</dcterms:modified>
</cp:coreProperties>
</file>