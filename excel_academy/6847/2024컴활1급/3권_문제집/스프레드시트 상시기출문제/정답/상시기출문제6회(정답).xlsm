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4035BC1A-FE83-4CB7-8EE4-9FB7F0D4C918}" xr6:coauthVersionLast="47" xr6:coauthVersionMax="47" xr10:uidLastSave="{00000000-0000-0000-0000-000000000000}"/>
  <bookViews>
    <workbookView xWindow="2010" yWindow="1455" windowWidth="29130" windowHeight="16500" tabRatio="762" activeTab="2" xr2:uid="{00000000-000D-0000-FFFF-FFFF00000000}"/>
  </bookViews>
  <sheets>
    <sheet name="기본작업-1" sheetId="9" r:id="rId1"/>
    <sheet name="기본작업-2" sheetId="12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5" r:id="rId7"/>
    <sheet name="기타작업-3" sheetId="7" r:id="rId8"/>
  </sheets>
  <functionGroups builtInGroupCount="19"/>
  <definedNames>
    <definedName name="_xlnm._FilterDatabase" localSheetId="0" hidden="1">'기본작업-1'!$B$2:$G$43</definedName>
    <definedName name="_xlnm._FilterDatabase" localSheetId="4" hidden="1">'분석작업-2'!$B$2:$F$35</definedName>
    <definedName name="_xlnm.Criteria" localSheetId="0">'기본작업-1'!$I$2:$I$3</definedName>
    <definedName name="_xlnm.Extract" localSheetId="0">'기본작업-1'!$I$7:$M$7</definedName>
    <definedName name="_xlnm.Print_Area" localSheetId="0">'기본작업-1'!$B$2:$G$43</definedName>
    <definedName name="_xlnm.Print_Area" localSheetId="1">'기본작업-2'!$B$2:$D$42</definedName>
    <definedName name="_xlnm.Print_Titles" localSheetId="0">'기본작업-1'!$2:$2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" i="3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5" i="5"/>
  <c r="F14" i="5"/>
  <c r="F13" i="5"/>
  <c r="F12" i="5"/>
  <c r="F11" i="5"/>
  <c r="F10" i="5"/>
  <c r="F9" i="5"/>
  <c r="F8" i="5"/>
  <c r="F7" i="5"/>
  <c r="J5" i="3" a="1"/>
  <c r="J15" i="3" a="1"/>
  <c r="J25" i="3" a="1"/>
  <c r="J35" i="3" a="1"/>
  <c r="J18" i="3" a="1"/>
  <c r="J19" i="3" a="1"/>
  <c r="J39" i="3" a="1"/>
  <c r="J20" i="3" a="1"/>
  <c r="J11" i="3" a="1"/>
  <c r="J41" i="3" a="1"/>
  <c r="J22" i="3" a="1"/>
  <c r="J42" i="3" a="1"/>
  <c r="J23" i="3" a="1"/>
  <c r="J34" i="3" a="1"/>
  <c r="J6" i="3" a="1"/>
  <c r="J16" i="3" a="1"/>
  <c r="J26" i="3" a="1"/>
  <c r="J36" i="3" a="1"/>
  <c r="J7" i="3" a="1"/>
  <c r="J17" i="3" a="1"/>
  <c r="J27" i="3" a="1"/>
  <c r="J37" i="3" a="1"/>
  <c r="J8" i="3" a="1"/>
  <c r="J28" i="3" a="1"/>
  <c r="J38" i="3" a="1"/>
  <c r="J9" i="3" a="1"/>
  <c r="J29" i="3" a="1"/>
  <c r="J10" i="3" a="1"/>
  <c r="J21" i="3" a="1"/>
  <c r="J31" i="3" a="1"/>
  <c r="J12" i="3" a="1"/>
  <c r="J32" i="3" a="1"/>
  <c r="J13" i="3" a="1"/>
  <c r="J33" i="3" a="1"/>
  <c r="J14" i="3" a="1"/>
  <c r="J24" i="3" a="1"/>
  <c r="J40" i="3" a="1"/>
  <c r="J30" i="3" a="1"/>
  <c r="J4" i="3" a="1"/>
  <c r="J30" i="3" l="1"/>
  <c r="J40" i="3"/>
  <c r="J24" i="3"/>
  <c r="J14" i="3"/>
  <c r="J33" i="3"/>
  <c r="J13" i="3"/>
  <c r="J32" i="3"/>
  <c r="J12" i="3"/>
  <c r="J31" i="3"/>
  <c r="J21" i="3"/>
  <c r="J10" i="3"/>
  <c r="J29" i="3"/>
  <c r="J9" i="3"/>
  <c r="J38" i="3"/>
  <c r="J28" i="3"/>
  <c r="J8" i="3"/>
  <c r="J37" i="3"/>
  <c r="J27" i="3"/>
  <c r="J17" i="3"/>
  <c r="J7" i="3"/>
  <c r="J36" i="3"/>
  <c r="J26" i="3"/>
  <c r="J16" i="3"/>
  <c r="J6" i="3"/>
  <c r="J34" i="3"/>
  <c r="J23" i="3"/>
  <c r="J42" i="3"/>
  <c r="J22" i="3"/>
  <c r="J41" i="3"/>
  <c r="J11" i="3"/>
  <c r="J20" i="3"/>
  <c r="J39" i="3"/>
  <c r="J19" i="3"/>
  <c r="J18" i="3"/>
  <c r="J35" i="3"/>
  <c r="J25" i="3"/>
  <c r="J15" i="3"/>
  <c r="J5" i="3"/>
  <c r="J4" i="3"/>
  <c r="I3" i="9"/>
  <c r="N22" i="3" l="1" a="1"/>
  <c r="N22" i="3" s="1"/>
  <c r="N23" i="3" a="1"/>
  <c r="N23" i="3" s="1"/>
  <c r="N24" i="3" a="1"/>
  <c r="N24" i="3" s="1"/>
  <c r="N21" i="3" a="1"/>
  <c r="N21" i="3" s="1"/>
  <c r="O14" i="3" a="1"/>
  <c r="O14" i="3" s="1"/>
  <c r="P14" i="3" a="1"/>
  <c r="P14" i="3" s="1"/>
  <c r="O15" i="3" a="1"/>
  <c r="O15" i="3" s="1"/>
  <c r="P15" i="3" a="1"/>
  <c r="P15" i="3" s="1"/>
  <c r="O16" i="3" a="1"/>
  <c r="O16" i="3" s="1"/>
  <c r="P16" i="3" a="1"/>
  <c r="P16" i="3" s="1"/>
  <c r="N15" i="3" a="1"/>
  <c r="N15" i="3" s="1"/>
  <c r="N16" i="3" a="1"/>
  <c r="N16" i="3" s="1"/>
  <c r="N14" i="3" a="1"/>
  <c r="N14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기출문제\생활기상정보.accdb;DefaultDir=E:\영진(2021년)\1급\excel\스프레드시트(파일) - 최종\기출문제;DriverId=25;FIL=MS Access;MaxBufferSize=2048;PageTimeout=5;" command="SELECT 기상자료.지역, 기상자료.기상, 기상자료.`12월`, 기상자료.`1월`, 기상자료.`2월`, 기상자료.`3월`, 기상자료.`4월`, 기상자료.`5월`_x000d__x000a_FROM 기상자료 기상자료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<sst xmlns="http://schemas.openxmlformats.org/spreadsheetml/2006/main" count="710" uniqueCount="261">
  <si>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</si>
  <si>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</si>
  <si>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</si>
  <si>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</si>
  <si>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</si>
  <si>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</si>
  <si>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</si>
  <si>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</si>
  <si>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김*영</t>
    <phoneticPr fontId="10" type="noConversion"/>
  </si>
  <si>
    <t>지식재산 금융과 법제도</t>
  </si>
  <si>
    <t>김승열</t>
  </si>
  <si>
    <t>값싼 음식의 실제 가격</t>
  </si>
  <si>
    <t>마이클 캐롤런</t>
  </si>
  <si>
    <t>조*현</t>
    <phoneticPr fontId="10" type="noConversion"/>
  </si>
  <si>
    <t>입고예정</t>
    <phoneticPr fontId="10" type="noConversion"/>
  </si>
  <si>
    <t>0년</t>
  </si>
  <si>
    <t>이안 부루마</t>
  </si>
  <si>
    <t>나이트 워치 상</t>
  </si>
  <si>
    <t>세르게이 루키야넨코</t>
  </si>
  <si>
    <t>정*지</t>
    <phoneticPr fontId="10" type="noConversion"/>
  </si>
  <si>
    <t>행운 연습</t>
  </si>
  <si>
    <t>류쉬안</t>
  </si>
  <si>
    <t>박*정</t>
    <phoneticPr fontId="10" type="noConversion"/>
  </si>
  <si>
    <t>새 하늘과 새 땅</t>
  </si>
  <si>
    <t>리처드 미들턴</t>
  </si>
  <si>
    <t>정*식</t>
    <phoneticPr fontId="10" type="noConversion"/>
  </si>
  <si>
    <t>알라</t>
    <phoneticPr fontId="10" type="noConversion"/>
  </si>
  <si>
    <t>미로슬라브 볼프</t>
  </si>
  <si>
    <t>정*울</t>
    <phoneticPr fontId="10" type="noConversion"/>
  </si>
  <si>
    <t>섬을 탈출하는 방법</t>
  </si>
  <si>
    <t>조형근, 김종배</t>
  </si>
  <si>
    <t>박*철</t>
    <phoneticPr fontId="10" type="noConversion"/>
  </si>
  <si>
    <t>내 몸의 바운스를 깨워라</t>
  </si>
  <si>
    <t>옥주현</t>
    <phoneticPr fontId="10" type="noConversion"/>
  </si>
  <si>
    <t>김*화</t>
    <phoneticPr fontId="10" type="noConversion"/>
  </si>
  <si>
    <t>벤저민 그레이엄의 정량분석 Quant</t>
  </si>
  <si>
    <t>스티븐 P. 그라이너</t>
  </si>
  <si>
    <t>민*준</t>
    <phoneticPr fontId="10" type="noConversion"/>
  </si>
  <si>
    <t>라플라스의 마녀</t>
    <phoneticPr fontId="10" type="noConversion"/>
  </si>
  <si>
    <t>히가시노게이고</t>
  </si>
  <si>
    <t>김*연</t>
    <phoneticPr fontId="10" type="noConversion"/>
  </si>
  <si>
    <t>우선신청도서</t>
    <phoneticPr fontId="10" type="noConversion"/>
  </si>
  <si>
    <t>글쓰는 여자의 공간</t>
  </si>
  <si>
    <t>타니아 슐리</t>
  </si>
  <si>
    <t>조*혜</t>
    <phoneticPr fontId="10" type="noConversion"/>
  </si>
  <si>
    <t>돼지 루퍼스, 학교에 가다</t>
  </si>
  <si>
    <t>킴 그리스웰</t>
  </si>
  <si>
    <t>이*경</t>
    <phoneticPr fontId="10" type="noConversion"/>
  </si>
  <si>
    <t>빼꼼 아저씨네 동물원</t>
  </si>
  <si>
    <t>케빈 월드론</t>
  </si>
  <si>
    <t>주*민</t>
    <phoneticPr fontId="10" type="noConversion"/>
  </si>
  <si>
    <t>부동산의 보이지 않는 진실</t>
    <phoneticPr fontId="10" type="noConversion"/>
  </si>
  <si>
    <t>이재범 외1</t>
    <phoneticPr fontId="10" type="noConversion"/>
  </si>
  <si>
    <t>영재들의 비밀습관 하브루타</t>
    <phoneticPr fontId="10" type="noConversion"/>
  </si>
  <si>
    <t>장성애</t>
    <phoneticPr fontId="10" type="noConversion"/>
  </si>
  <si>
    <t>정*정</t>
    <phoneticPr fontId="10" type="noConversion"/>
  </si>
  <si>
    <t>Why? 소프트웨어와 코딩</t>
    <phoneticPr fontId="10" type="noConversion"/>
  </si>
  <si>
    <t>조영선</t>
    <phoneticPr fontId="10" type="noConversion"/>
  </si>
  <si>
    <t>변*우</t>
    <phoneticPr fontId="10" type="noConversion"/>
  </si>
  <si>
    <t>나는 단순하게 살기로 했다</t>
    <phoneticPr fontId="10" type="noConversion"/>
  </si>
  <si>
    <t>사사키 후미오</t>
    <phoneticPr fontId="10" type="noConversion"/>
  </si>
  <si>
    <t>김*선</t>
    <phoneticPr fontId="10" type="noConversion"/>
  </si>
  <si>
    <t>나는 누구인가 - 인문학 최고의 공부</t>
    <phoneticPr fontId="10" type="noConversion"/>
  </si>
  <si>
    <t>강신주, 고미숙 외5</t>
    <phoneticPr fontId="10" type="noConversion"/>
  </si>
  <si>
    <t>송*자</t>
    <phoneticPr fontId="10" type="noConversion"/>
  </si>
  <si>
    <t>음의 방정식</t>
    <phoneticPr fontId="10" type="noConversion"/>
  </si>
  <si>
    <t>미야베 미유키</t>
    <phoneticPr fontId="10" type="noConversion"/>
  </si>
  <si>
    <t>이*아</t>
    <phoneticPr fontId="10" type="noConversion"/>
  </si>
  <si>
    <t>인성이 실력이다</t>
    <phoneticPr fontId="10" type="noConversion"/>
  </si>
  <si>
    <t>조벽</t>
    <phoneticPr fontId="10" type="noConversion"/>
  </si>
  <si>
    <t>고*원</t>
    <phoneticPr fontId="10" type="noConversion"/>
  </si>
  <si>
    <t>학교를 개선하는 교사</t>
    <phoneticPr fontId="10" type="noConversion"/>
  </si>
  <si>
    <t>마이클 풀란</t>
    <phoneticPr fontId="10" type="noConversion"/>
  </si>
  <si>
    <t>한*원</t>
    <phoneticPr fontId="10" type="noConversion"/>
  </si>
  <si>
    <t>혁신교육에 대한 교육학적 성찰</t>
    <phoneticPr fontId="10" type="noConversion"/>
  </si>
  <si>
    <t>한국교육연구네트워크</t>
    <phoneticPr fontId="10" type="noConversion"/>
  </si>
  <si>
    <t>부시파일럿, 나는 길이 없는 곳으로 간다</t>
    <phoneticPr fontId="10" type="noConversion"/>
  </si>
  <si>
    <t>오현호</t>
    <phoneticPr fontId="10" type="noConversion"/>
  </si>
  <si>
    <t>최*설</t>
    <phoneticPr fontId="10" type="noConversion"/>
  </si>
  <si>
    <t>ENJOY 훗카이도(2015-2016)</t>
    <phoneticPr fontId="10" type="noConversion"/>
  </si>
  <si>
    <t>정태관,박용준,민보영</t>
    <phoneticPr fontId="10" type="noConversion"/>
  </si>
  <si>
    <t>우리 아이 유치원 에이스 만들기</t>
  </si>
  <si>
    <t>에이미</t>
  </si>
  <si>
    <t>Duck and Goose, Goose Needs a Hug</t>
  </si>
  <si>
    <t>Tad Hills</t>
  </si>
  <si>
    <t>김*레</t>
    <phoneticPr fontId="10" type="noConversion"/>
  </si>
  <si>
    <t>3월입고예정</t>
    <phoneticPr fontId="10" type="noConversion"/>
  </si>
  <si>
    <t>Duck &amp; Goose : Find a Pumpkin</t>
    <phoneticPr fontId="10" type="noConversion"/>
  </si>
  <si>
    <t>스웨덴 엄마의 말하기 수업</t>
  </si>
  <si>
    <t>페트라 크란츠 린드그렌</t>
  </si>
  <si>
    <t>김*일</t>
    <phoneticPr fontId="10" type="noConversion"/>
  </si>
  <si>
    <t>잠자고 싶은 토끼</t>
    <phoneticPr fontId="10" type="noConversion"/>
  </si>
  <si>
    <t>칼 요한 포센 엘린</t>
  </si>
  <si>
    <t>정*희</t>
    <phoneticPr fontId="10" type="noConversion"/>
  </si>
  <si>
    <t>뭐? 나랑 너랑 닮았다고!?</t>
    <phoneticPr fontId="10" type="noConversion"/>
  </si>
  <si>
    <t>고미 타로</t>
  </si>
  <si>
    <t>2030년에는 투명망토가 나올까</t>
    <phoneticPr fontId="10" type="noConversion"/>
  </si>
  <si>
    <t>얀 파울 스취턴</t>
  </si>
  <si>
    <t>김*윤</t>
    <phoneticPr fontId="10" type="noConversion"/>
  </si>
  <si>
    <t>조금만 기다려봐</t>
  </si>
  <si>
    <t>케빈 행크스</t>
  </si>
  <si>
    <t>김*송</t>
    <phoneticPr fontId="10" type="noConversion"/>
  </si>
  <si>
    <t>프랑스 여자는 늙지 않는다</t>
  </si>
  <si>
    <t>미리유 길리아노</t>
  </si>
  <si>
    <t>자본에 관한 불편한 진실</t>
    <phoneticPr fontId="10" type="noConversion"/>
  </si>
  <si>
    <t>정철진</t>
    <phoneticPr fontId="10" type="noConversion"/>
  </si>
  <si>
    <t>맹*현</t>
    <phoneticPr fontId="10" type="noConversion"/>
  </si>
  <si>
    <t>당나귀와 다이아몬드</t>
    <phoneticPr fontId="10" type="noConversion"/>
  </si>
  <si>
    <t>D&amp;B</t>
  </si>
  <si>
    <t>오*진</t>
    <phoneticPr fontId="10" type="noConversion"/>
  </si>
  <si>
    <t>품절도서</t>
    <phoneticPr fontId="10" type="noConversion"/>
  </si>
  <si>
    <t>아바타 나영일</t>
    <phoneticPr fontId="10" type="noConversion"/>
  </si>
  <si>
    <t>박상재</t>
    <phoneticPr fontId="10" type="noConversion"/>
  </si>
  <si>
    <t>Extra Yarn</t>
  </si>
  <si>
    <t>Mac Barnett</t>
  </si>
  <si>
    <t>이*숙</t>
    <phoneticPr fontId="10" type="noConversion"/>
  </si>
  <si>
    <t>3월말입고예정</t>
    <phoneticPr fontId="10" type="noConversion"/>
  </si>
  <si>
    <t>The Unfinished Angel</t>
  </si>
  <si>
    <t>Creech, Sharon</t>
  </si>
  <si>
    <t>서*원</t>
    <phoneticPr fontId="10" type="noConversion"/>
  </si>
  <si>
    <t>겉은 노란</t>
    <phoneticPr fontId="10" type="noConversion"/>
  </si>
  <si>
    <t>파트릭 종대 룬드베리</t>
    <phoneticPr fontId="10" type="noConversion"/>
  </si>
  <si>
    <t>채*아</t>
    <phoneticPr fontId="10" type="noConversion"/>
  </si>
  <si>
    <t>[표1]</t>
    <phoneticPr fontId="1" type="noConversion"/>
  </si>
  <si>
    <t>[표2]</t>
    <phoneticPr fontId="1" type="noConversion"/>
  </si>
  <si>
    <t>[표3]</t>
    <phoneticPr fontId="1" type="noConversion"/>
  </si>
  <si>
    <t>성명</t>
    <phoneticPr fontId="10" type="noConversion"/>
  </si>
  <si>
    <t>관계</t>
  </si>
  <si>
    <t>부양공제</t>
  </si>
  <si>
    <t>소득공제</t>
    <phoneticPr fontId="10" type="noConversion"/>
  </si>
  <si>
    <t>소득공제내용</t>
    <phoneticPr fontId="10" type="noConversion"/>
  </si>
  <si>
    <t>법인명</t>
    <phoneticPr fontId="10" type="noConversion"/>
  </si>
  <si>
    <t>사업자번호</t>
    <phoneticPr fontId="10" type="noConversion"/>
  </si>
  <si>
    <t>금액</t>
    <phoneticPr fontId="10" type="noConversion"/>
  </si>
  <si>
    <t>의료비보조</t>
    <phoneticPr fontId="10" type="noConversion"/>
  </si>
  <si>
    <t>김가인</t>
  </si>
  <si>
    <t>모</t>
  </si>
  <si>
    <t>일반의료비</t>
  </si>
  <si>
    <t>간소화자료</t>
  </si>
  <si>
    <t>사랑의원</t>
    <phoneticPr fontId="1" type="noConversion"/>
  </si>
  <si>
    <t>사랑의원</t>
    <phoneticPr fontId="1" type="noConversion"/>
  </si>
  <si>
    <t>주인철</t>
  </si>
  <si>
    <t>부</t>
    <phoneticPr fontId="1" type="noConversion"/>
  </si>
  <si>
    <t>한국대학교</t>
    <phoneticPr fontId="10" type="noConversion"/>
  </si>
  <si>
    <t>123-45-6789</t>
    <phoneticPr fontId="1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</si>
  <si>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</si>
  <si>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</si>
  <si>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</si>
  <si>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</si>
  <si>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</si>
  <si>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</si>
  <si>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</si>
  <si>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</si>
  <si>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</si>
  <si>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</si>
  <si>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</si>
  <si>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</si>
  <si>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</si>
  <si>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</si>
  <si>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</si>
  <si>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123-45-6793</t>
  </si>
  <si>
    <t>중앙병원</t>
  </si>
  <si>
    <t>123-45-6794</t>
  </si>
  <si>
    <t>전통시장</t>
  </si>
  <si>
    <t>중앙병원</t>
    <phoneticPr fontId="1" type="noConversion"/>
  </si>
  <si>
    <t>[표4]</t>
    <phoneticPr fontId="1" type="noConversion"/>
  </si>
  <si>
    <t>(단위: 천원)</t>
    <phoneticPr fontId="1" type="noConversion"/>
  </si>
  <si>
    <t>임윤아</t>
    <phoneticPr fontId="1" type="noConversion"/>
  </si>
  <si>
    <t>처</t>
    <phoneticPr fontId="1" type="noConversion"/>
  </si>
  <si>
    <t>지정기부금</t>
  </si>
  <si>
    <t>법인</t>
  </si>
  <si>
    <t>사단법인</t>
    <phoneticPr fontId="1" type="noConversion"/>
  </si>
  <si>
    <t>일반사용분</t>
    <phoneticPr fontId="10" type="noConversion"/>
  </si>
  <si>
    <t>대중교통</t>
    <phoneticPr fontId="10" type="noConversion"/>
  </si>
  <si>
    <t>전통시장</t>
    <phoneticPr fontId="10" type="noConversion"/>
  </si>
  <si>
    <t>처</t>
    <phoneticPr fontId="1" type="noConversion"/>
  </si>
  <si>
    <t>임윤아</t>
    <phoneticPr fontId="1" type="noConversion"/>
  </si>
  <si>
    <t>직불카드</t>
  </si>
  <si>
    <t>임윤아</t>
    <phoneticPr fontId="1" type="noConversion"/>
  </si>
  <si>
    <t>부</t>
  </si>
  <si>
    <t>[표5]</t>
    <phoneticPr fontId="1" type="noConversion"/>
  </si>
  <si>
    <t>관계</t>
    <phoneticPr fontId="10" type="noConversion"/>
  </si>
  <si>
    <t>일반의료비</t>
    <phoneticPr fontId="10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</si>
  <si>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</si>
  <si>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</si>
  <si>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</si>
  <si>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</si>
  <si>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상공카드</t>
    <phoneticPr fontId="1" type="noConversion"/>
  </si>
  <si>
    <t>상공카드</t>
    <phoneticPr fontId="1" type="noConversion"/>
  </si>
  <si>
    <t>사랑의원</t>
  </si>
  <si>
    <t>기상</t>
  </si>
  <si>
    <t>지역</t>
  </si>
  <si>
    <t>강수량</t>
  </si>
  <si>
    <t>강원</t>
  </si>
  <si>
    <t>경상</t>
  </si>
  <si>
    <t>전라</t>
  </si>
  <si>
    <t>충청</t>
  </si>
  <si>
    <t>경기</t>
  </si>
  <si>
    <t>제주</t>
  </si>
  <si>
    <t>최고기온</t>
  </si>
  <si>
    <t>평균온도</t>
  </si>
  <si>
    <t>습도</t>
  </si>
  <si>
    <t>지역명</t>
  </si>
  <si>
    <t>강릉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</si>
  <si>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</si>
  <si>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</si>
  <si>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</si>
  <si>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</si>
  <si>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</si>
  <si>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</si>
  <si>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</si>
  <si>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</si>
  <si>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</si>
  <si>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</si>
  <si>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주요도시 빗물의 산도 [단위 : pH]</t>
  </si>
  <si>
    <t>[표1]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</si>
  <si>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</si>
  <si>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</si>
  <si>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</si>
  <si>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</si>
  <si>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</si>
  <si>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</si>
  <si>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</si>
  <si>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비고</t>
    <phoneticPr fontId="10" type="noConversion"/>
  </si>
  <si>
    <t>홍희주</t>
  </si>
  <si>
    <t>유지연</t>
  </si>
  <si>
    <t>출석미달</t>
  </si>
  <si>
    <t>조건</t>
    <phoneticPr fontId="1" type="noConversion"/>
  </si>
  <si>
    <t>값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</si>
  <si>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</si>
  <si>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</si>
  <si>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</si>
  <si>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</si>
  <si>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</si>
  <si>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</si>
  <si>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</si>
  <si>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</si>
  <si>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</si>
  <si>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</si>
  <si>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합계 : 겨울기상</t>
  </si>
  <si>
    <t>합계 : 봄기상</t>
  </si>
  <si>
    <t>전체 합계 : 겨울기상</t>
  </si>
  <si>
    <t>전체 합계 : 봄기상</t>
  </si>
  <si>
    <t>꽃</t>
  </si>
  <si>
    <t>개화일</t>
  </si>
  <si>
    <t>평년</t>
  </si>
  <si>
    <t>평년차</t>
  </si>
  <si>
    <t>개나리</t>
  </si>
  <si>
    <t>벚꽃</t>
  </si>
  <si>
    <t>진달래</t>
  </si>
  <si>
    <t>벚꽃</t>
    <phoneticPr fontId="1" type="noConversion"/>
  </si>
  <si>
    <t>진달래</t>
    <phoneticPr fontId="1" type="noConversion"/>
  </si>
  <si>
    <t>개나리</t>
    <phoneticPr fontId="1" type="noConversion"/>
  </si>
  <si>
    <t>꽃</t>
    <phoneticPr fontId="1" type="noConversion"/>
  </si>
  <si>
    <t>개화일</t>
    <phoneticPr fontId="1" type="noConversion"/>
  </si>
  <si>
    <t>평년</t>
    <phoneticPr fontId="10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</si>
  <si>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</si>
  <si>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</si>
  <si>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</si>
  <si>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</si>
  <si>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2025-02-29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</si>
</sst>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General&quot;년&quot;"/>
    <numFmt numFmtId="178" formatCode="mm&quot;월&quot;\ dd&quot;일&quot;;@"/>
    <numFmt numFmtId="179" formatCode="[Blue]0.0;[Red]0.0;&quot;●&quot;"/>
  </numFmts>
  <fonts count="3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indexed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rgb="FF7030A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0" borderId="0"/>
  </cellStyleXfs>
  <cellXfs count="6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0" xfId="0" applyFont="1">
      <alignment vertical="center"/>
    </xf>
    <xf numFmtId="0" fontId="13" fillId="0" borderId="2" xfId="7" applyFont="1" applyBorder="1" applyAlignment="1">
      <alignment horizontal="center" vertical="center"/>
    </xf>
    <xf numFmtId="0" fontId="15" fillId="0" borderId="0" xfId="5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vertical="center" wrapText="1"/>
    </xf>
    <xf numFmtId="3" fontId="16" fillId="5" borderId="5" xfId="0" applyNumberFormat="1" applyFont="1" applyFill="1" applyBorder="1" applyAlignment="1">
      <alignment horizontal="right" vertical="center" wrapText="1"/>
    </xf>
    <xf numFmtId="3" fontId="11" fillId="0" borderId="3" xfId="1" applyNumberFormat="1" applyFont="1" applyBorder="1">
      <alignment vertical="center"/>
    </xf>
    <xf numFmtId="3" fontId="11" fillId="0" borderId="0" xfId="1" applyNumberFormat="1" applyFont="1" applyBorder="1">
      <alignment vertical="center"/>
    </xf>
    <xf numFmtId="0" fontId="16" fillId="5" borderId="2" xfId="0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horizontal="center" vertical="center" wrapText="1"/>
    </xf>
    <xf numFmtId="0" fontId="16" fillId="5" borderId="6" xfId="7" applyFont="1" applyFill="1" applyBorder="1" applyAlignment="1">
      <alignment vertical="center" wrapText="1"/>
    </xf>
    <xf numFmtId="3" fontId="16" fillId="5" borderId="7" xfId="7" applyNumberFormat="1" applyFont="1" applyFill="1" applyBorder="1" applyAlignment="1">
      <alignment horizontal="right" vertical="center" wrapText="1"/>
    </xf>
    <xf numFmtId="3" fontId="11" fillId="0" borderId="2" xfId="1" applyNumberFormat="1" applyFont="1" applyBorder="1">
      <alignment vertical="center"/>
    </xf>
    <xf numFmtId="0" fontId="16" fillId="5" borderId="2" xfId="7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horizontal="center" vertical="center" wrapText="1"/>
    </xf>
    <xf numFmtId="0" fontId="16" fillId="5" borderId="6" xfId="0" applyFont="1" applyFill="1" applyBorder="1" applyAlignment="1">
      <alignment vertical="center" wrapText="1"/>
    </xf>
    <xf numFmtId="3" fontId="16" fillId="5" borderId="7" xfId="0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3" fontId="11" fillId="0" borderId="2" xfId="1" applyNumberFormat="1" applyFont="1" applyBorder="1" applyAlignment="1">
      <alignment horizontal="right" vertical="center"/>
    </xf>
    <xf numFmtId="0" fontId="16" fillId="0" borderId="0" xfId="4" applyFont="1" applyFill="1" applyBorder="1" applyAlignment="1">
      <alignment vertical="center" wrapText="1"/>
    </xf>
    <xf numFmtId="0" fontId="18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4" fillId="6" borderId="2" xfId="5" applyFont="1" applyFill="1" applyBorder="1" applyAlignment="1">
      <alignment horizontal="center" vertical="center"/>
    </xf>
    <xf numFmtId="0" fontId="17" fillId="7" borderId="2" xfId="4" applyFont="1" applyFill="1" applyBorder="1" applyAlignment="1">
      <alignment vertical="center" wrapText="1"/>
    </xf>
    <xf numFmtId="0" fontId="3" fillId="0" borderId="8" xfId="2" applyBorder="1" applyAlignment="1">
      <alignment vertical="center"/>
    </xf>
    <xf numFmtId="0" fontId="20" fillId="0" borderId="8" xfId="2" applyFont="1" applyBorder="1" applyAlignment="1">
      <alignment vertical="center"/>
    </xf>
    <xf numFmtId="0" fontId="21" fillId="9" borderId="2" xfId="3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vertical="center" wrapText="1"/>
    </xf>
    <xf numFmtId="176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25" fillId="0" borderId="9" xfId="0" applyFont="1" applyFill="1" applyBorder="1" applyAlignment="1">
      <alignment horizontal="center"/>
    </xf>
    <xf numFmtId="0" fontId="25" fillId="0" borderId="10" xfId="0" applyFont="1" applyFill="1" applyBorder="1" applyAlignment="1">
      <alignment horizontal="center"/>
    </xf>
    <xf numFmtId="176" fontId="25" fillId="0" borderId="10" xfId="1" applyNumberFormat="1" applyFont="1" applyFill="1" applyBorder="1" applyAlignment="1">
      <alignment horizontal="center"/>
    </xf>
    <xf numFmtId="41" fontId="25" fillId="0" borderId="11" xfId="1" applyFont="1" applyFill="1" applyBorder="1" applyAlignment="1">
      <alignment horizontal="center"/>
    </xf>
    <xf numFmtId="0" fontId="9" fillId="4" borderId="15" xfId="6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14" fontId="0" fillId="0" borderId="13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9" fillId="10" borderId="2" xfId="6" applyFont="1" applyFill="1" applyBorder="1" applyAlignment="1">
      <alignment horizontal="center" vertical="center"/>
    </xf>
    <xf numFmtId="177" fontId="22" fillId="9" borderId="2" xfId="3" applyNumberFormat="1" applyFont="1" applyFill="1" applyBorder="1" applyAlignment="1">
      <alignment horizontal="center" vertical="center"/>
    </xf>
    <xf numFmtId="0" fontId="26" fillId="0" borderId="2" xfId="7" applyFont="1" applyBorder="1" applyAlignment="1">
      <alignment horizontal="center" vertical="center"/>
    </xf>
    <xf numFmtId="0" fontId="27" fillId="0" borderId="2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/>
    </xf>
    <xf numFmtId="0" fontId="28" fillId="0" borderId="2" xfId="7" applyFont="1" applyBorder="1" applyAlignment="1">
      <alignment horizontal="center" wrapText="1"/>
    </xf>
    <xf numFmtId="178" fontId="28" fillId="0" borderId="2" xfId="7" applyNumberFormat="1" applyFont="1" applyBorder="1" applyAlignment="1">
      <alignment horizontal="center" wrapText="1"/>
    </xf>
    <xf numFmtId="179" fontId="28" fillId="0" borderId="2" xfId="7" applyNumberFormat="1" applyFont="1" applyBorder="1" applyAlignment="1">
      <alignment horizontal="center" wrapText="1"/>
    </xf>
  </cellXfs>
  <cellStyles count="8">
    <cellStyle name="강조색1" xfId="6" builtinId="29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 xr:uid="{00000000-0005-0000-0000-000007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서울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General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87-412D-B123-B90E4E32568A}"/>
            </c:ext>
          </c:extLst>
        </c:ser>
        <c:ser>
          <c:idx val="5"/>
          <c:order val="1"/>
          <c:tx>
            <c:strRef>
              <c:f>'기타작업-1'!$B$9</c:f>
              <c:strCache>
                <c:ptCount val="1"/>
                <c:pt idx="0">
                  <c:v>대전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General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87-412D-B123-B90E4E32568A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대구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General</c:formatCode>
                <c:ptCount val="4"/>
                <c:pt idx="0">
                  <c:v>5.6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87-412D-B123-B90E4E32568A}"/>
            </c:ext>
          </c:extLst>
        </c:ser>
        <c:ser>
          <c:idx val="1"/>
          <c:order val="3"/>
          <c:tx>
            <c:strRef>
              <c:f>'기타작업-1'!$B$5</c:f>
              <c:strCache>
                <c:ptCount val="1"/>
                <c:pt idx="0">
                  <c:v>부산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('기타작업-1'!$D$3,'기타작업-1'!$F$3,'기타작업-1'!$H$3,'기타작업-1'!$J$3)</c:f>
              <c:numCache>
                <c:formatCode>General"년"</c:formatCode>
                <c:ptCount val="4"/>
                <c:pt idx="0">
                  <c:v>2019</c:v>
                </c:pt>
                <c:pt idx="1">
                  <c:v>2021</c:v>
                </c:pt>
                <c:pt idx="2">
                  <c:v>2023</c:v>
                </c:pt>
                <c:pt idx="3">
                  <c:v>2025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General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87-412D-B123-B90E4E325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2946096"/>
        <c:axId val="1002931536"/>
      </c:lineChart>
      <c:catAx>
        <c:axId val="100294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년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931536"/>
        <c:crosses val="autoZero"/>
        <c:auto val="1"/>
        <c:lblAlgn val="ctr"/>
        <c:lblOffset val="100"/>
        <c:noMultiLvlLbl val="0"/>
      </c:catAx>
      <c:valAx>
        <c:axId val="1002931536"/>
        <c:scaling>
          <c:orientation val="minMax"/>
          <c:max val="6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2946096"/>
        <c:crosses val="autoZero"/>
        <c:crossBetween val="between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 sz="13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7169" name="cmd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6.809763194447" createdVersion="6" refreshedVersion="6" minRefreshableVersion="3" recordCount="88" xr:uid="{00000000-000A-0000-FFFF-FFFF00000000}">
  <cacheSource type="external" connectionId="1"/>
  <cacheFields count="10"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기상" numFmtId="0" sqlType="-9">
      <sharedItems count="4">
        <s v="강수량"/>
        <s v="최고기온"/>
        <s v="평균온도"/>
        <s v="습도"/>
      </sharedItems>
    </cacheField>
    <cacheField name="12월" numFmtId="0" sqlType="8">
      <sharedItems containsSemiMixedTypes="0" containsString="0" containsNumber="1" minValue="-4.2" maxValue="72"/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x v="0"/>
    <x v="0"/>
    <n v="40.299999999999997"/>
    <n v="53.1"/>
    <n v="43.9"/>
    <n v="68.599999999999994"/>
    <n v="72.900000000000006"/>
    <n v="91"/>
  </r>
  <r>
    <x v="1"/>
    <x v="0"/>
    <n v="34.5"/>
    <n v="42.8"/>
    <n v="42.7"/>
    <n v="77.5"/>
    <n v="88.7"/>
    <n v="114.1"/>
  </r>
  <r>
    <x v="2"/>
    <x v="0"/>
    <n v="37"/>
    <n v="34.200000000000003"/>
    <n v="47.8"/>
    <n v="61.9"/>
    <n v="81.8"/>
    <n v="98.5"/>
  </r>
  <r>
    <x v="0"/>
    <x v="0"/>
    <n v="39.200000000000003"/>
    <n v="66.599999999999994"/>
    <n v="53.8"/>
    <n v="87.5"/>
    <n v="93.7"/>
    <n v="127.3"/>
  </r>
  <r>
    <x v="1"/>
    <x v="0"/>
    <n v="17.5"/>
    <n v="19.2"/>
    <n v="25.1"/>
    <n v="44.7"/>
    <n v="62.4"/>
    <n v="87.2"/>
  </r>
  <r>
    <x v="3"/>
    <x v="0"/>
    <n v="27.7"/>
    <n v="26.5"/>
    <n v="35.700000000000003"/>
    <n v="54.5"/>
    <n v="78.7"/>
    <n v="102.6"/>
  </r>
  <r>
    <x v="2"/>
    <x v="0"/>
    <n v="33"/>
    <n v="31.2"/>
    <n v="38.4"/>
    <n v="64.2"/>
    <n v="69.400000000000006"/>
    <n v="91.8"/>
  </r>
  <r>
    <x v="1"/>
    <x v="0"/>
    <n v="26.3"/>
    <n v="34.1"/>
    <n v="48.9"/>
    <n v="83.5"/>
    <n v="136.6"/>
    <n v="173.2"/>
  </r>
  <r>
    <x v="3"/>
    <x v="0"/>
    <n v="29.9"/>
    <n v="25.3"/>
    <n v="26.7"/>
    <n v="44.2"/>
    <n v="72.099999999999994"/>
    <n v="112.6"/>
  </r>
  <r>
    <x v="4"/>
    <x v="0"/>
    <n v="20.9"/>
    <n v="17.899999999999999"/>
    <n v="26.9"/>
    <n v="42.9"/>
    <n v="70.099999999999994"/>
    <n v="113.7"/>
  </r>
  <r>
    <x v="4"/>
    <x v="0"/>
    <n v="22.3"/>
    <n v="19"/>
    <n v="25.5"/>
    <n v="43.8"/>
    <n v="64.599999999999994"/>
    <n v="101.7"/>
  </r>
  <r>
    <x v="1"/>
    <x v="0"/>
    <n v="18"/>
    <n v="18.2"/>
    <n v="23.5"/>
    <n v="44.2"/>
    <n v="69.3"/>
    <n v="96.3"/>
  </r>
  <r>
    <x v="0"/>
    <x v="0"/>
    <n v="23.5"/>
    <n v="19.2"/>
    <n v="26.9"/>
    <n v="47.9"/>
    <n v="69.099999999999994"/>
    <n v="93.9"/>
  </r>
  <r>
    <x v="4"/>
    <x v="0"/>
    <n v="18.8"/>
    <n v="17.3"/>
    <n v="22.5"/>
    <n v="37.6"/>
    <n v="60.9"/>
    <n v="106.9"/>
  </r>
  <r>
    <x v="2"/>
    <x v="0"/>
    <n v="32.299999999999997"/>
    <n v="29"/>
    <n v="38.200000000000003"/>
    <n v="52.5"/>
    <n v="76.400000000000006"/>
    <n v="88.5"/>
  </r>
  <r>
    <x v="5"/>
    <x v="0"/>
    <n v="52.1"/>
    <n v="72.5"/>
    <n v="55.2"/>
    <n v="94.4"/>
    <n v="88.3"/>
    <n v="104.7"/>
  </r>
  <r>
    <x v="2"/>
    <x v="0"/>
    <n v="22.6"/>
    <n v="29"/>
    <n v="44.3"/>
    <n v="74.099999999999994"/>
    <n v="116.7"/>
    <n v="143.6"/>
  </r>
  <r>
    <x v="3"/>
    <x v="0"/>
    <n v="25.2"/>
    <n v="22.2"/>
    <n v="27.8"/>
    <n v="45.5"/>
    <n v="71.3"/>
    <n v="95.2"/>
  </r>
  <r>
    <x v="3"/>
    <x v="0"/>
    <n v="24"/>
    <n v="23.5"/>
    <n v="33.5"/>
    <n v="50.6"/>
    <n v="72.900000000000006"/>
    <n v="90.4"/>
  </r>
  <r>
    <x v="0"/>
    <x v="0"/>
    <n v="22.3"/>
    <n v="19.100000000000001"/>
    <n v="24.7"/>
    <n v="37.299999999999997"/>
    <n v="66"/>
    <n v="106.5"/>
  </r>
  <r>
    <x v="1"/>
    <x v="0"/>
    <n v="25.9"/>
    <n v="39.200000000000003"/>
    <n v="33.799999999999997"/>
    <n v="57"/>
    <n v="70.599999999999994"/>
    <n v="101.6"/>
  </r>
  <r>
    <x v="2"/>
    <x v="0"/>
    <n v="16.7"/>
    <n v="15.5"/>
    <n v="23.3"/>
    <n v="34.200000000000003"/>
    <n v="56.8"/>
    <n v="71.7"/>
  </r>
  <r>
    <x v="0"/>
    <x v="1"/>
    <n v="8"/>
    <n v="5.2"/>
    <n v="7.3"/>
    <n v="11.3"/>
    <n v="18"/>
    <n v="22.2"/>
  </r>
  <r>
    <x v="1"/>
    <x v="1"/>
    <n v="11.2"/>
    <n v="8.6"/>
    <n v="9.4"/>
    <n v="12.4"/>
    <n v="16.5"/>
    <n v="20.100000000000001"/>
  </r>
  <r>
    <x v="2"/>
    <x v="1"/>
    <n v="8.1999999999999993"/>
    <n v="5.7"/>
    <n v="8.3000000000000007"/>
    <n v="13.3"/>
    <n v="19.8"/>
    <n v="24.3"/>
  </r>
  <r>
    <x v="0"/>
    <x v="1"/>
    <n v="0.8"/>
    <n v="-1.9"/>
    <n v="0.5"/>
    <n v="4.9000000000000004"/>
    <n v="12.8"/>
    <n v="17.7"/>
  </r>
  <r>
    <x v="1"/>
    <x v="1"/>
    <n v="8.3000000000000007"/>
    <n v="6"/>
    <n v="8.9"/>
    <n v="13.8"/>
    <n v="20.7"/>
    <n v="25.3"/>
  </r>
  <r>
    <x v="3"/>
    <x v="1"/>
    <n v="6.6"/>
    <n v="4.0999999999999996"/>
    <n v="7"/>
    <n v="12.3"/>
    <n v="19.399999999999999"/>
    <n v="24.1"/>
  </r>
  <r>
    <x v="2"/>
    <x v="1"/>
    <n v="8.8000000000000007"/>
    <n v="6.3"/>
    <n v="8"/>
    <n v="12"/>
    <n v="17.8"/>
    <n v="22.2"/>
  </r>
  <r>
    <x v="1"/>
    <x v="1"/>
    <n v="10.6"/>
    <n v="8.1999999999999993"/>
    <n v="10.199999999999999"/>
    <n v="13.6"/>
    <n v="18.3"/>
    <n v="21.7"/>
  </r>
  <r>
    <x v="3"/>
    <x v="1"/>
    <n v="6.1"/>
    <n v="3.5"/>
    <n v="5.7"/>
    <n v="10.6"/>
    <n v="17.3"/>
    <n v="22.2"/>
  </r>
  <r>
    <x v="4"/>
    <x v="1"/>
    <n v="4.5"/>
    <n v="2.1"/>
    <n v="5.2"/>
    <n v="10.6"/>
    <n v="17.8"/>
    <n v="23.2"/>
  </r>
  <r>
    <x v="4"/>
    <x v="1"/>
    <n v="5.2"/>
    <n v="2.7"/>
    <n v="5.5"/>
    <n v="10.9"/>
    <n v="18"/>
    <n v="23.1"/>
  </r>
  <r>
    <x v="1"/>
    <x v="1"/>
    <n v="6.2"/>
    <n v="3.9"/>
    <n v="6.9"/>
    <n v="12.2"/>
    <n v="19.399999999999999"/>
    <n v="24.2"/>
  </r>
  <r>
    <x v="0"/>
    <x v="1"/>
    <n v="4.5999999999999996"/>
    <n v="2.4"/>
    <n v="5.6"/>
    <n v="11.4"/>
    <n v="19.100000000000001"/>
    <n v="24"/>
  </r>
  <r>
    <x v="4"/>
    <x v="1"/>
    <n v="5.0999999999999996"/>
    <n v="2.5"/>
    <n v="5.0999999999999996"/>
    <n v="10.1"/>
    <n v="16.5"/>
    <n v="21.7"/>
  </r>
  <r>
    <x v="2"/>
    <x v="1"/>
    <n v="7.3"/>
    <n v="4.9000000000000004"/>
    <n v="7.4"/>
    <n v="12.7"/>
    <n v="19.7"/>
    <n v="24.6"/>
  </r>
  <r>
    <x v="5"/>
    <x v="1"/>
    <n v="11.1"/>
    <n v="8.6"/>
    <n v="9.8000000000000007"/>
    <n v="13.1"/>
    <n v="17.7"/>
    <n v="21.7"/>
  </r>
  <r>
    <x v="2"/>
    <x v="1"/>
    <n v="9.6"/>
    <n v="7.2"/>
    <n v="9.6999999999999993"/>
    <n v="14"/>
    <n v="20.100000000000001"/>
    <n v="24.5"/>
  </r>
  <r>
    <x v="3"/>
    <x v="1"/>
    <n v="5.8"/>
    <n v="3.4"/>
    <n v="6.5"/>
    <n v="12.2"/>
    <n v="19.600000000000001"/>
    <n v="24.3"/>
  </r>
  <r>
    <x v="3"/>
    <x v="1"/>
    <n v="5.6"/>
    <n v="3.1"/>
    <n v="6.1"/>
    <n v="11.6"/>
    <n v="18.899999999999999"/>
    <n v="23.5"/>
  </r>
  <r>
    <x v="0"/>
    <x v="1"/>
    <n v="3.9"/>
    <n v="1.9"/>
    <n v="5.6"/>
    <n v="11.3"/>
    <n v="19"/>
    <n v="23.9"/>
  </r>
  <r>
    <x v="1"/>
    <x v="1"/>
    <n v="9.1999999999999993"/>
    <n v="6.8"/>
    <n v="9.1"/>
    <n v="13"/>
    <n v="19.100000000000001"/>
    <n v="23.1"/>
  </r>
  <r>
    <x v="2"/>
    <x v="1"/>
    <n v="8.1"/>
    <n v="5.3"/>
    <n v="6.3"/>
    <n v="9.4"/>
    <n v="14.2"/>
    <n v="18.600000000000001"/>
  </r>
  <r>
    <x v="0"/>
    <x v="2"/>
    <n v="3.5"/>
    <n v="0.9"/>
    <n v="2.8"/>
    <n v="6.7"/>
    <n v="13.1"/>
    <n v="17.5"/>
  </r>
  <r>
    <x v="1"/>
    <x v="2"/>
    <n v="8.6"/>
    <n v="6.2"/>
    <n v="6.7"/>
    <n v="9.3000000000000007"/>
    <n v="13.3"/>
    <n v="16.8"/>
  </r>
  <r>
    <x v="2"/>
    <x v="2"/>
    <n v="3.3"/>
    <n v="1.1000000000000001"/>
    <n v="2.9"/>
    <n v="7.3"/>
    <n v="13.3"/>
    <n v="18.399999999999999"/>
  </r>
  <r>
    <x v="0"/>
    <x v="2"/>
    <n v="-4.2"/>
    <n v="-7"/>
    <n v="-4.7"/>
    <n v="0"/>
    <n v="6.9"/>
    <n v="12"/>
  </r>
  <r>
    <x v="1"/>
    <x v="2"/>
    <n v="3.1"/>
    <n v="1.1000000000000001"/>
    <n v="3.5"/>
    <n v="8.1"/>
    <n v="14.4"/>
    <n v="19.2"/>
  </r>
  <r>
    <x v="3"/>
    <x v="2"/>
    <n v="1.2"/>
    <n v="-1"/>
    <n v="1.3"/>
    <n v="6.3"/>
    <n v="12.9"/>
    <n v="18.100000000000001"/>
  </r>
  <r>
    <x v="2"/>
    <x v="2"/>
    <n v="4.4000000000000004"/>
    <n v="2"/>
    <n v="3.2"/>
    <n v="6.9"/>
    <n v="12.4"/>
    <n v="17.3"/>
  </r>
  <r>
    <x v="1"/>
    <x v="2"/>
    <n v="6.1"/>
    <n v="3.6"/>
    <n v="5.4"/>
    <n v="8.9"/>
    <n v="13.7"/>
    <n v="17.5"/>
  </r>
  <r>
    <x v="3"/>
    <x v="2"/>
    <n v="0.9"/>
    <n v="-1.6"/>
    <n v="0.1"/>
    <n v="4.7"/>
    <n v="10.9"/>
    <n v="16.399999999999999"/>
  </r>
  <r>
    <x v="4"/>
    <x v="2"/>
    <n v="0.6"/>
    <n v="-1.8"/>
    <n v="0.9"/>
    <n v="5.9"/>
    <n v="12.6"/>
    <n v="18"/>
  </r>
  <r>
    <x v="4"/>
    <x v="2"/>
    <n v="0.3"/>
    <n v="-2.1"/>
    <n v="0.2"/>
    <n v="5.4"/>
    <n v="11.9"/>
    <n v="17.399999999999999"/>
  </r>
  <r>
    <x v="1"/>
    <x v="2"/>
    <n v="0.1"/>
    <n v="-1.9"/>
    <n v="0.6"/>
    <n v="5.7"/>
    <n v="12.3"/>
    <n v="17.399999999999999"/>
  </r>
  <r>
    <x v="0"/>
    <x v="2"/>
    <n v="-1"/>
    <n v="-3.3"/>
    <n v="-0.6"/>
    <n v="5.0999999999999996"/>
    <n v="12.1"/>
    <n v="17.5"/>
  </r>
  <r>
    <x v="4"/>
    <x v="2"/>
    <n v="1.1000000000000001"/>
    <n v="-1.4"/>
    <n v="0.8"/>
    <n v="5.5"/>
    <n v="11.5"/>
    <n v="16.600000000000001"/>
  </r>
  <r>
    <x v="2"/>
    <x v="2"/>
    <n v="2.4"/>
    <n v="0.1"/>
    <n v="1.9"/>
    <n v="6.6"/>
    <n v="12.9"/>
    <n v="18.3"/>
  </r>
  <r>
    <x v="5"/>
    <x v="2"/>
    <n v="8.4"/>
    <n v="6.1"/>
    <n v="6.8"/>
    <n v="9.6"/>
    <n v="14"/>
    <n v="17.899999999999999"/>
  </r>
  <r>
    <x v="2"/>
    <x v="2"/>
    <n v="2.2000000000000002"/>
    <n v="0.4"/>
    <n v="2.6"/>
    <n v="7.1"/>
    <n v="12.9"/>
    <n v="17.899999999999999"/>
  </r>
  <r>
    <x v="3"/>
    <x v="2"/>
    <n v="0.7"/>
    <n v="-1.6"/>
    <n v="0.8"/>
    <n v="6.1"/>
    <n v="12.9"/>
    <n v="18.2"/>
  </r>
  <r>
    <x v="3"/>
    <x v="2"/>
    <n v="0.4"/>
    <n v="-1.7"/>
    <n v="0.5"/>
    <n v="5.4"/>
    <n v="12.1"/>
    <n v="16.899999999999999"/>
  </r>
  <r>
    <x v="0"/>
    <x v="2"/>
    <n v="-1.7"/>
    <n v="-4"/>
    <n v="-1"/>
    <n v="4.7"/>
    <n v="11.7"/>
    <n v="17.2"/>
  </r>
  <r>
    <x v="1"/>
    <x v="2"/>
    <n v="4.5999999999999996"/>
    <n v="2.2000000000000002"/>
    <n v="4.3"/>
    <n v="8.1999999999999993"/>
    <n v="14"/>
    <n v="18.2"/>
  </r>
  <r>
    <x v="2"/>
    <x v="2"/>
    <n v="5.9"/>
    <n v="3.3"/>
    <n v="3.8"/>
    <n v="6.2"/>
    <n v="10.5"/>
    <n v="14.8"/>
  </r>
  <r>
    <x v="0"/>
    <x v="3"/>
    <n v="47"/>
    <n v="49"/>
    <n v="50"/>
    <n v="55"/>
    <n v="53"/>
    <n v="61"/>
  </r>
  <r>
    <x v="1"/>
    <x v="3"/>
    <n v="66"/>
    <n v="67"/>
    <n v="68"/>
    <n v="69"/>
    <n v="73"/>
    <n v="79"/>
  </r>
  <r>
    <x v="2"/>
    <x v="3"/>
    <n v="67"/>
    <n v="66"/>
    <n v="62"/>
    <n v="61"/>
    <n v="60"/>
    <n v="65"/>
  </r>
  <r>
    <x v="0"/>
    <x v="3"/>
    <n v="67"/>
    <n v="68"/>
    <n v="66"/>
    <n v="67"/>
    <n v="61"/>
    <n v="69"/>
  </r>
  <r>
    <x v="1"/>
    <x v="3"/>
    <n v="54"/>
    <n v="53"/>
    <n v="50"/>
    <n v="51"/>
    <n v="51"/>
    <n v="57"/>
  </r>
  <r>
    <x v="3"/>
    <x v="3"/>
    <n v="67"/>
    <n v="65"/>
    <n v="60"/>
    <n v="58"/>
    <n v="56"/>
    <n v="63"/>
  </r>
  <r>
    <x v="2"/>
    <x v="3"/>
    <n v="68"/>
    <n v="68"/>
    <n v="68"/>
    <n v="67"/>
    <n v="67"/>
    <n v="72"/>
  </r>
  <r>
    <x v="1"/>
    <x v="3"/>
    <n v="48"/>
    <n v="48"/>
    <n v="49"/>
    <n v="56"/>
    <n v="62"/>
    <n v="70"/>
  </r>
  <r>
    <x v="3"/>
    <x v="3"/>
    <n v="71"/>
    <n v="70"/>
    <n v="68"/>
    <n v="67"/>
    <n v="66"/>
    <n v="71"/>
  </r>
  <r>
    <x v="4"/>
    <x v="3"/>
    <n v="59"/>
    <n v="58"/>
    <n v="56"/>
    <n v="56"/>
    <n v="55"/>
    <n v="61"/>
  </r>
  <r>
    <x v="4"/>
    <x v="3"/>
    <n v="64"/>
    <n v="63"/>
    <n v="62"/>
    <n v="62"/>
    <n v="61"/>
    <n v="66"/>
  </r>
  <r>
    <x v="1"/>
    <x v="3"/>
    <n v="64"/>
    <n v="62"/>
    <n v="59"/>
    <n v="58"/>
    <n v="56"/>
    <n v="63"/>
  </r>
  <r>
    <x v="0"/>
    <x v="3"/>
    <n v="69"/>
    <n v="67"/>
    <n v="63"/>
    <n v="61"/>
    <n v="58"/>
    <n v="64"/>
  </r>
  <r>
    <x v="4"/>
    <x v="3"/>
    <n v="61"/>
    <n v="61"/>
    <n v="60"/>
    <n v="63"/>
    <n v="63"/>
    <n v="69"/>
  </r>
  <r>
    <x v="2"/>
    <x v="3"/>
    <n v="68"/>
    <n v="68"/>
    <n v="65"/>
    <n v="62"/>
    <n v="59"/>
    <n v="64"/>
  </r>
  <r>
    <x v="5"/>
    <x v="3"/>
    <n v="64"/>
    <n v="64"/>
    <n v="63"/>
    <n v="63"/>
    <n v="64"/>
    <n v="68"/>
  </r>
  <r>
    <x v="2"/>
    <x v="3"/>
    <n v="63"/>
    <n v="59"/>
    <n v="58"/>
    <n v="59"/>
    <n v="61"/>
    <n v="67"/>
  </r>
  <r>
    <x v="3"/>
    <x v="3"/>
    <n v="66"/>
    <n v="65"/>
    <n v="61"/>
    <n v="58"/>
    <n v="54"/>
    <n v="59"/>
  </r>
  <r>
    <x v="3"/>
    <x v="3"/>
    <n v="63"/>
    <n v="62"/>
    <n v="58"/>
    <n v="57"/>
    <n v="55"/>
    <n v="63"/>
  </r>
  <r>
    <x v="0"/>
    <x v="3"/>
    <n v="72"/>
    <n v="68"/>
    <n v="64"/>
    <n v="62"/>
    <n v="59"/>
    <n v="66"/>
  </r>
  <r>
    <x v="1"/>
    <x v="3"/>
    <n v="50"/>
    <n v="49"/>
    <n v="50"/>
    <n v="56"/>
    <n v="57"/>
    <n v="65"/>
  </r>
  <r>
    <x v="2"/>
    <x v="3"/>
    <n v="67"/>
    <n v="69"/>
    <n v="71"/>
    <n v="73"/>
    <n v="76"/>
    <n v="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compactData="0" multipleFieldFilters="0" fieldListSortAscending="1">
  <location ref="B2:G17" firstHeaderRow="1" firstDataRow="2" firstDataCol="2"/>
  <pivotFields count="10">
    <pivotField axis="axisRow" compact="0" outline="0" showAll="0">
      <items count="7">
        <item x="0"/>
        <item x="4"/>
        <item x="1"/>
        <item x="2"/>
        <item x="5"/>
        <item x="3"/>
        <item t="default"/>
      </items>
    </pivotField>
    <pivotField axis="axisCol" compact="0" outline="0" showAll="0">
      <items count="5">
        <item x="0"/>
        <item x="3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M45"/>
  <sheetViews>
    <sheetView zoomScaleNormal="100" workbookViewId="0"/>
  </sheetViews>
  <sheetFormatPr defaultRowHeight="16.5" x14ac:dyDescent="0.3"/>
  <cols>
    <col min="2" max="2" width="36" bestFit="1" customWidth="1"/>
    <col min="3" max="3" width="22.5" bestFit="1" customWidth="1"/>
    <col min="4" max="4" width="6.875" bestFit="1" customWidth="1"/>
    <col min="5" max="5" width="12.125" bestFit="1" customWidth="1"/>
    <col min="6" max="6" width="10.625" bestFit="1" customWidth="1"/>
    <col min="7" max="7" width="13.375" bestFit="1" customWidth="1"/>
    <col min="9" max="9" width="11.375" bestFit="1" customWidth="1"/>
    <col min="10" max="10" width="10.625" bestFit="1" customWidth="1"/>
    <col min="11" max="11" width="34.75" bestFit="1" customWidth="1"/>
    <col min="12" max="12" width="14.375" bestFit="1" customWidth="1"/>
    <col min="13" max="13" width="13.375" bestFit="1" customWidth="1"/>
  </cols>
  <sheetData>
    <row r="1" spans="2:13" x14ac:dyDescent="0.3">
      <c r="D1" s="1"/>
      <c r="E1" s="1"/>
      <c r="F1" s="1"/>
      <c r="G1" s="1"/>
    </row>
    <row r="2" spans="2:13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I2" s="46" t="s">
        <v>227</v>
      </c>
    </row>
    <row r="3" spans="2:13" x14ac:dyDescent="0.3">
      <c r="B3" s="3" t="s">
        <v>6</v>
      </c>
      <c r="C3" s="3" t="s">
        <v>7</v>
      </c>
      <c r="D3" s="4">
        <v>2015</v>
      </c>
      <c r="E3" s="5">
        <v>45689</v>
      </c>
      <c r="F3" s="6" t="s">
        <v>8</v>
      </c>
      <c r="G3" s="6"/>
      <c r="I3" t="b">
        <f>AND(NOT(ISBLANK(G3)),G3&lt;&gt;"품절도서")</f>
        <v>0</v>
      </c>
    </row>
    <row r="4" spans="2:13" x14ac:dyDescent="0.3">
      <c r="B4" s="7" t="s">
        <v>9</v>
      </c>
      <c r="C4" s="7" t="s">
        <v>10</v>
      </c>
      <c r="D4" s="8">
        <v>2015</v>
      </c>
      <c r="E4" s="9">
        <v>45689</v>
      </c>
      <c r="F4" s="10" t="s">
        <v>8</v>
      </c>
      <c r="G4" s="10"/>
    </row>
    <row r="5" spans="2:13" x14ac:dyDescent="0.3">
      <c r="B5" s="7" t="s">
        <v>11</v>
      </c>
      <c r="C5" s="7" t="s">
        <v>12</v>
      </c>
      <c r="D5" s="8">
        <v>2016</v>
      </c>
      <c r="E5" s="9">
        <v>45691</v>
      </c>
      <c r="F5" s="10" t="s">
        <v>13</v>
      </c>
      <c r="G5" s="10" t="s">
        <v>14</v>
      </c>
    </row>
    <row r="6" spans="2:13" x14ac:dyDescent="0.3">
      <c r="B6" s="7" t="s">
        <v>15</v>
      </c>
      <c r="C6" s="7" t="s">
        <v>16</v>
      </c>
      <c r="D6" s="10">
        <v>2016</v>
      </c>
      <c r="E6" s="9">
        <v>45691</v>
      </c>
      <c r="F6" s="10" t="s">
        <v>13</v>
      </c>
      <c r="G6" s="10"/>
    </row>
    <row r="7" spans="2:13" x14ac:dyDescent="0.3">
      <c r="B7" s="7" t="s">
        <v>17</v>
      </c>
      <c r="C7" s="7" t="s">
        <v>18</v>
      </c>
      <c r="D7" s="10">
        <v>2015</v>
      </c>
      <c r="E7" s="9">
        <v>45691</v>
      </c>
      <c r="F7" s="10" t="s">
        <v>19</v>
      </c>
      <c r="G7" s="10"/>
      <c r="I7" s="2" t="s">
        <v>3</v>
      </c>
      <c r="J7" s="2" t="s">
        <v>4</v>
      </c>
      <c r="K7" s="2" t="s">
        <v>0</v>
      </c>
      <c r="L7" s="2" t="s">
        <v>1</v>
      </c>
      <c r="M7" s="2" t="s">
        <v>5</v>
      </c>
    </row>
    <row r="8" spans="2:13" x14ac:dyDescent="0.3">
      <c r="B8" s="7" t="s">
        <v>20</v>
      </c>
      <c r="C8" s="7" t="s">
        <v>21</v>
      </c>
      <c r="D8" s="10">
        <v>2016</v>
      </c>
      <c r="E8" s="9">
        <v>45692</v>
      </c>
      <c r="F8" s="10" t="s">
        <v>22</v>
      </c>
      <c r="G8" s="10"/>
      <c r="I8" s="9">
        <v>45691</v>
      </c>
      <c r="J8" s="10" t="s">
        <v>13</v>
      </c>
      <c r="K8" s="7" t="s">
        <v>11</v>
      </c>
      <c r="L8" s="7" t="s">
        <v>12</v>
      </c>
      <c r="M8" s="10" t="s">
        <v>14</v>
      </c>
    </row>
    <row r="9" spans="2:13" x14ac:dyDescent="0.3">
      <c r="B9" s="7" t="s">
        <v>23</v>
      </c>
      <c r="C9" s="7" t="s">
        <v>24</v>
      </c>
      <c r="D9" s="10">
        <v>2015</v>
      </c>
      <c r="E9" s="9">
        <v>45694</v>
      </c>
      <c r="F9" s="10" t="s">
        <v>25</v>
      </c>
      <c r="G9" s="10" t="s">
        <v>14</v>
      </c>
      <c r="I9" s="9">
        <v>45694</v>
      </c>
      <c r="J9" s="10" t="s">
        <v>25</v>
      </c>
      <c r="K9" s="7" t="s">
        <v>23</v>
      </c>
      <c r="L9" s="7" t="s">
        <v>24</v>
      </c>
      <c r="M9" s="10" t="s">
        <v>14</v>
      </c>
    </row>
    <row r="10" spans="2:13" x14ac:dyDescent="0.3">
      <c r="B10" s="7" t="s">
        <v>26</v>
      </c>
      <c r="C10" s="7" t="s">
        <v>27</v>
      </c>
      <c r="D10" s="10">
        <v>2016</v>
      </c>
      <c r="E10" s="9">
        <v>45694</v>
      </c>
      <c r="F10" s="10" t="s">
        <v>28</v>
      </c>
      <c r="G10" s="10"/>
      <c r="I10" s="9">
        <v>45699</v>
      </c>
      <c r="J10" s="10" t="s">
        <v>40</v>
      </c>
      <c r="K10" s="7" t="s">
        <v>38</v>
      </c>
      <c r="L10" s="7" t="s">
        <v>39</v>
      </c>
      <c r="M10" s="10" t="s">
        <v>41</v>
      </c>
    </row>
    <row r="11" spans="2:13" x14ac:dyDescent="0.3">
      <c r="B11" s="7" t="s">
        <v>29</v>
      </c>
      <c r="C11" s="7" t="s">
        <v>30</v>
      </c>
      <c r="D11" s="8">
        <v>2015</v>
      </c>
      <c r="E11" s="9">
        <v>45694</v>
      </c>
      <c r="F11" s="10" t="s">
        <v>31</v>
      </c>
      <c r="G11" s="10"/>
      <c r="I11" s="9">
        <v>45705</v>
      </c>
      <c r="J11" s="10" t="s">
        <v>61</v>
      </c>
      <c r="K11" s="7" t="s">
        <v>59</v>
      </c>
      <c r="L11" s="7" t="s">
        <v>60</v>
      </c>
      <c r="M11" s="10" t="s">
        <v>41</v>
      </c>
    </row>
    <row r="12" spans="2:13" x14ac:dyDescent="0.3">
      <c r="B12" s="7" t="s">
        <v>32</v>
      </c>
      <c r="C12" s="7" t="s">
        <v>33</v>
      </c>
      <c r="D12" s="8">
        <v>2013</v>
      </c>
      <c r="E12" s="9">
        <v>45696</v>
      </c>
      <c r="F12" s="10" t="s">
        <v>34</v>
      </c>
      <c r="G12" s="10"/>
      <c r="I12" s="9">
        <v>45713</v>
      </c>
      <c r="J12" s="10" t="s">
        <v>85</v>
      </c>
      <c r="K12" s="7" t="s">
        <v>83</v>
      </c>
      <c r="L12" s="7" t="s">
        <v>84</v>
      </c>
      <c r="M12" s="10" t="s">
        <v>86</v>
      </c>
    </row>
    <row r="13" spans="2:13" x14ac:dyDescent="0.3">
      <c r="B13" s="7" t="s">
        <v>35</v>
      </c>
      <c r="C13" s="7" t="s">
        <v>36</v>
      </c>
      <c r="D13" s="8">
        <v>2012</v>
      </c>
      <c r="E13" s="9">
        <v>45697</v>
      </c>
      <c r="F13" s="10" t="s">
        <v>37</v>
      </c>
      <c r="G13" s="10"/>
      <c r="I13" s="9">
        <v>45713</v>
      </c>
      <c r="J13" s="10" t="s">
        <v>85</v>
      </c>
      <c r="K13" s="7" t="s">
        <v>87</v>
      </c>
      <c r="L13" s="7" t="s">
        <v>84</v>
      </c>
      <c r="M13" s="10" t="s">
        <v>86</v>
      </c>
    </row>
    <row r="14" spans="2:13" x14ac:dyDescent="0.3">
      <c r="B14" s="7" t="s">
        <v>38</v>
      </c>
      <c r="C14" s="7" t="s">
        <v>39</v>
      </c>
      <c r="D14" s="8">
        <v>2016</v>
      </c>
      <c r="E14" s="9">
        <v>45699</v>
      </c>
      <c r="F14" s="10" t="s">
        <v>40</v>
      </c>
      <c r="G14" s="10" t="s">
        <v>41</v>
      </c>
      <c r="I14" s="9">
        <v>45715</v>
      </c>
      <c r="J14" s="10" t="s">
        <v>115</v>
      </c>
      <c r="K14" s="7" t="s">
        <v>113</v>
      </c>
      <c r="L14" s="7" t="s">
        <v>114</v>
      </c>
      <c r="M14" s="10" t="s">
        <v>116</v>
      </c>
    </row>
    <row r="15" spans="2:13" x14ac:dyDescent="0.3">
      <c r="B15" s="7" t="s">
        <v>42</v>
      </c>
      <c r="C15" s="7" t="s">
        <v>43</v>
      </c>
      <c r="D15" s="8">
        <v>2016</v>
      </c>
      <c r="E15" s="9">
        <v>45699</v>
      </c>
      <c r="F15" s="10" t="s">
        <v>44</v>
      </c>
      <c r="G15" s="10"/>
      <c r="I15" s="9">
        <v>45716</v>
      </c>
      <c r="J15" s="10" t="s">
        <v>119</v>
      </c>
      <c r="K15" s="7" t="s">
        <v>117</v>
      </c>
      <c r="L15" s="7" t="s">
        <v>118</v>
      </c>
      <c r="M15" s="10" t="s">
        <v>116</v>
      </c>
    </row>
    <row r="16" spans="2:13" x14ac:dyDescent="0.3">
      <c r="B16" s="7" t="s">
        <v>45</v>
      </c>
      <c r="C16" s="7" t="s">
        <v>46</v>
      </c>
      <c r="D16" s="8">
        <v>2014</v>
      </c>
      <c r="E16" s="9">
        <v>45700</v>
      </c>
      <c r="F16" s="10" t="s">
        <v>47</v>
      </c>
      <c r="G16" s="10"/>
    </row>
    <row r="17" spans="2:7" x14ac:dyDescent="0.3">
      <c r="B17" s="7" t="s">
        <v>48</v>
      </c>
      <c r="C17" s="7" t="s">
        <v>49</v>
      </c>
      <c r="D17" s="8">
        <v>2015</v>
      </c>
      <c r="E17" s="9">
        <v>45700</v>
      </c>
      <c r="F17" s="10" t="s">
        <v>50</v>
      </c>
      <c r="G17" s="10"/>
    </row>
    <row r="18" spans="2:7" x14ac:dyDescent="0.3">
      <c r="B18" s="7" t="s">
        <v>51</v>
      </c>
      <c r="C18" s="7" t="s">
        <v>52</v>
      </c>
      <c r="D18" s="8">
        <v>2016</v>
      </c>
      <c r="E18" s="9">
        <v>45701</v>
      </c>
      <c r="F18" s="10" t="s">
        <v>37</v>
      </c>
      <c r="G18" s="10"/>
    </row>
    <row r="19" spans="2:7" x14ac:dyDescent="0.3">
      <c r="B19" s="7" t="s">
        <v>53</v>
      </c>
      <c r="C19" s="7" t="s">
        <v>54</v>
      </c>
      <c r="D19" s="8">
        <v>2016</v>
      </c>
      <c r="E19" s="9">
        <v>45704</v>
      </c>
      <c r="F19" s="10" t="s">
        <v>55</v>
      </c>
      <c r="G19" s="10"/>
    </row>
    <row r="20" spans="2:7" x14ac:dyDescent="0.3">
      <c r="B20" s="7" t="s">
        <v>56</v>
      </c>
      <c r="C20" s="7" t="s">
        <v>57</v>
      </c>
      <c r="D20" s="8">
        <v>2015</v>
      </c>
      <c r="E20" s="9">
        <v>45705</v>
      </c>
      <c r="F20" s="10" t="s">
        <v>58</v>
      </c>
      <c r="G20" s="10"/>
    </row>
    <row r="21" spans="2:7" x14ac:dyDescent="0.3">
      <c r="B21" s="7" t="s">
        <v>59</v>
      </c>
      <c r="C21" s="7" t="s">
        <v>60</v>
      </c>
      <c r="D21" s="8">
        <v>2015</v>
      </c>
      <c r="E21" s="9">
        <v>45705</v>
      </c>
      <c r="F21" s="10" t="s">
        <v>61</v>
      </c>
      <c r="G21" s="10" t="s">
        <v>41</v>
      </c>
    </row>
    <row r="22" spans="2:7" x14ac:dyDescent="0.3">
      <c r="B22" s="7" t="s">
        <v>62</v>
      </c>
      <c r="C22" s="7" t="s">
        <v>63</v>
      </c>
      <c r="D22" s="8">
        <v>2014</v>
      </c>
      <c r="E22" s="9">
        <v>45705</v>
      </c>
      <c r="F22" s="10" t="s">
        <v>64</v>
      </c>
      <c r="G22" s="10"/>
    </row>
    <row r="23" spans="2:7" x14ac:dyDescent="0.3">
      <c r="B23" s="7" t="s">
        <v>65</v>
      </c>
      <c r="C23" s="7" t="s">
        <v>66</v>
      </c>
      <c r="D23" s="8">
        <v>2016</v>
      </c>
      <c r="E23" s="9">
        <v>45707</v>
      </c>
      <c r="F23" s="10" t="s">
        <v>67</v>
      </c>
      <c r="G23" s="10"/>
    </row>
    <row r="24" spans="2:7" x14ac:dyDescent="0.3">
      <c r="B24" s="7" t="s">
        <v>68</v>
      </c>
      <c r="C24" s="7" t="s">
        <v>69</v>
      </c>
      <c r="D24" s="8">
        <v>2016</v>
      </c>
      <c r="E24" s="9">
        <v>45708</v>
      </c>
      <c r="F24" s="10" t="s">
        <v>70</v>
      </c>
      <c r="G24" s="10"/>
    </row>
    <row r="25" spans="2:7" x14ac:dyDescent="0.3">
      <c r="B25" s="7" t="s">
        <v>71</v>
      </c>
      <c r="C25" s="7" t="s">
        <v>72</v>
      </c>
      <c r="D25" s="8">
        <v>2013</v>
      </c>
      <c r="E25" s="9">
        <v>45711</v>
      </c>
      <c r="F25" s="10" t="s">
        <v>73</v>
      </c>
      <c r="G25" s="10"/>
    </row>
    <row r="26" spans="2:7" x14ac:dyDescent="0.3">
      <c r="B26" s="7" t="s">
        <v>74</v>
      </c>
      <c r="C26" s="7" t="s">
        <v>75</v>
      </c>
      <c r="D26" s="8">
        <v>2014</v>
      </c>
      <c r="E26" s="9">
        <v>45711</v>
      </c>
      <c r="F26" s="10" t="s">
        <v>73</v>
      </c>
      <c r="G26" s="10"/>
    </row>
    <row r="27" spans="2:7" x14ac:dyDescent="0.3">
      <c r="B27" s="7" t="s">
        <v>76</v>
      </c>
      <c r="C27" s="7" t="s">
        <v>77</v>
      </c>
      <c r="D27" s="8">
        <v>2016</v>
      </c>
      <c r="E27" s="9">
        <v>45711</v>
      </c>
      <c r="F27" s="10" t="s">
        <v>78</v>
      </c>
      <c r="G27" s="10"/>
    </row>
    <row r="28" spans="2:7" x14ac:dyDescent="0.3">
      <c r="B28" s="7" t="s">
        <v>79</v>
      </c>
      <c r="C28" s="7" t="s">
        <v>80</v>
      </c>
      <c r="D28" s="8">
        <v>2015</v>
      </c>
      <c r="E28" s="9">
        <v>45712</v>
      </c>
      <c r="F28" s="10" t="s">
        <v>67</v>
      </c>
      <c r="G28" s="10"/>
    </row>
    <row r="29" spans="2:7" x14ac:dyDescent="0.3">
      <c r="B29" s="7" t="s">
        <v>81</v>
      </c>
      <c r="C29" s="7" t="s">
        <v>82</v>
      </c>
      <c r="D29" s="8">
        <v>2016</v>
      </c>
      <c r="E29" s="9">
        <v>45712</v>
      </c>
      <c r="F29" s="10" t="s">
        <v>44</v>
      </c>
      <c r="G29" s="10"/>
    </row>
    <row r="30" spans="2:7" x14ac:dyDescent="0.3">
      <c r="B30" s="7" t="s">
        <v>83</v>
      </c>
      <c r="C30" s="7" t="s">
        <v>84</v>
      </c>
      <c r="D30" s="8">
        <v>2012</v>
      </c>
      <c r="E30" s="9">
        <v>45713</v>
      </c>
      <c r="F30" s="10" t="s">
        <v>85</v>
      </c>
      <c r="G30" s="10" t="s">
        <v>86</v>
      </c>
    </row>
    <row r="31" spans="2:7" x14ac:dyDescent="0.3">
      <c r="B31" s="7" t="s">
        <v>87</v>
      </c>
      <c r="C31" s="7" t="s">
        <v>84</v>
      </c>
      <c r="D31" s="8">
        <v>2009</v>
      </c>
      <c r="E31" s="9">
        <v>45713</v>
      </c>
      <c r="F31" s="10" t="s">
        <v>85</v>
      </c>
      <c r="G31" s="10" t="s">
        <v>86</v>
      </c>
    </row>
    <row r="32" spans="2:7" x14ac:dyDescent="0.3">
      <c r="B32" s="7" t="s">
        <v>88</v>
      </c>
      <c r="C32" s="7" t="s">
        <v>89</v>
      </c>
      <c r="D32" s="8">
        <v>2015</v>
      </c>
      <c r="E32" s="9">
        <v>45714</v>
      </c>
      <c r="F32" s="10" t="s">
        <v>90</v>
      </c>
      <c r="G32" s="10"/>
    </row>
    <row r="33" spans="2:7" x14ac:dyDescent="0.3">
      <c r="B33" s="7" t="s">
        <v>91</v>
      </c>
      <c r="C33" s="7" t="s">
        <v>92</v>
      </c>
      <c r="D33" s="8">
        <v>2015</v>
      </c>
      <c r="E33" s="9">
        <v>45714</v>
      </c>
      <c r="F33" s="10" t="s">
        <v>93</v>
      </c>
      <c r="G33" s="10"/>
    </row>
    <row r="34" spans="2:7" x14ac:dyDescent="0.3">
      <c r="B34" s="7" t="s">
        <v>94</v>
      </c>
      <c r="C34" s="7" t="s">
        <v>95</v>
      </c>
      <c r="D34" s="8">
        <v>2015</v>
      </c>
      <c r="E34" s="9">
        <v>45714</v>
      </c>
      <c r="F34" s="10" t="s">
        <v>93</v>
      </c>
      <c r="G34" s="10"/>
    </row>
    <row r="35" spans="2:7" x14ac:dyDescent="0.3">
      <c r="B35" s="7" t="s">
        <v>96</v>
      </c>
      <c r="C35" s="7" t="s">
        <v>97</v>
      </c>
      <c r="D35" s="8">
        <v>2015</v>
      </c>
      <c r="E35" s="9">
        <v>45714</v>
      </c>
      <c r="F35" s="10" t="s">
        <v>98</v>
      </c>
      <c r="G35" s="10"/>
    </row>
    <row r="36" spans="2:7" x14ac:dyDescent="0.3">
      <c r="B36" s="7" t="s">
        <v>99</v>
      </c>
      <c r="C36" s="7" t="s">
        <v>100</v>
      </c>
      <c r="D36" s="8">
        <v>2016</v>
      </c>
      <c r="E36" s="9">
        <v>45714</v>
      </c>
      <c r="F36" s="10" t="s">
        <v>101</v>
      </c>
      <c r="G36" s="10"/>
    </row>
    <row r="37" spans="2:7" x14ac:dyDescent="0.3">
      <c r="B37" s="7" t="s">
        <v>102</v>
      </c>
      <c r="C37" s="7" t="s">
        <v>103</v>
      </c>
      <c r="D37" s="8">
        <v>2016</v>
      </c>
      <c r="E37" s="9">
        <v>45714</v>
      </c>
      <c r="F37" s="10" t="s">
        <v>101</v>
      </c>
      <c r="G37" s="10"/>
    </row>
    <row r="38" spans="2:7" x14ac:dyDescent="0.3">
      <c r="B38" s="7" t="s">
        <v>104</v>
      </c>
      <c r="C38" s="7" t="s">
        <v>105</v>
      </c>
      <c r="D38" s="8">
        <v>2012</v>
      </c>
      <c r="E38" s="9">
        <v>45714</v>
      </c>
      <c r="F38" s="10" t="s">
        <v>106</v>
      </c>
      <c r="G38" s="10"/>
    </row>
    <row r="39" spans="2:7" x14ac:dyDescent="0.3">
      <c r="B39" s="7" t="s">
        <v>107</v>
      </c>
      <c r="C39" s="7" t="s">
        <v>108</v>
      </c>
      <c r="D39" s="8">
        <v>2011</v>
      </c>
      <c r="E39" s="9">
        <v>45714</v>
      </c>
      <c r="F39" s="10" t="s">
        <v>109</v>
      </c>
      <c r="G39" s="10" t="s">
        <v>110</v>
      </c>
    </row>
    <row r="40" spans="2:7" x14ac:dyDescent="0.3">
      <c r="B40" s="7" t="s">
        <v>111</v>
      </c>
      <c r="C40" s="7" t="s">
        <v>112</v>
      </c>
      <c r="D40" s="8">
        <v>2013</v>
      </c>
      <c r="E40" s="9">
        <v>45715</v>
      </c>
      <c r="F40" s="10" t="s">
        <v>109</v>
      </c>
      <c r="G40" s="10"/>
    </row>
    <row r="41" spans="2:7" x14ac:dyDescent="0.3">
      <c r="B41" s="7" t="s">
        <v>113</v>
      </c>
      <c r="C41" s="7" t="s">
        <v>114</v>
      </c>
      <c r="D41" s="8">
        <v>2014</v>
      </c>
      <c r="E41" s="9">
        <v>45715</v>
      </c>
      <c r="F41" s="10" t="s">
        <v>115</v>
      </c>
      <c r="G41" s="10" t="s">
        <v>116</v>
      </c>
    </row>
    <row r="42" spans="2:7" x14ac:dyDescent="0.3">
      <c r="B42" s="7" t="s">
        <v>117</v>
      </c>
      <c r="C42" s="7" t="s">
        <v>118</v>
      </c>
      <c r="D42" s="8">
        <v>2011</v>
      </c>
      <c r="E42" s="9">
        <v>45716</v>
      </c>
      <c r="F42" s="10" t="s">
        <v>119</v>
      </c>
      <c r="G42" s="10" t="s">
        <v>116</v>
      </c>
    </row>
    <row r="43" spans="2:7" x14ac:dyDescent="0.3">
      <c r="B43" s="7" t="s">
        <v>120</v>
      </c>
      <c r="C43" s="7" t="s">
        <v>121</v>
      </c>
      <c r="D43" s="8">
        <v>2014</v>
      </c>
      <c r="E43" s="9" t="s">
        <v>260</v>
      </c>
      <c r="F43" s="10" t="s">
        <v>122</v>
      </c>
      <c r="G43" s="10"/>
    </row>
    <row r="44" spans="2:7" x14ac:dyDescent="0.3">
      <c r="D44" s="1"/>
      <c r="E44" s="1"/>
      <c r="F44" s="1"/>
      <c r="G44" s="1"/>
    </row>
    <row r="45" spans="2:7" x14ac:dyDescent="0.3">
      <c r="D45" s="1"/>
      <c r="E45" s="1"/>
      <c r="F45" s="1"/>
      <c r="G45" s="1"/>
    </row>
  </sheetData>
  <phoneticPr fontId="1" type="noConversion"/>
  <conditionalFormatting sqref="B3:G43">
    <cfRule type="expression" dxfId="0" priority="1">
      <formula>MOD(ROW($B3),3)=2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42"/>
  <sheetViews>
    <sheetView workbookViewId="0"/>
  </sheetViews>
  <sheetFormatPr defaultRowHeight="16.5" x14ac:dyDescent="0.3"/>
  <cols>
    <col min="2" max="2" width="36" bestFit="1" customWidth="1"/>
    <col min="3" max="3" width="21.625" bestFit="1" customWidth="1"/>
    <col min="4" max="4" width="10.625" customWidth="1"/>
  </cols>
  <sheetData>
    <row r="2" spans="2:4" x14ac:dyDescent="0.3">
      <c r="B2" s="58" t="s">
        <v>0</v>
      </c>
      <c r="C2" s="58" t="s">
        <v>1</v>
      </c>
      <c r="D2" s="58" t="s">
        <v>2</v>
      </c>
    </row>
    <row r="3" spans="2:4" x14ac:dyDescent="0.3">
      <c r="B3" s="7" t="s">
        <v>96</v>
      </c>
      <c r="C3" s="7" t="s">
        <v>97</v>
      </c>
      <c r="D3" s="8">
        <v>2015</v>
      </c>
    </row>
    <row r="4" spans="2:4" x14ac:dyDescent="0.3">
      <c r="B4" s="7" t="s">
        <v>87</v>
      </c>
      <c r="C4" s="7" t="s">
        <v>84</v>
      </c>
      <c r="D4" s="8">
        <v>2009</v>
      </c>
    </row>
    <row r="5" spans="2:4" x14ac:dyDescent="0.3">
      <c r="B5" s="7" t="s">
        <v>83</v>
      </c>
      <c r="C5" s="7" t="s">
        <v>84</v>
      </c>
      <c r="D5" s="8">
        <v>2012</v>
      </c>
    </row>
    <row r="6" spans="2:4" x14ac:dyDescent="0.3">
      <c r="B6" s="7" t="s">
        <v>79</v>
      </c>
      <c r="C6" s="7" t="s">
        <v>80</v>
      </c>
      <c r="D6" s="8">
        <v>2015</v>
      </c>
    </row>
    <row r="7" spans="2:4" x14ac:dyDescent="0.3">
      <c r="B7" s="7" t="s">
        <v>113</v>
      </c>
      <c r="C7" s="7" t="s">
        <v>114</v>
      </c>
      <c r="D7" s="8">
        <v>2014</v>
      </c>
    </row>
    <row r="8" spans="2:4" x14ac:dyDescent="0.3">
      <c r="B8" s="7" t="s">
        <v>117</v>
      </c>
      <c r="C8" s="7" t="s">
        <v>118</v>
      </c>
      <c r="D8" s="8">
        <v>2011</v>
      </c>
    </row>
    <row r="9" spans="2:4" x14ac:dyDescent="0.3">
      <c r="B9" s="7" t="s">
        <v>56</v>
      </c>
      <c r="C9" s="7" t="s">
        <v>57</v>
      </c>
      <c r="D9" s="8">
        <v>2015</v>
      </c>
    </row>
    <row r="10" spans="2:4" x14ac:dyDescent="0.3">
      <c r="B10" s="7" t="s">
        <v>11</v>
      </c>
      <c r="C10" s="7" t="s">
        <v>12</v>
      </c>
      <c r="D10" s="8">
        <v>2016</v>
      </c>
    </row>
    <row r="11" spans="2:4" x14ac:dyDescent="0.3">
      <c r="B11" s="7" t="s">
        <v>120</v>
      </c>
      <c r="C11" s="7" t="s">
        <v>121</v>
      </c>
      <c r="D11" s="8">
        <v>2014</v>
      </c>
    </row>
    <row r="12" spans="2:4" x14ac:dyDescent="0.3">
      <c r="B12" s="7" t="s">
        <v>42</v>
      </c>
      <c r="C12" s="7" t="s">
        <v>43</v>
      </c>
      <c r="D12" s="8">
        <v>2016</v>
      </c>
    </row>
    <row r="13" spans="2:4" x14ac:dyDescent="0.3">
      <c r="B13" s="7" t="s">
        <v>62</v>
      </c>
      <c r="C13" s="7" t="s">
        <v>63</v>
      </c>
      <c r="D13" s="8">
        <v>2014</v>
      </c>
    </row>
    <row r="14" spans="2:4" x14ac:dyDescent="0.3">
      <c r="B14" s="7" t="s">
        <v>59</v>
      </c>
      <c r="C14" s="7" t="s">
        <v>60</v>
      </c>
      <c r="D14" s="8">
        <v>2015</v>
      </c>
    </row>
    <row r="15" spans="2:4" x14ac:dyDescent="0.3">
      <c r="B15" s="7" t="s">
        <v>17</v>
      </c>
      <c r="C15" s="7" t="s">
        <v>18</v>
      </c>
      <c r="D15" s="10">
        <v>2015</v>
      </c>
    </row>
    <row r="16" spans="2:4" x14ac:dyDescent="0.3">
      <c r="B16" s="7" t="s">
        <v>32</v>
      </c>
      <c r="C16" s="7" t="s">
        <v>33</v>
      </c>
      <c r="D16" s="8">
        <v>2013</v>
      </c>
    </row>
    <row r="17" spans="2:4" x14ac:dyDescent="0.3">
      <c r="B17" s="7" t="s">
        <v>107</v>
      </c>
      <c r="C17" s="7" t="s">
        <v>108</v>
      </c>
      <c r="D17" s="8">
        <v>2011</v>
      </c>
    </row>
    <row r="18" spans="2:4" x14ac:dyDescent="0.3">
      <c r="B18" s="7" t="s">
        <v>45</v>
      </c>
      <c r="C18" s="7" t="s">
        <v>46</v>
      </c>
      <c r="D18" s="8">
        <v>2014</v>
      </c>
    </row>
    <row r="19" spans="2:4" x14ac:dyDescent="0.3">
      <c r="B19" s="7" t="s">
        <v>38</v>
      </c>
      <c r="C19" s="7" t="s">
        <v>39</v>
      </c>
      <c r="D19" s="8">
        <v>2016</v>
      </c>
    </row>
    <row r="20" spans="2:4" x14ac:dyDescent="0.3">
      <c r="B20" s="7" t="s">
        <v>94</v>
      </c>
      <c r="C20" s="7" t="s">
        <v>95</v>
      </c>
      <c r="D20" s="8">
        <v>2015</v>
      </c>
    </row>
    <row r="21" spans="2:4" x14ac:dyDescent="0.3">
      <c r="B21" s="7" t="s">
        <v>35</v>
      </c>
      <c r="C21" s="7" t="s">
        <v>36</v>
      </c>
      <c r="D21" s="8">
        <v>2012</v>
      </c>
    </row>
    <row r="22" spans="2:4" x14ac:dyDescent="0.3">
      <c r="B22" s="7" t="s">
        <v>51</v>
      </c>
      <c r="C22" s="7" t="s">
        <v>52</v>
      </c>
      <c r="D22" s="8">
        <v>2016</v>
      </c>
    </row>
    <row r="23" spans="2:4" x14ac:dyDescent="0.3">
      <c r="B23" s="7" t="s">
        <v>76</v>
      </c>
      <c r="C23" s="7" t="s">
        <v>77</v>
      </c>
      <c r="D23" s="8">
        <v>2016</v>
      </c>
    </row>
    <row r="24" spans="2:4" x14ac:dyDescent="0.3">
      <c r="B24" s="7" t="s">
        <v>48</v>
      </c>
      <c r="C24" s="7" t="s">
        <v>49</v>
      </c>
      <c r="D24" s="8">
        <v>2015</v>
      </c>
    </row>
    <row r="25" spans="2:4" x14ac:dyDescent="0.3">
      <c r="B25" s="7" t="s">
        <v>23</v>
      </c>
      <c r="C25" s="7" t="s">
        <v>24</v>
      </c>
      <c r="D25" s="10">
        <v>2015</v>
      </c>
    </row>
    <row r="26" spans="2:4" x14ac:dyDescent="0.3">
      <c r="B26" s="7" t="s">
        <v>29</v>
      </c>
      <c r="C26" s="7" t="s">
        <v>30</v>
      </c>
      <c r="D26" s="8">
        <v>2015</v>
      </c>
    </row>
    <row r="27" spans="2:4" x14ac:dyDescent="0.3">
      <c r="B27" s="7" t="s">
        <v>88</v>
      </c>
      <c r="C27" s="7" t="s">
        <v>89</v>
      </c>
      <c r="D27" s="8">
        <v>2015</v>
      </c>
    </row>
    <row r="28" spans="2:4" x14ac:dyDescent="0.3">
      <c r="B28" s="7" t="s">
        <v>111</v>
      </c>
      <c r="C28" s="7" t="s">
        <v>112</v>
      </c>
      <c r="D28" s="8">
        <v>2013</v>
      </c>
    </row>
    <row r="29" spans="2:4" x14ac:dyDescent="0.3">
      <c r="B29" s="7" t="s">
        <v>26</v>
      </c>
      <c r="C29" s="7" t="s">
        <v>27</v>
      </c>
      <c r="D29" s="10">
        <v>2016</v>
      </c>
    </row>
    <row r="30" spans="2:4" x14ac:dyDescent="0.3">
      <c r="B30" s="7" t="s">
        <v>53</v>
      </c>
      <c r="C30" s="7" t="s">
        <v>54</v>
      </c>
      <c r="D30" s="8">
        <v>2016</v>
      </c>
    </row>
    <row r="31" spans="2:4" x14ac:dyDescent="0.3">
      <c r="B31" s="7" t="s">
        <v>81</v>
      </c>
      <c r="C31" s="7" t="s">
        <v>82</v>
      </c>
      <c r="D31" s="8">
        <v>2016</v>
      </c>
    </row>
    <row r="32" spans="2:4" x14ac:dyDescent="0.3">
      <c r="B32" s="7" t="s">
        <v>65</v>
      </c>
      <c r="C32" s="7" t="s">
        <v>66</v>
      </c>
      <c r="D32" s="8">
        <v>2016</v>
      </c>
    </row>
    <row r="33" spans="2:4" x14ac:dyDescent="0.3">
      <c r="B33" s="7" t="s">
        <v>68</v>
      </c>
      <c r="C33" s="7" t="s">
        <v>69</v>
      </c>
      <c r="D33" s="8">
        <v>2016</v>
      </c>
    </row>
    <row r="34" spans="2:4" x14ac:dyDescent="0.3">
      <c r="B34" s="7" t="s">
        <v>104</v>
      </c>
      <c r="C34" s="7" t="s">
        <v>105</v>
      </c>
      <c r="D34" s="8">
        <v>2012</v>
      </c>
    </row>
    <row r="35" spans="2:4" x14ac:dyDescent="0.3">
      <c r="B35" s="7" t="s">
        <v>91</v>
      </c>
      <c r="C35" s="7" t="s">
        <v>92</v>
      </c>
      <c r="D35" s="8">
        <v>2015</v>
      </c>
    </row>
    <row r="36" spans="2:4" x14ac:dyDescent="0.3">
      <c r="B36" s="7" t="s">
        <v>99</v>
      </c>
      <c r="C36" s="7" t="s">
        <v>100</v>
      </c>
      <c r="D36" s="8">
        <v>2016</v>
      </c>
    </row>
    <row r="37" spans="2:4" x14ac:dyDescent="0.3">
      <c r="B37" s="7" t="s">
        <v>9</v>
      </c>
      <c r="C37" s="7" t="s">
        <v>10</v>
      </c>
      <c r="D37" s="8">
        <v>2015</v>
      </c>
    </row>
    <row r="38" spans="2:4" x14ac:dyDescent="0.3">
      <c r="B38" s="7" t="s">
        <v>6</v>
      </c>
      <c r="C38" s="7" t="s">
        <v>7</v>
      </c>
      <c r="D38" s="8">
        <v>2015</v>
      </c>
    </row>
    <row r="39" spans="2:4" x14ac:dyDescent="0.3">
      <c r="B39" s="7" t="s">
        <v>102</v>
      </c>
      <c r="C39" s="7" t="s">
        <v>103</v>
      </c>
      <c r="D39" s="8">
        <v>2016</v>
      </c>
    </row>
    <row r="40" spans="2:4" x14ac:dyDescent="0.3">
      <c r="B40" s="7" t="s">
        <v>71</v>
      </c>
      <c r="C40" s="7" t="s">
        <v>72</v>
      </c>
      <c r="D40" s="8">
        <v>2013</v>
      </c>
    </row>
    <row r="41" spans="2:4" x14ac:dyDescent="0.3">
      <c r="B41" s="7" t="s">
        <v>20</v>
      </c>
      <c r="C41" s="7" t="s">
        <v>21</v>
      </c>
      <c r="D41" s="10">
        <v>2016</v>
      </c>
    </row>
    <row r="42" spans="2:4" x14ac:dyDescent="0.3">
      <c r="B42" s="7" t="s">
        <v>74</v>
      </c>
      <c r="C42" s="7" t="s">
        <v>75</v>
      </c>
      <c r="D42" s="8">
        <v>2014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156"/>
  <sheetViews>
    <sheetView tabSelected="1" workbookViewId="0"/>
  </sheetViews>
  <sheetFormatPr defaultRowHeight="16.5" x14ac:dyDescent="0.3"/>
  <cols>
    <col min="5" max="5" width="11.875" customWidth="1"/>
    <col min="6" max="6" width="12.625" customWidth="1"/>
    <col min="7" max="7" width="12.125" customWidth="1"/>
    <col min="8" max="8" width="12.875" customWidth="1"/>
    <col min="10" max="10" width="11.875" customWidth="1"/>
    <col min="13" max="13" width="11.75" customWidth="1"/>
    <col min="14" max="16" width="11.25" customWidth="1"/>
    <col min="17" max="17" width="17.25" customWidth="1"/>
  </cols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 t="s">
        <v>123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 t="s">
        <v>124</v>
      </c>
      <c r="N2" s="11"/>
      <c r="O2" s="11"/>
      <c r="P2" s="11" t="s">
        <v>125</v>
      </c>
      <c r="Q2" s="11"/>
      <c r="R2" s="11"/>
      <c r="S2" s="11"/>
    </row>
    <row r="3" spans="1:19" x14ac:dyDescent="0.3">
      <c r="A3" s="11"/>
      <c r="B3" s="12" t="s">
        <v>126</v>
      </c>
      <c r="C3" s="12" t="s">
        <v>127</v>
      </c>
      <c r="D3" s="33" t="s">
        <v>128</v>
      </c>
      <c r="E3" s="12" t="s">
        <v>129</v>
      </c>
      <c r="F3" s="12" t="s">
        <v>130</v>
      </c>
      <c r="G3" s="12" t="s">
        <v>131</v>
      </c>
      <c r="H3" s="33" t="s">
        <v>132</v>
      </c>
      <c r="I3" s="12" t="s">
        <v>133</v>
      </c>
      <c r="J3" s="33" t="s">
        <v>134</v>
      </c>
      <c r="K3" s="13"/>
      <c r="L3" s="11"/>
      <c r="M3" s="12" t="s">
        <v>126</v>
      </c>
      <c r="N3" s="12" t="s">
        <v>127</v>
      </c>
      <c r="O3" s="11"/>
      <c r="P3" s="12" t="s">
        <v>131</v>
      </c>
      <c r="Q3" s="12" t="s">
        <v>132</v>
      </c>
      <c r="R3" s="11"/>
      <c r="S3" s="11"/>
    </row>
    <row r="4" spans="1:19" x14ac:dyDescent="0.3">
      <c r="A4" s="11"/>
      <c r="B4" s="14" t="s">
        <v>135</v>
      </c>
      <c r="C4" s="14" t="s">
        <v>136</v>
      </c>
      <c r="D4" s="14" t="str">
        <f>IF(ISERROR(_xlfn.XMATCH(B4,$M$4:$M$7,0)),"아니오","예")</f>
        <v>예</v>
      </c>
      <c r="E4" s="15" t="s">
        <v>137</v>
      </c>
      <c r="F4" s="15" t="s">
        <v>138</v>
      </c>
      <c r="G4" s="15" t="s">
        <v>140</v>
      </c>
      <c r="H4" s="14" t="str">
        <f>IFERROR(REPLACE(VLOOKUP(G4,$P$4:$Q$9,2,0),5,2,"○●"),"")</f>
        <v>123-○●-6793</v>
      </c>
      <c r="I4" s="16">
        <v>612700</v>
      </c>
      <c r="J4" s="17" cm="1">
        <f t="array" ref="J4">fn의료비보조(C4,E4,I4)</f>
        <v>306350</v>
      </c>
      <c r="K4" s="18"/>
      <c r="L4" s="11"/>
      <c r="M4" s="19" t="s">
        <v>141</v>
      </c>
      <c r="N4" s="19" t="s">
        <v>142</v>
      </c>
      <c r="O4" s="11"/>
      <c r="P4" s="19" t="s">
        <v>143</v>
      </c>
      <c r="Q4" s="19" t="s">
        <v>144</v>
      </c>
      <c r="R4" s="11"/>
      <c r="S4" s="11"/>
    </row>
    <row r="5" spans="1:19" x14ac:dyDescent="0.3">
      <c r="A5" s="11"/>
      <c r="B5" s="20" t="s">
        <v>135</v>
      </c>
      <c r="C5" s="20" t="s">
        <v>136</v>
      </c>
      <c r="D5" s="14" t="str">
        <f t="shared" ref="D5:D42" si="0">IF(ISERROR(_xlfn.XMATCH(B5,$M$4:$M$7,0)),"아니오","예")</f>
        <v>예</v>
      </c>
      <c r="E5" s="21" t="s">
        <v>145</v>
      </c>
      <c r="F5" s="21" t="s">
        <v>146</v>
      </c>
      <c r="G5" s="21" t="s">
        <v>147</v>
      </c>
      <c r="H5" s="14" t="str">
        <f t="shared" ref="H5:H42" si="1">IFERROR(REPLACE(VLOOKUP(G5,$P$4:$Q$9,2,0),5,2,"○●"),"")</f>
        <v>123-○●-6791</v>
      </c>
      <c r="I5" s="22">
        <v>13000</v>
      </c>
      <c r="J5" s="17" cm="1">
        <f t="array" ref="J5">fn의료비보조(C5,E5,I5)</f>
        <v>0</v>
      </c>
      <c r="K5" s="18"/>
      <c r="L5" s="11"/>
      <c r="M5" s="19" t="s">
        <v>135</v>
      </c>
      <c r="N5" s="19" t="s">
        <v>136</v>
      </c>
      <c r="O5" s="11"/>
      <c r="P5" s="24" t="s">
        <v>148</v>
      </c>
      <c r="Q5" s="19" t="s">
        <v>149</v>
      </c>
      <c r="R5" s="11"/>
      <c r="S5" s="11"/>
    </row>
    <row r="6" spans="1:19" x14ac:dyDescent="0.3">
      <c r="A6" s="11"/>
      <c r="B6" s="20" t="s">
        <v>135</v>
      </c>
      <c r="C6" s="20" t="s">
        <v>136</v>
      </c>
      <c r="D6" s="14" t="str">
        <f t="shared" si="0"/>
        <v>예</v>
      </c>
      <c r="E6" s="21" t="s">
        <v>145</v>
      </c>
      <c r="F6" s="21" t="s">
        <v>146</v>
      </c>
      <c r="G6" s="21" t="s">
        <v>147</v>
      </c>
      <c r="H6" s="14" t="str">
        <f t="shared" si="1"/>
        <v>123-○●-6791</v>
      </c>
      <c r="I6" s="22">
        <v>46000</v>
      </c>
      <c r="J6" s="17" cm="1">
        <f t="array" ref="J6">fn의료비보조(C6,E6,I6)</f>
        <v>0</v>
      </c>
      <c r="K6" s="18"/>
      <c r="L6" s="11"/>
      <c r="M6" s="24" t="s">
        <v>150</v>
      </c>
      <c r="N6" s="24" t="s">
        <v>151</v>
      </c>
      <c r="O6" s="11"/>
      <c r="P6" s="24" t="s">
        <v>147</v>
      </c>
      <c r="Q6" s="19" t="s">
        <v>152</v>
      </c>
      <c r="R6" s="11"/>
      <c r="S6" s="11"/>
    </row>
    <row r="7" spans="1:19" x14ac:dyDescent="0.3">
      <c r="A7" s="11"/>
      <c r="B7" s="20" t="s">
        <v>135</v>
      </c>
      <c r="C7" s="20" t="s">
        <v>136</v>
      </c>
      <c r="D7" s="14" t="str">
        <f t="shared" si="0"/>
        <v>예</v>
      </c>
      <c r="E7" s="21" t="s">
        <v>153</v>
      </c>
      <c r="F7" s="21" t="s">
        <v>154</v>
      </c>
      <c r="G7" s="21" t="s">
        <v>155</v>
      </c>
      <c r="H7" s="14" t="str">
        <f t="shared" si="1"/>
        <v/>
      </c>
      <c r="I7" s="22">
        <v>3000</v>
      </c>
      <c r="J7" s="17" cm="1">
        <f t="array" ref="J7">fn의료비보조(C7,E7,I7)</f>
        <v>0</v>
      </c>
      <c r="K7" s="18"/>
      <c r="L7" s="11"/>
      <c r="M7" s="24" t="s">
        <v>156</v>
      </c>
      <c r="N7" s="24" t="s">
        <v>157</v>
      </c>
      <c r="O7" s="11"/>
      <c r="P7" s="24" t="s">
        <v>158</v>
      </c>
      <c r="Q7" s="19" t="s">
        <v>159</v>
      </c>
      <c r="R7" s="11"/>
      <c r="S7" s="11"/>
    </row>
    <row r="8" spans="1:19" x14ac:dyDescent="0.3">
      <c r="A8" s="11"/>
      <c r="B8" s="20" t="s">
        <v>135</v>
      </c>
      <c r="C8" s="20" t="s">
        <v>136</v>
      </c>
      <c r="D8" s="14" t="str">
        <f t="shared" si="0"/>
        <v>예</v>
      </c>
      <c r="E8" s="21" t="s">
        <v>145</v>
      </c>
      <c r="F8" s="21" t="s">
        <v>154</v>
      </c>
      <c r="G8" s="21" t="s">
        <v>147</v>
      </c>
      <c r="H8" s="14" t="str">
        <f t="shared" si="1"/>
        <v>123-○●-6791</v>
      </c>
      <c r="I8" s="22">
        <v>536790</v>
      </c>
      <c r="J8" s="17" cm="1">
        <f t="array" ref="J8">fn의료비보조(C8,E8,I8)</f>
        <v>0</v>
      </c>
      <c r="K8" s="18"/>
      <c r="L8" s="11"/>
      <c r="M8" s="11"/>
      <c r="N8" s="11"/>
      <c r="O8" s="11"/>
      <c r="P8" s="19" t="s">
        <v>139</v>
      </c>
      <c r="Q8" s="19" t="s">
        <v>160</v>
      </c>
      <c r="R8" s="11"/>
      <c r="S8" s="11"/>
    </row>
    <row r="9" spans="1:19" x14ac:dyDescent="0.3">
      <c r="A9" s="11"/>
      <c r="B9" s="20" t="s">
        <v>135</v>
      </c>
      <c r="C9" s="20" t="s">
        <v>136</v>
      </c>
      <c r="D9" s="14" t="str">
        <f t="shared" si="0"/>
        <v>예</v>
      </c>
      <c r="E9" s="21" t="s">
        <v>145</v>
      </c>
      <c r="F9" s="21" t="s">
        <v>154</v>
      </c>
      <c r="G9" s="21" t="s">
        <v>147</v>
      </c>
      <c r="H9" s="14" t="str">
        <f t="shared" si="1"/>
        <v>123-○●-6791</v>
      </c>
      <c r="I9" s="22">
        <v>1738200</v>
      </c>
      <c r="J9" s="17" cm="1">
        <f t="array" ref="J9">fn의료비보조(C9,E9,I9)</f>
        <v>0</v>
      </c>
      <c r="K9" s="18"/>
      <c r="L9" s="11"/>
      <c r="M9" s="11"/>
      <c r="N9" s="11"/>
      <c r="O9" s="11"/>
      <c r="P9" s="19" t="s">
        <v>161</v>
      </c>
      <c r="Q9" s="19" t="s">
        <v>162</v>
      </c>
      <c r="R9" s="11"/>
      <c r="S9" s="11"/>
    </row>
    <row r="10" spans="1:19" x14ac:dyDescent="0.3">
      <c r="A10" s="11"/>
      <c r="B10" s="20" t="s">
        <v>135</v>
      </c>
      <c r="C10" s="20" t="s">
        <v>136</v>
      </c>
      <c r="D10" s="14" t="str">
        <f t="shared" si="0"/>
        <v>예</v>
      </c>
      <c r="E10" s="21" t="s">
        <v>145</v>
      </c>
      <c r="F10" s="21" t="s">
        <v>163</v>
      </c>
      <c r="G10" s="21" t="s">
        <v>147</v>
      </c>
      <c r="H10" s="14" t="str">
        <f t="shared" si="1"/>
        <v>123-○●-6791</v>
      </c>
      <c r="I10" s="22">
        <v>23520</v>
      </c>
      <c r="J10" s="17" cm="1">
        <f t="array" ref="J10">fn의료비보조(C10,E10,I10)</f>
        <v>0</v>
      </c>
      <c r="K10" s="18"/>
      <c r="L10" s="11"/>
      <c r="M10" s="11"/>
      <c r="N10" s="11"/>
      <c r="O10" s="11"/>
      <c r="P10" s="11"/>
      <c r="Q10" s="11"/>
      <c r="R10" s="11"/>
      <c r="S10" s="11"/>
    </row>
    <row r="11" spans="1:19" x14ac:dyDescent="0.3">
      <c r="A11" s="11"/>
      <c r="B11" s="25" t="s">
        <v>135</v>
      </c>
      <c r="C11" s="25" t="s">
        <v>136</v>
      </c>
      <c r="D11" s="14" t="str">
        <f t="shared" si="0"/>
        <v>예</v>
      </c>
      <c r="E11" s="26" t="s">
        <v>137</v>
      </c>
      <c r="F11" s="26" t="s">
        <v>138</v>
      </c>
      <c r="G11" s="26" t="s">
        <v>161</v>
      </c>
      <c r="H11" s="14" t="str">
        <f t="shared" si="1"/>
        <v>123-○●-6794</v>
      </c>
      <c r="I11" s="27">
        <v>58600</v>
      </c>
      <c r="J11" s="17" cm="1">
        <f t="array" ref="J11">fn의료비보조(C11,E11,I11)</f>
        <v>29300</v>
      </c>
      <c r="K11" s="18"/>
      <c r="L11" s="11"/>
      <c r="M11" s="11"/>
      <c r="N11" s="11"/>
      <c r="O11" s="11"/>
      <c r="P11" s="11"/>
      <c r="Q11" s="11"/>
      <c r="R11" s="11"/>
      <c r="S11" s="11"/>
    </row>
    <row r="12" spans="1:19" x14ac:dyDescent="0.3">
      <c r="A12" s="11"/>
      <c r="B12" s="25" t="s">
        <v>135</v>
      </c>
      <c r="C12" s="25" t="s">
        <v>136</v>
      </c>
      <c r="D12" s="14" t="str">
        <f t="shared" si="0"/>
        <v>예</v>
      </c>
      <c r="E12" s="26" t="s">
        <v>137</v>
      </c>
      <c r="F12" s="26" t="s">
        <v>138</v>
      </c>
      <c r="G12" s="26" t="s">
        <v>164</v>
      </c>
      <c r="H12" s="14" t="str">
        <f t="shared" si="1"/>
        <v>123-○●-6794</v>
      </c>
      <c r="I12" s="27">
        <v>117840</v>
      </c>
      <c r="J12" s="17" cm="1">
        <f t="array" ref="J12">fn의료비보조(C12,E12,I12)</f>
        <v>58920</v>
      </c>
      <c r="K12" s="18"/>
      <c r="L12" s="11"/>
      <c r="M12" s="11" t="s">
        <v>165</v>
      </c>
      <c r="N12" s="11"/>
      <c r="O12" s="11"/>
      <c r="P12" s="28" t="s">
        <v>166</v>
      </c>
      <c r="Q12" s="11"/>
      <c r="R12" s="11"/>
      <c r="S12" s="11"/>
    </row>
    <row r="13" spans="1:19" x14ac:dyDescent="0.3">
      <c r="A13" s="11"/>
      <c r="B13" s="25" t="s">
        <v>167</v>
      </c>
      <c r="C13" s="25" t="s">
        <v>168</v>
      </c>
      <c r="D13" s="14" t="str">
        <f t="shared" si="0"/>
        <v>아니오</v>
      </c>
      <c r="E13" s="26" t="s">
        <v>169</v>
      </c>
      <c r="F13" s="26" t="s">
        <v>170</v>
      </c>
      <c r="G13" s="26" t="s">
        <v>171</v>
      </c>
      <c r="H13" s="14" t="str">
        <f t="shared" si="1"/>
        <v/>
      </c>
      <c r="I13" s="27">
        <v>220000</v>
      </c>
      <c r="J13" s="17" cm="1">
        <f t="array" ref="J13">fn의료비보조(C13,E13,I13)</f>
        <v>0</v>
      </c>
      <c r="K13" s="18"/>
      <c r="L13" s="11"/>
      <c r="M13" s="12" t="s">
        <v>129</v>
      </c>
      <c r="N13" s="33" t="s">
        <v>172</v>
      </c>
      <c r="O13" s="33" t="s">
        <v>173</v>
      </c>
      <c r="P13" s="33" t="s">
        <v>174</v>
      </c>
      <c r="Q13" s="11"/>
      <c r="R13" s="11"/>
      <c r="S13" s="11"/>
    </row>
    <row r="14" spans="1:19" x14ac:dyDescent="0.3">
      <c r="A14" s="11"/>
      <c r="B14" s="25" t="s">
        <v>167</v>
      </c>
      <c r="C14" s="25" t="s">
        <v>175</v>
      </c>
      <c r="D14" s="14" t="str">
        <f t="shared" si="0"/>
        <v>아니오</v>
      </c>
      <c r="E14" s="26" t="s">
        <v>137</v>
      </c>
      <c r="F14" s="26" t="s">
        <v>138</v>
      </c>
      <c r="G14" s="26" t="s">
        <v>140</v>
      </c>
      <c r="H14" s="14" t="str">
        <f t="shared" si="1"/>
        <v>123-○●-6793</v>
      </c>
      <c r="I14" s="27">
        <v>44700</v>
      </c>
      <c r="J14" s="17" cm="1">
        <f t="array" ref="J14">fn의료비보조(C14,E14,I14)</f>
        <v>35760</v>
      </c>
      <c r="K14" s="18"/>
      <c r="L14" s="11"/>
      <c r="M14" s="34" t="s">
        <v>145</v>
      </c>
      <c r="N14" s="29" t="str">
        <f t="array" ref="N14">TEXT(SUM(IF(($E$4:$E$42=$M14)*($F$4:$F$42=N$13),$I$4:$I$42)),"#,##0,")</f>
        <v>29,692</v>
      </c>
      <c r="O14" s="29" t="str">
        <f t="array" ref="O14">TEXT(SUM(IF(($E$4:$E$42=$M14)*($F$4:$F$42=O$13),$I$4:$I$42)),"#,##0,")</f>
        <v>399</v>
      </c>
      <c r="P14" s="29" t="str">
        <f t="array" ref="P14">TEXT(SUM(IF(($E$4:$E$42=$M14)*($F$4:$F$42=P$13),$I$4:$I$42)),"#,##0,")</f>
        <v>92</v>
      </c>
      <c r="Q14" s="11"/>
      <c r="R14" s="11"/>
      <c r="S14" s="11"/>
    </row>
    <row r="15" spans="1:19" x14ac:dyDescent="0.3">
      <c r="A15" s="11"/>
      <c r="B15" s="25" t="s">
        <v>176</v>
      </c>
      <c r="C15" s="25" t="s">
        <v>168</v>
      </c>
      <c r="D15" s="14" t="str">
        <f t="shared" si="0"/>
        <v>아니오</v>
      </c>
      <c r="E15" s="26" t="s">
        <v>137</v>
      </c>
      <c r="F15" s="26" t="s">
        <v>138</v>
      </c>
      <c r="G15" s="26" t="s">
        <v>140</v>
      </c>
      <c r="H15" s="14" t="str">
        <f t="shared" si="1"/>
        <v>123-○●-6793</v>
      </c>
      <c r="I15" s="27">
        <v>88400</v>
      </c>
      <c r="J15" s="17" cm="1">
        <f t="array" ref="J15">fn의료비보조(C15,E15,I15)</f>
        <v>70720</v>
      </c>
      <c r="K15" s="18"/>
      <c r="L15" s="11"/>
      <c r="M15" s="34" t="s">
        <v>177</v>
      </c>
      <c r="N15" s="29" t="str">
        <f t="array" ref="N15">TEXT(SUM(IF(($E$4:$E$42=$M15)*($F$4:$F$42=N$13),$I$4:$I$42)),"#,##0,")</f>
        <v>378</v>
      </c>
      <c r="O15" s="29" t="str">
        <f t="array" ref="O15">TEXT(SUM(IF(($E$4:$E$42=$M15)*($F$4:$F$42=O$13),$I$4:$I$42)),"#,##0,")</f>
        <v>189</v>
      </c>
      <c r="P15" s="29" t="str">
        <f t="array" ref="P15">TEXT(SUM(IF(($E$4:$E$42=$M15)*($F$4:$F$42=P$13),$I$4:$I$42)),"#,##0,")</f>
        <v>4</v>
      </c>
      <c r="Q15" s="11"/>
      <c r="R15" s="11"/>
      <c r="S15" s="11"/>
    </row>
    <row r="16" spans="1:19" x14ac:dyDescent="0.3">
      <c r="A16" s="11"/>
      <c r="B16" s="25" t="s">
        <v>178</v>
      </c>
      <c r="C16" s="25" t="s">
        <v>175</v>
      </c>
      <c r="D16" s="14" t="str">
        <f t="shared" si="0"/>
        <v>아니오</v>
      </c>
      <c r="E16" s="26" t="s">
        <v>137</v>
      </c>
      <c r="F16" s="26" t="s">
        <v>138</v>
      </c>
      <c r="G16" s="26" t="s">
        <v>164</v>
      </c>
      <c r="H16" s="14" t="str">
        <f t="shared" si="1"/>
        <v>123-○●-6794</v>
      </c>
      <c r="I16" s="27">
        <v>107190</v>
      </c>
      <c r="J16" s="17" cm="1">
        <f t="array" ref="J16">fn의료비보조(C16,E16,I16)</f>
        <v>85752</v>
      </c>
      <c r="K16" s="18"/>
      <c r="L16" s="11"/>
      <c r="M16" s="34" t="s">
        <v>153</v>
      </c>
      <c r="N16" s="29" t="str">
        <f t="array" ref="N16">TEXT(SUM(IF(($E$4:$E$42=$M16)*($F$4:$F$42=N$13),$I$4:$I$42)),"#,##0,")</f>
        <v>654</v>
      </c>
      <c r="O16" s="29" t="str">
        <f t="array" ref="O16">TEXT(SUM(IF(($E$4:$E$42=$M16)*($F$4:$F$42=O$13),$I$4:$I$42)),"#,##0,")</f>
        <v>0</v>
      </c>
      <c r="P16" s="29" t="str">
        <f t="array" ref="P16">TEXT(SUM(IF(($E$4:$E$42=$M16)*($F$4:$F$42=P$13),$I$4:$I$42)),"#,##0,")</f>
        <v>0</v>
      </c>
      <c r="Q16" s="11"/>
      <c r="R16" s="11"/>
      <c r="S16" s="11"/>
    </row>
    <row r="17" spans="1:19" x14ac:dyDescent="0.3">
      <c r="A17" s="11"/>
      <c r="B17" s="25" t="s">
        <v>141</v>
      </c>
      <c r="C17" s="25" t="s">
        <v>179</v>
      </c>
      <c r="D17" s="14" t="str">
        <f t="shared" si="0"/>
        <v>예</v>
      </c>
      <c r="E17" s="26" t="s">
        <v>137</v>
      </c>
      <c r="F17" s="26" t="s">
        <v>138</v>
      </c>
      <c r="G17" s="26" t="s">
        <v>164</v>
      </c>
      <c r="H17" s="14" t="str">
        <f t="shared" si="1"/>
        <v>123-○●-6794</v>
      </c>
      <c r="I17" s="27">
        <v>360600</v>
      </c>
      <c r="J17" s="17" cm="1">
        <f t="array" ref="J17">fn의료비보조(C17,E17,I17)</f>
        <v>180300</v>
      </c>
      <c r="K17" s="18"/>
      <c r="L17" s="11"/>
      <c r="M17" s="11"/>
      <c r="N17" s="11"/>
      <c r="O17" s="11"/>
      <c r="P17" s="11"/>
      <c r="Q17" s="11"/>
      <c r="R17" s="11"/>
      <c r="S17" s="11"/>
    </row>
    <row r="18" spans="1:19" x14ac:dyDescent="0.3">
      <c r="A18" s="11"/>
      <c r="B18" s="20" t="s">
        <v>141</v>
      </c>
      <c r="C18" s="20" t="s">
        <v>179</v>
      </c>
      <c r="D18" s="14" t="str">
        <f t="shared" si="0"/>
        <v>예</v>
      </c>
      <c r="E18" s="21" t="s">
        <v>153</v>
      </c>
      <c r="F18" s="21" t="s">
        <v>154</v>
      </c>
      <c r="G18" s="21" t="s">
        <v>155</v>
      </c>
      <c r="H18" s="14" t="str">
        <f t="shared" si="1"/>
        <v/>
      </c>
      <c r="I18" s="22">
        <v>145000</v>
      </c>
      <c r="J18" s="17" cm="1">
        <f t="array" ref="J18">fn의료비보조(C18,E18,I18)</f>
        <v>0</v>
      </c>
      <c r="K18" s="18"/>
      <c r="L18" s="11"/>
      <c r="M18" s="11"/>
      <c r="N18" s="11"/>
      <c r="O18" s="11"/>
      <c r="P18" s="11"/>
      <c r="Q18" s="11"/>
      <c r="R18" s="11"/>
      <c r="S18" s="11"/>
    </row>
    <row r="19" spans="1:19" x14ac:dyDescent="0.3">
      <c r="A19" s="11"/>
      <c r="B19" s="20" t="s">
        <v>141</v>
      </c>
      <c r="C19" s="20" t="s">
        <v>179</v>
      </c>
      <c r="D19" s="14" t="str">
        <f t="shared" si="0"/>
        <v>예</v>
      </c>
      <c r="E19" s="21" t="s">
        <v>153</v>
      </c>
      <c r="F19" s="21" t="s">
        <v>154</v>
      </c>
      <c r="G19" s="21" t="s">
        <v>155</v>
      </c>
      <c r="H19" s="14" t="str">
        <f t="shared" si="1"/>
        <v/>
      </c>
      <c r="I19" s="22">
        <v>231000</v>
      </c>
      <c r="J19" s="17" cm="1">
        <f t="array" ref="J19">fn의료비보조(C19,E19,I19)</f>
        <v>0</v>
      </c>
      <c r="K19" s="18"/>
      <c r="L19" s="11"/>
      <c r="M19" s="30" t="s">
        <v>180</v>
      </c>
      <c r="N19" s="11"/>
      <c r="O19" s="11"/>
      <c r="P19" s="11"/>
      <c r="Q19" s="11"/>
      <c r="R19" s="11"/>
      <c r="S19" s="11"/>
    </row>
    <row r="20" spans="1:19" x14ac:dyDescent="0.3">
      <c r="A20" s="11"/>
      <c r="B20" s="25" t="s">
        <v>141</v>
      </c>
      <c r="C20" s="25" t="s">
        <v>179</v>
      </c>
      <c r="D20" s="14" t="str">
        <f t="shared" si="0"/>
        <v>예</v>
      </c>
      <c r="E20" s="26" t="s">
        <v>137</v>
      </c>
      <c r="F20" s="26" t="s">
        <v>138</v>
      </c>
      <c r="G20" s="26" t="s">
        <v>164</v>
      </c>
      <c r="H20" s="14" t="str">
        <f t="shared" si="1"/>
        <v>123-○●-6794</v>
      </c>
      <c r="I20" s="27">
        <v>50620</v>
      </c>
      <c r="J20" s="17" cm="1">
        <f t="array" ref="J20">fn의료비보조(C20,E20,I20)</f>
        <v>25310</v>
      </c>
      <c r="K20" s="18"/>
      <c r="L20" s="11"/>
      <c r="M20" s="12" t="s">
        <v>181</v>
      </c>
      <c r="N20" s="33" t="s">
        <v>182</v>
      </c>
      <c r="O20" s="11"/>
      <c r="P20" s="11"/>
      <c r="Q20" s="11"/>
      <c r="R20" s="11"/>
      <c r="S20" s="11"/>
    </row>
    <row r="21" spans="1:19" x14ac:dyDescent="0.3">
      <c r="A21" s="11"/>
      <c r="B21" s="20" t="s">
        <v>156</v>
      </c>
      <c r="C21" s="20" t="s">
        <v>157</v>
      </c>
      <c r="D21" s="14" t="str">
        <f t="shared" si="0"/>
        <v>예</v>
      </c>
      <c r="E21" s="21" t="s">
        <v>177</v>
      </c>
      <c r="F21" s="21" t="s">
        <v>146</v>
      </c>
      <c r="G21" s="21" t="s">
        <v>158</v>
      </c>
      <c r="H21" s="14" t="str">
        <f t="shared" si="1"/>
        <v>123-○●-6792</v>
      </c>
      <c r="I21" s="22">
        <v>46360</v>
      </c>
      <c r="J21" s="17" cm="1">
        <f t="array" ref="J21">fn의료비보조(C21,E21,I21)</f>
        <v>0</v>
      </c>
      <c r="K21" s="18"/>
      <c r="L21" s="11"/>
      <c r="M21" s="31" t="s">
        <v>183</v>
      </c>
      <c r="N21" s="23">
        <f t="array" ref="N21">LARGE(IF(($C$4:$C$42=M21)*($E$4:$E$42=N$20),$I$4:$I$42),1)-SMALL(IF(($C$4:$C$42=M21)*($E$4:$E$42=N$20),$I$4:$I$42),1)</f>
        <v>44000</v>
      </c>
      <c r="O21" s="11"/>
      <c r="P21" s="11"/>
      <c r="Q21" s="11"/>
      <c r="R21" s="11"/>
      <c r="S21" s="11"/>
    </row>
    <row r="22" spans="1:19" x14ac:dyDescent="0.3">
      <c r="A22" s="11"/>
      <c r="B22" s="20" t="s">
        <v>156</v>
      </c>
      <c r="C22" s="20" t="s">
        <v>157</v>
      </c>
      <c r="D22" s="14" t="str">
        <f t="shared" si="0"/>
        <v>예</v>
      </c>
      <c r="E22" s="21" t="s">
        <v>177</v>
      </c>
      <c r="F22" s="21" t="s">
        <v>146</v>
      </c>
      <c r="G22" s="21" t="s">
        <v>158</v>
      </c>
      <c r="H22" s="14" t="str">
        <f t="shared" si="1"/>
        <v>123-○●-6792</v>
      </c>
      <c r="I22" s="22">
        <v>143040</v>
      </c>
      <c r="J22" s="17" cm="1">
        <f t="array" ref="J22">fn의료비보조(C22,E22,I22)</f>
        <v>0</v>
      </c>
      <c r="K22" s="18"/>
      <c r="L22" s="11"/>
      <c r="M22" s="32" t="s">
        <v>184</v>
      </c>
      <c r="N22" s="23">
        <f t="array" ref="N22">LARGE(IF(($C$4:$C$42=M22)*($E$4:$E$42=N$20),$I$4:$I$42),1)-SMALL(IF(($C$4:$C$42=M22)*($E$4:$E$42=N$20),$I$4:$I$42),1)</f>
        <v>309980</v>
      </c>
      <c r="O22" s="11"/>
      <c r="P22" s="11"/>
      <c r="Q22" s="11"/>
      <c r="R22" s="11"/>
      <c r="S22" s="11"/>
    </row>
    <row r="23" spans="1:19" x14ac:dyDescent="0.3">
      <c r="A23" s="11"/>
      <c r="B23" s="20" t="s">
        <v>156</v>
      </c>
      <c r="C23" s="20" t="s">
        <v>157</v>
      </c>
      <c r="D23" s="14" t="str">
        <f t="shared" si="0"/>
        <v>예</v>
      </c>
      <c r="E23" s="21" t="s">
        <v>177</v>
      </c>
      <c r="F23" s="21" t="s">
        <v>154</v>
      </c>
      <c r="G23" s="21" t="s">
        <v>158</v>
      </c>
      <c r="H23" s="14" t="str">
        <f t="shared" si="1"/>
        <v>123-○●-6792</v>
      </c>
      <c r="I23" s="22">
        <v>138660</v>
      </c>
      <c r="J23" s="17" cm="1">
        <f t="array" ref="J23">fn의료비보조(C23,E23,I23)</f>
        <v>0</v>
      </c>
      <c r="K23" s="18"/>
      <c r="L23" s="11"/>
      <c r="M23" s="32" t="s">
        <v>185</v>
      </c>
      <c r="N23" s="23">
        <f t="array" ref="N23">LARGE(IF(($C$4:$C$42=M23)*($E$4:$E$42=N$20),$I$4:$I$42),1)-SMALL(IF(($C$4:$C$42=M23)*($E$4:$E$42=N$20),$I$4:$I$42),1)</f>
        <v>554100</v>
      </c>
      <c r="O23" s="11"/>
      <c r="P23" s="11"/>
      <c r="Q23" s="11"/>
      <c r="R23" s="11"/>
      <c r="S23" s="11"/>
    </row>
    <row r="24" spans="1:19" x14ac:dyDescent="0.3">
      <c r="A24" s="11"/>
      <c r="B24" s="20" t="s">
        <v>156</v>
      </c>
      <c r="C24" s="20" t="s">
        <v>157</v>
      </c>
      <c r="D24" s="14" t="str">
        <f t="shared" si="0"/>
        <v>예</v>
      </c>
      <c r="E24" s="21" t="s">
        <v>177</v>
      </c>
      <c r="F24" s="21" t="s">
        <v>154</v>
      </c>
      <c r="G24" s="21" t="s">
        <v>158</v>
      </c>
      <c r="H24" s="14" t="str">
        <f t="shared" si="1"/>
        <v>123-○●-6792</v>
      </c>
      <c r="I24" s="22">
        <v>239250</v>
      </c>
      <c r="J24" s="17" cm="1">
        <f t="array" ref="J24">fn의료비보조(C24,E24,I24)</f>
        <v>0</v>
      </c>
      <c r="K24" s="18"/>
      <c r="L24" s="11"/>
      <c r="M24" s="32" t="s">
        <v>186</v>
      </c>
      <c r="N24" s="23">
        <f t="array" ref="N24">LARGE(IF(($C$4:$C$42=M24)*($E$4:$E$42=N$20),$I$4:$I$42),1)-SMALL(IF(($C$4:$C$42=M24)*($E$4:$E$42=N$20),$I$4:$I$42),1)</f>
        <v>0</v>
      </c>
      <c r="O24" s="11"/>
      <c r="P24" s="11"/>
      <c r="Q24" s="11"/>
      <c r="R24" s="11"/>
      <c r="S24" s="11"/>
    </row>
    <row r="25" spans="1:19" x14ac:dyDescent="0.3">
      <c r="A25" s="11"/>
      <c r="B25" s="20" t="s">
        <v>156</v>
      </c>
      <c r="C25" s="20" t="s">
        <v>157</v>
      </c>
      <c r="D25" s="14" t="str">
        <f t="shared" si="0"/>
        <v>예</v>
      </c>
      <c r="E25" s="21" t="s">
        <v>177</v>
      </c>
      <c r="F25" s="21" t="s">
        <v>163</v>
      </c>
      <c r="G25" s="21" t="s">
        <v>158</v>
      </c>
      <c r="H25" s="14" t="str">
        <f t="shared" si="1"/>
        <v>123-○●-6792</v>
      </c>
      <c r="I25" s="22">
        <v>4000</v>
      </c>
      <c r="J25" s="17" cm="1">
        <f t="array" ref="J25">fn의료비보조(C25,E25,I25)</f>
        <v>0</v>
      </c>
      <c r="K25" s="18"/>
      <c r="L25" s="11"/>
      <c r="M25" s="11"/>
      <c r="N25" s="11"/>
      <c r="O25" s="11"/>
      <c r="P25" s="11"/>
      <c r="Q25" s="11"/>
      <c r="R25" s="11"/>
      <c r="S25" s="11"/>
    </row>
    <row r="26" spans="1:19" x14ac:dyDescent="0.3">
      <c r="A26" s="11"/>
      <c r="B26" s="25" t="s">
        <v>156</v>
      </c>
      <c r="C26" s="25" t="s">
        <v>157</v>
      </c>
      <c r="D26" s="14" t="str">
        <f t="shared" si="0"/>
        <v>예</v>
      </c>
      <c r="E26" s="26" t="s">
        <v>137</v>
      </c>
      <c r="F26" s="26" t="s">
        <v>138</v>
      </c>
      <c r="G26" s="26" t="s">
        <v>161</v>
      </c>
      <c r="H26" s="14" t="str">
        <f t="shared" si="1"/>
        <v>123-○●-6794</v>
      </c>
      <c r="I26" s="27">
        <v>81970</v>
      </c>
      <c r="J26" s="17" cm="1">
        <f t="array" ref="J26">fn의료비보조(C26,E26,I26)</f>
        <v>65576</v>
      </c>
      <c r="K26" s="18"/>
      <c r="L26" s="11"/>
      <c r="M26" s="11"/>
      <c r="N26" s="11"/>
      <c r="O26" s="11"/>
      <c r="P26" s="11"/>
      <c r="Q26" s="11"/>
      <c r="R26" s="11"/>
      <c r="S26" s="11"/>
    </row>
    <row r="27" spans="1:19" x14ac:dyDescent="0.3">
      <c r="A27" s="11"/>
      <c r="B27" s="20" t="s">
        <v>150</v>
      </c>
      <c r="C27" s="20" t="s">
        <v>151</v>
      </c>
      <c r="D27" s="14" t="str">
        <f t="shared" si="0"/>
        <v>예</v>
      </c>
      <c r="E27" s="21" t="s">
        <v>145</v>
      </c>
      <c r="F27" s="21" t="s">
        <v>146</v>
      </c>
      <c r="G27" s="21" t="s">
        <v>148</v>
      </c>
      <c r="H27" s="14" t="str">
        <f t="shared" si="1"/>
        <v>123-○●-6790</v>
      </c>
      <c r="I27" s="22">
        <v>15000</v>
      </c>
      <c r="J27" s="17" cm="1">
        <f t="array" ref="J27">fn의료비보조(C27,E27,I27)</f>
        <v>0</v>
      </c>
      <c r="K27" s="18"/>
      <c r="L27" s="11"/>
      <c r="M27" s="11"/>
      <c r="N27" s="11"/>
      <c r="O27" s="11"/>
      <c r="P27" s="11"/>
      <c r="Q27" s="11"/>
      <c r="R27" s="11"/>
      <c r="S27" s="11"/>
    </row>
    <row r="28" spans="1:19" x14ac:dyDescent="0.3">
      <c r="A28" s="11"/>
      <c r="B28" s="20" t="s">
        <v>150</v>
      </c>
      <c r="C28" s="20" t="s">
        <v>151</v>
      </c>
      <c r="D28" s="14" t="str">
        <f t="shared" si="0"/>
        <v>예</v>
      </c>
      <c r="E28" s="21" t="s">
        <v>145</v>
      </c>
      <c r="F28" s="21" t="s">
        <v>146</v>
      </c>
      <c r="G28" s="21" t="s">
        <v>187</v>
      </c>
      <c r="H28" s="14" t="str">
        <f t="shared" si="1"/>
        <v>123-○●-6791</v>
      </c>
      <c r="I28" s="22">
        <v>111980</v>
      </c>
      <c r="J28" s="17" cm="1">
        <f t="array" ref="J28">fn의료비보조(C28,E28,I28)</f>
        <v>0</v>
      </c>
      <c r="K28" s="18"/>
      <c r="L28" s="11"/>
      <c r="M28" s="11"/>
      <c r="N28" s="11"/>
      <c r="O28" s="11"/>
      <c r="P28" s="11"/>
      <c r="Q28" s="11"/>
      <c r="R28" s="11"/>
      <c r="S28" s="11"/>
    </row>
    <row r="29" spans="1:19" x14ac:dyDescent="0.3">
      <c r="A29" s="11"/>
      <c r="B29" s="20" t="s">
        <v>150</v>
      </c>
      <c r="C29" s="20" t="s">
        <v>151</v>
      </c>
      <c r="D29" s="14" t="str">
        <f t="shared" si="0"/>
        <v>예</v>
      </c>
      <c r="E29" s="21" t="s">
        <v>145</v>
      </c>
      <c r="F29" s="21" t="s">
        <v>146</v>
      </c>
      <c r="G29" s="21" t="s">
        <v>187</v>
      </c>
      <c r="H29" s="14" t="str">
        <f t="shared" si="1"/>
        <v>123-○●-6791</v>
      </c>
      <c r="I29" s="22">
        <v>213200</v>
      </c>
      <c r="J29" s="17" cm="1">
        <f t="array" ref="J29">fn의료비보조(C29,E29,I29)</f>
        <v>0</v>
      </c>
      <c r="K29" s="18"/>
      <c r="L29" s="11"/>
      <c r="M29" s="11"/>
      <c r="N29" s="11"/>
      <c r="O29" s="11"/>
      <c r="P29" s="11"/>
      <c r="Q29" s="11"/>
      <c r="R29" s="11"/>
      <c r="S29" s="11"/>
    </row>
    <row r="30" spans="1:19" x14ac:dyDescent="0.3">
      <c r="A30" s="11"/>
      <c r="B30" s="25" t="s">
        <v>150</v>
      </c>
      <c r="C30" s="25" t="s">
        <v>151</v>
      </c>
      <c r="D30" s="14" t="str">
        <f t="shared" si="0"/>
        <v>예</v>
      </c>
      <c r="E30" s="26" t="s">
        <v>169</v>
      </c>
      <c r="F30" s="26" t="s">
        <v>170</v>
      </c>
      <c r="G30" s="26" t="s">
        <v>171</v>
      </c>
      <c r="H30" s="14" t="str">
        <f t="shared" si="1"/>
        <v/>
      </c>
      <c r="I30" s="27">
        <v>110000</v>
      </c>
      <c r="J30" s="17" cm="1">
        <f t="array" ref="J30">fn의료비보조(C30,E30,I30)</f>
        <v>0</v>
      </c>
      <c r="K30" s="18"/>
      <c r="L30" s="11"/>
      <c r="M30" s="11"/>
      <c r="N30" s="11"/>
      <c r="O30" s="11"/>
      <c r="P30" s="11"/>
      <c r="Q30" s="11"/>
      <c r="R30" s="11"/>
      <c r="S30" s="11"/>
    </row>
    <row r="31" spans="1:19" x14ac:dyDescent="0.3">
      <c r="A31" s="11"/>
      <c r="B31" s="25" t="s">
        <v>150</v>
      </c>
      <c r="C31" s="25" t="s">
        <v>151</v>
      </c>
      <c r="D31" s="14" t="str">
        <f t="shared" si="0"/>
        <v>예</v>
      </c>
      <c r="E31" s="26" t="s">
        <v>169</v>
      </c>
      <c r="F31" s="26" t="s">
        <v>170</v>
      </c>
      <c r="G31" s="26" t="s">
        <v>171</v>
      </c>
      <c r="H31" s="14" t="str">
        <f t="shared" si="1"/>
        <v/>
      </c>
      <c r="I31" s="27">
        <v>240000</v>
      </c>
      <c r="J31" s="17" cm="1">
        <f t="array" ref="J31">fn의료비보조(C31,E31,I31)</f>
        <v>0</v>
      </c>
      <c r="K31" s="18"/>
      <c r="L31" s="11"/>
      <c r="M31" s="11"/>
      <c r="N31" s="11"/>
      <c r="O31" s="11"/>
      <c r="P31" s="11"/>
      <c r="Q31" s="11"/>
      <c r="R31" s="11"/>
      <c r="S31" s="11"/>
    </row>
    <row r="32" spans="1:19" x14ac:dyDescent="0.3">
      <c r="A32" s="11"/>
      <c r="B32" s="25" t="s">
        <v>150</v>
      </c>
      <c r="C32" s="25" t="s">
        <v>151</v>
      </c>
      <c r="D32" s="14" t="str">
        <f t="shared" si="0"/>
        <v>예</v>
      </c>
      <c r="E32" s="26" t="s">
        <v>169</v>
      </c>
      <c r="F32" s="26" t="s">
        <v>170</v>
      </c>
      <c r="G32" s="26" t="s">
        <v>171</v>
      </c>
      <c r="H32" s="14" t="str">
        <f t="shared" si="1"/>
        <v/>
      </c>
      <c r="I32" s="27">
        <v>600000</v>
      </c>
      <c r="J32" s="17" cm="1">
        <f t="array" ref="J32">fn의료비보조(C32,E32,I32)</f>
        <v>0</v>
      </c>
      <c r="K32" s="18"/>
      <c r="L32" s="11"/>
      <c r="M32" s="11"/>
      <c r="N32" s="11"/>
      <c r="O32" s="11"/>
      <c r="P32" s="11"/>
      <c r="Q32" s="11"/>
      <c r="R32" s="11"/>
      <c r="S32" s="11"/>
    </row>
    <row r="33" spans="1:19" x14ac:dyDescent="0.3">
      <c r="A33" s="11"/>
      <c r="B33" s="20" t="s">
        <v>150</v>
      </c>
      <c r="C33" s="20" t="s">
        <v>151</v>
      </c>
      <c r="D33" s="14" t="str">
        <f t="shared" si="0"/>
        <v>예</v>
      </c>
      <c r="E33" s="21" t="s">
        <v>153</v>
      </c>
      <c r="F33" s="21" t="s">
        <v>154</v>
      </c>
      <c r="G33" s="21" t="s">
        <v>155</v>
      </c>
      <c r="H33" s="14" t="str">
        <f t="shared" si="1"/>
        <v/>
      </c>
      <c r="I33" s="22">
        <v>62340</v>
      </c>
      <c r="J33" s="17" cm="1">
        <f t="array" ref="J33">fn의료비보조(C33,E33,I33)</f>
        <v>0</v>
      </c>
      <c r="K33" s="18"/>
      <c r="L33" s="11"/>
      <c r="M33" s="11"/>
      <c r="N33" s="11"/>
      <c r="O33" s="11"/>
      <c r="P33" s="11"/>
      <c r="Q33" s="11"/>
      <c r="R33" s="11"/>
      <c r="S33" s="11"/>
    </row>
    <row r="34" spans="1:19" x14ac:dyDescent="0.3">
      <c r="A34" s="11"/>
      <c r="B34" s="20" t="s">
        <v>150</v>
      </c>
      <c r="C34" s="20" t="s">
        <v>151</v>
      </c>
      <c r="D34" s="14" t="str">
        <f t="shared" si="0"/>
        <v>예</v>
      </c>
      <c r="E34" s="21" t="s">
        <v>153</v>
      </c>
      <c r="F34" s="21" t="s">
        <v>154</v>
      </c>
      <c r="G34" s="21" t="s">
        <v>155</v>
      </c>
      <c r="H34" s="14" t="str">
        <f t="shared" si="1"/>
        <v/>
      </c>
      <c r="I34" s="22">
        <v>213020</v>
      </c>
      <c r="J34" s="17" cm="1">
        <f t="array" ref="J34">fn의료비보조(C34,E34,I34)</f>
        <v>0</v>
      </c>
      <c r="K34" s="18"/>
      <c r="L34" s="11"/>
      <c r="M34" s="11"/>
      <c r="N34" s="11"/>
      <c r="O34" s="11"/>
      <c r="P34" s="11"/>
      <c r="Q34" s="11"/>
      <c r="R34" s="11"/>
      <c r="S34" s="11"/>
    </row>
    <row r="35" spans="1:19" x14ac:dyDescent="0.3">
      <c r="A35" s="11"/>
      <c r="B35" s="20" t="s">
        <v>150</v>
      </c>
      <c r="C35" s="20" t="s">
        <v>151</v>
      </c>
      <c r="D35" s="14" t="str">
        <f t="shared" si="0"/>
        <v>예</v>
      </c>
      <c r="E35" s="21" t="s">
        <v>145</v>
      </c>
      <c r="F35" s="21" t="s">
        <v>154</v>
      </c>
      <c r="G35" s="21" t="s">
        <v>187</v>
      </c>
      <c r="H35" s="14" t="str">
        <f t="shared" si="1"/>
        <v>123-○●-6791</v>
      </c>
      <c r="I35" s="22">
        <v>1925602</v>
      </c>
      <c r="J35" s="17" cm="1">
        <f t="array" ref="J35">fn의료비보조(C35,E35,I35)</f>
        <v>0</v>
      </c>
      <c r="K35" s="18"/>
      <c r="L35" s="11"/>
      <c r="M35" s="11"/>
      <c r="N35" s="11"/>
      <c r="O35" s="11"/>
      <c r="P35" s="11"/>
      <c r="Q35" s="11"/>
      <c r="R35" s="11"/>
      <c r="S35" s="11"/>
    </row>
    <row r="36" spans="1:19" x14ac:dyDescent="0.3">
      <c r="A36" s="11"/>
      <c r="B36" s="20" t="s">
        <v>150</v>
      </c>
      <c r="C36" s="20" t="s">
        <v>151</v>
      </c>
      <c r="D36" s="14" t="str">
        <f t="shared" si="0"/>
        <v>예</v>
      </c>
      <c r="E36" s="21" t="s">
        <v>145</v>
      </c>
      <c r="F36" s="21" t="s">
        <v>154</v>
      </c>
      <c r="G36" s="21" t="s">
        <v>188</v>
      </c>
      <c r="H36" s="14" t="str">
        <f t="shared" si="1"/>
        <v>123-○●-6791</v>
      </c>
      <c r="I36" s="22">
        <v>2638488</v>
      </c>
      <c r="J36" s="17" cm="1">
        <f t="array" ref="J36">fn의료비보조(C36,E36,I36)</f>
        <v>0</v>
      </c>
      <c r="K36" s="18"/>
      <c r="L36" s="11"/>
      <c r="M36" s="11"/>
      <c r="N36" s="11"/>
      <c r="O36" s="11"/>
      <c r="P36" s="11"/>
      <c r="Q36" s="11"/>
      <c r="R36" s="11"/>
      <c r="S36" s="11"/>
    </row>
    <row r="37" spans="1:19" x14ac:dyDescent="0.3">
      <c r="A37" s="11"/>
      <c r="B37" s="20" t="s">
        <v>150</v>
      </c>
      <c r="C37" s="20" t="s">
        <v>151</v>
      </c>
      <c r="D37" s="14" t="str">
        <f t="shared" si="0"/>
        <v>예</v>
      </c>
      <c r="E37" s="21" t="s">
        <v>145</v>
      </c>
      <c r="F37" s="21" t="s">
        <v>154</v>
      </c>
      <c r="G37" s="21" t="s">
        <v>148</v>
      </c>
      <c r="H37" s="14" t="str">
        <f t="shared" si="1"/>
        <v>123-○●-6790</v>
      </c>
      <c r="I37" s="22">
        <v>10725504</v>
      </c>
      <c r="J37" s="17" cm="1">
        <f t="array" ref="J37">fn의료비보조(C37,E37,I37)</f>
        <v>0</v>
      </c>
      <c r="K37" s="18"/>
      <c r="L37" s="11"/>
      <c r="M37" s="11"/>
      <c r="N37" s="11"/>
      <c r="O37" s="11"/>
      <c r="P37" s="11"/>
      <c r="Q37" s="11"/>
      <c r="R37" s="11"/>
      <c r="S37" s="11"/>
    </row>
    <row r="38" spans="1:19" x14ac:dyDescent="0.3">
      <c r="A38" s="11"/>
      <c r="B38" s="20" t="s">
        <v>150</v>
      </c>
      <c r="C38" s="20" t="s">
        <v>151</v>
      </c>
      <c r="D38" s="14" t="str">
        <f t="shared" si="0"/>
        <v>예</v>
      </c>
      <c r="E38" s="21" t="s">
        <v>145</v>
      </c>
      <c r="F38" s="21" t="s">
        <v>154</v>
      </c>
      <c r="G38" s="21" t="s">
        <v>148</v>
      </c>
      <c r="H38" s="14" t="str">
        <f t="shared" si="1"/>
        <v>123-○●-6790</v>
      </c>
      <c r="I38" s="22">
        <v>12127516</v>
      </c>
      <c r="J38" s="17" cm="1">
        <f t="array" ref="J38">fn의료비보조(C38,E38,I38)</f>
        <v>0</v>
      </c>
      <c r="K38" s="18"/>
      <c r="L38" s="11"/>
      <c r="M38" s="11"/>
      <c r="N38" s="11"/>
      <c r="O38" s="11"/>
      <c r="P38" s="11"/>
      <c r="Q38" s="11"/>
      <c r="R38" s="11"/>
      <c r="S38" s="11"/>
    </row>
    <row r="39" spans="1:19" x14ac:dyDescent="0.3">
      <c r="A39" s="11"/>
      <c r="B39" s="20" t="s">
        <v>150</v>
      </c>
      <c r="C39" s="20" t="s">
        <v>151</v>
      </c>
      <c r="D39" s="14" t="str">
        <f t="shared" si="0"/>
        <v>예</v>
      </c>
      <c r="E39" s="21" t="s">
        <v>145</v>
      </c>
      <c r="F39" s="21" t="s">
        <v>163</v>
      </c>
      <c r="G39" s="21" t="s">
        <v>148</v>
      </c>
      <c r="H39" s="14" t="str">
        <f t="shared" si="1"/>
        <v>123-○●-6790</v>
      </c>
      <c r="I39" s="22">
        <v>8000</v>
      </c>
      <c r="J39" s="17" cm="1">
        <f t="array" ref="J39">fn의료비보조(C39,E39,I39)</f>
        <v>0</v>
      </c>
      <c r="K39" s="18"/>
      <c r="L39" s="11"/>
      <c r="M39" s="11"/>
      <c r="N39" s="11"/>
      <c r="O39" s="11"/>
      <c r="P39" s="11"/>
      <c r="Q39" s="11"/>
      <c r="R39" s="11"/>
      <c r="S39" s="11"/>
    </row>
    <row r="40" spans="1:19" x14ac:dyDescent="0.3">
      <c r="A40" s="11"/>
      <c r="B40" s="20" t="s">
        <v>150</v>
      </c>
      <c r="C40" s="20" t="s">
        <v>151</v>
      </c>
      <c r="D40" s="14" t="str">
        <f t="shared" si="0"/>
        <v>예</v>
      </c>
      <c r="E40" s="21" t="s">
        <v>145</v>
      </c>
      <c r="F40" s="21" t="s">
        <v>163</v>
      </c>
      <c r="G40" s="21" t="s">
        <v>148</v>
      </c>
      <c r="H40" s="14" t="str">
        <f t="shared" si="1"/>
        <v>123-○●-6790</v>
      </c>
      <c r="I40" s="22">
        <v>60100</v>
      </c>
      <c r="J40" s="17" cm="1">
        <f t="array" ref="J40">fn의료비보조(C40,E40,I40)</f>
        <v>0</v>
      </c>
      <c r="K40" s="18"/>
      <c r="L40" s="11"/>
      <c r="M40" s="11"/>
      <c r="N40" s="11"/>
      <c r="O40" s="11"/>
      <c r="P40" s="11"/>
      <c r="Q40" s="11"/>
      <c r="R40" s="11"/>
      <c r="S40" s="11"/>
    </row>
    <row r="41" spans="1:19" x14ac:dyDescent="0.3">
      <c r="A41" s="11"/>
      <c r="B41" s="25" t="s">
        <v>150</v>
      </c>
      <c r="C41" s="25" t="s">
        <v>151</v>
      </c>
      <c r="D41" s="14" t="str">
        <f t="shared" si="0"/>
        <v>예</v>
      </c>
      <c r="E41" s="26" t="s">
        <v>137</v>
      </c>
      <c r="F41" s="26" t="s">
        <v>138</v>
      </c>
      <c r="G41" s="26" t="s">
        <v>189</v>
      </c>
      <c r="H41" s="14" t="str">
        <f t="shared" si="1"/>
        <v>123-○●-6793</v>
      </c>
      <c r="I41" s="27">
        <v>59400</v>
      </c>
      <c r="J41" s="17" cm="1">
        <f t="array" ref="J41">fn의료비보조(C41,E41,I41)</f>
        <v>47520</v>
      </c>
      <c r="K41" s="18"/>
      <c r="L41" s="11"/>
      <c r="M41" s="11"/>
      <c r="N41" s="11"/>
      <c r="O41" s="11"/>
      <c r="P41" s="11"/>
      <c r="Q41" s="11"/>
      <c r="R41" s="11"/>
      <c r="S41" s="11"/>
    </row>
    <row r="42" spans="1:19" x14ac:dyDescent="0.3">
      <c r="A42" s="11"/>
      <c r="B42" s="25" t="s">
        <v>150</v>
      </c>
      <c r="C42" s="25" t="s">
        <v>151</v>
      </c>
      <c r="D42" s="14" t="str">
        <f t="shared" si="0"/>
        <v>예</v>
      </c>
      <c r="E42" s="26" t="s">
        <v>137</v>
      </c>
      <c r="F42" s="26" t="s">
        <v>138</v>
      </c>
      <c r="G42" s="26" t="s">
        <v>140</v>
      </c>
      <c r="H42" s="14" t="str">
        <f t="shared" si="1"/>
        <v>123-○●-6793</v>
      </c>
      <c r="I42" s="27">
        <v>103400</v>
      </c>
      <c r="J42" s="17" cm="1">
        <f t="array" ref="J42">fn의료비보조(C42,E42,I42)</f>
        <v>82720</v>
      </c>
      <c r="K42" s="18"/>
      <c r="L42" s="11"/>
      <c r="M42" s="11"/>
      <c r="N42" s="11"/>
      <c r="O42" s="11"/>
      <c r="P42" s="11"/>
      <c r="Q42" s="11"/>
      <c r="R42" s="11"/>
      <c r="S42" s="11"/>
    </row>
    <row r="43" spans="1:1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1:1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1:1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1:19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1:19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1:19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1:19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1:19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1:19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1:19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1:19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1:19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1:19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1:19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1:19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1:19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1:19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1:19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1:19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1:19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1:19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1:19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1:19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1:19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1:19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</row>
    <row r="106" spans="1:19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1:19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</row>
    <row r="116" spans="1:19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</row>
    <row r="117" spans="1:19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</row>
    <row r="118" spans="1:19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</row>
    <row r="119" spans="1:19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</row>
    <row r="120" spans="1:19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</row>
    <row r="121" spans="1:19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</row>
    <row r="122" spans="1:19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</row>
    <row r="123" spans="1:19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</row>
    <row r="124" spans="1:19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</row>
    <row r="125" spans="1:19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</row>
    <row r="126" spans="1:19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</row>
    <row r="127" spans="1:19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</row>
    <row r="128" spans="1:19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</row>
    <row r="129" spans="1:19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</row>
    <row r="130" spans="1:19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</row>
    <row r="131" spans="1:19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</row>
    <row r="132" spans="1:19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</row>
    <row r="133" spans="1:19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</row>
    <row r="134" spans="1:19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</row>
    <row r="135" spans="1:19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</row>
    <row r="136" spans="1:19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</row>
    <row r="137" spans="1:19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</row>
    <row r="138" spans="1:19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</row>
    <row r="139" spans="1:19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</row>
    <row r="140" spans="1:19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</row>
    <row r="141" spans="1:19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</row>
    <row r="142" spans="1:19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</row>
    <row r="143" spans="1:19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</row>
    <row r="144" spans="1:19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</row>
    <row r="145" spans="1:19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</row>
    <row r="146" spans="1:19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</row>
    <row r="147" spans="1:19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</row>
    <row r="148" spans="1:19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</row>
    <row r="149" spans="1:19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</row>
    <row r="150" spans="1:19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</row>
    <row r="151" spans="1:19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</row>
    <row r="152" spans="1:19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</row>
    <row r="153" spans="1:19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</row>
    <row r="154" spans="1:19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</row>
    <row r="155" spans="1:19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</row>
    <row r="156" spans="1:19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G17"/>
  <sheetViews>
    <sheetView workbookViewId="0"/>
  </sheetViews>
  <sheetFormatPr defaultRowHeight="16.5" x14ac:dyDescent="0.3"/>
  <cols>
    <col min="2" max="2" width="19.125" bestFit="1" customWidth="1"/>
    <col min="3" max="3" width="14.25" bestFit="1" customWidth="1"/>
    <col min="4" max="4" width="7.875" customWidth="1"/>
    <col min="5" max="5" width="5.625" customWidth="1"/>
    <col min="6" max="7" width="8.625" bestFit="1" customWidth="1"/>
    <col min="8" max="8" width="7.875" customWidth="1"/>
    <col min="9" max="9" width="14.5" bestFit="1" customWidth="1"/>
    <col min="10" max="10" width="12.5" customWidth="1"/>
    <col min="11" max="11" width="19.125" bestFit="1" customWidth="1"/>
    <col min="12" max="12" width="17.125" bestFit="1" customWidth="1"/>
  </cols>
  <sheetData>
    <row r="2" spans="2:7" x14ac:dyDescent="0.3">
      <c r="D2" s="48" t="s">
        <v>190</v>
      </c>
    </row>
    <row r="3" spans="2:7" x14ac:dyDescent="0.3">
      <c r="B3" s="48" t="s">
        <v>191</v>
      </c>
      <c r="C3" s="48" t="s">
        <v>228</v>
      </c>
      <c r="D3" t="s">
        <v>192</v>
      </c>
      <c r="E3" t="s">
        <v>201</v>
      </c>
      <c r="F3" t="s">
        <v>199</v>
      </c>
      <c r="G3" t="s">
        <v>200</v>
      </c>
    </row>
    <row r="4" spans="2:7" x14ac:dyDescent="0.3">
      <c r="B4" t="s">
        <v>193</v>
      </c>
      <c r="C4" t="s">
        <v>239</v>
      </c>
      <c r="D4" s="47">
        <v>432.59999999999991</v>
      </c>
      <c r="E4" s="47">
        <v>750</v>
      </c>
      <c r="F4" s="47">
        <v>43.9</v>
      </c>
      <c r="G4" s="47">
        <v>-20.299999999999997</v>
      </c>
    </row>
    <row r="5" spans="2:7" x14ac:dyDescent="0.3">
      <c r="C5" t="s">
        <v>240</v>
      </c>
      <c r="D5" s="47">
        <v>961.7</v>
      </c>
      <c r="E5" s="47">
        <v>736</v>
      </c>
      <c r="F5" s="47">
        <v>195.60000000000002</v>
      </c>
      <c r="G5" s="47">
        <v>124.5</v>
      </c>
    </row>
    <row r="6" spans="2:7" x14ac:dyDescent="0.3">
      <c r="B6" t="s">
        <v>197</v>
      </c>
      <c r="C6" t="s">
        <v>239</v>
      </c>
      <c r="D6" s="47">
        <v>191.10000000000002</v>
      </c>
      <c r="E6" s="47">
        <v>544</v>
      </c>
      <c r="F6" s="47">
        <v>37.9</v>
      </c>
      <c r="G6" s="47">
        <v>-1.4000000000000006</v>
      </c>
    </row>
    <row r="7" spans="2:7" x14ac:dyDescent="0.3">
      <c r="C7" t="s">
        <v>240</v>
      </c>
      <c r="D7" s="47">
        <v>642.20000000000005</v>
      </c>
      <c r="E7" s="47">
        <v>556</v>
      </c>
      <c r="F7" s="47">
        <v>151.9</v>
      </c>
      <c r="G7" s="47">
        <v>104.8</v>
      </c>
    </row>
    <row r="8" spans="2:7" x14ac:dyDescent="0.3">
      <c r="B8" t="s">
        <v>194</v>
      </c>
      <c r="C8" t="s">
        <v>239</v>
      </c>
      <c r="D8" s="47">
        <v>449.7</v>
      </c>
      <c r="E8" s="47">
        <v>837</v>
      </c>
      <c r="F8" s="47">
        <v>123.5</v>
      </c>
      <c r="G8" s="47">
        <v>54.2</v>
      </c>
    </row>
    <row r="9" spans="2:7" x14ac:dyDescent="0.3">
      <c r="C9" t="s">
        <v>240</v>
      </c>
      <c r="D9" s="47">
        <v>1306.9000000000001</v>
      </c>
      <c r="E9" s="47">
        <v>923</v>
      </c>
      <c r="F9" s="47">
        <v>273.39999999999998</v>
      </c>
      <c r="G9" s="47">
        <v>197</v>
      </c>
    </row>
    <row r="10" spans="2:7" x14ac:dyDescent="0.3">
      <c r="B10" t="s">
        <v>195</v>
      </c>
      <c r="C10" t="s">
        <v>239</v>
      </c>
      <c r="D10" s="47">
        <v>472.5</v>
      </c>
      <c r="E10" s="47">
        <v>987</v>
      </c>
      <c r="F10" s="47">
        <v>111.10000000000001</v>
      </c>
      <c r="G10" s="47">
        <v>39.5</v>
      </c>
    </row>
    <row r="11" spans="2:7" x14ac:dyDescent="0.3">
      <c r="C11" t="s">
        <v>240</v>
      </c>
      <c r="D11" s="47">
        <v>1182.0999999999999</v>
      </c>
      <c r="E11" s="47">
        <v>994</v>
      </c>
      <c r="F11" s="47">
        <v>267.2</v>
      </c>
      <c r="G11" s="47">
        <v>182.8</v>
      </c>
    </row>
    <row r="12" spans="2:7" x14ac:dyDescent="0.3">
      <c r="B12" t="s">
        <v>198</v>
      </c>
      <c r="C12" t="s">
        <v>239</v>
      </c>
      <c r="D12" s="47">
        <v>179.8</v>
      </c>
      <c r="E12" s="47">
        <v>191</v>
      </c>
      <c r="F12" s="47">
        <v>29.5</v>
      </c>
      <c r="G12" s="47">
        <v>21.3</v>
      </c>
    </row>
    <row r="13" spans="2:7" x14ac:dyDescent="0.3">
      <c r="C13" t="s">
        <v>240</v>
      </c>
      <c r="D13" s="47">
        <v>287.39999999999998</v>
      </c>
      <c r="E13" s="47">
        <v>195</v>
      </c>
      <c r="F13" s="47">
        <v>52.5</v>
      </c>
      <c r="G13" s="47">
        <v>41.5</v>
      </c>
    </row>
    <row r="14" spans="2:7" x14ac:dyDescent="0.3">
      <c r="B14" t="s">
        <v>196</v>
      </c>
      <c r="C14" t="s">
        <v>239</v>
      </c>
      <c r="D14" s="47">
        <v>328</v>
      </c>
      <c r="E14" s="47">
        <v>776</v>
      </c>
      <c r="F14" s="47">
        <v>63.5</v>
      </c>
      <c r="G14" s="47">
        <v>0</v>
      </c>
    </row>
    <row r="15" spans="2:7" x14ac:dyDescent="0.3">
      <c r="C15" t="s">
        <v>240</v>
      </c>
      <c r="D15" s="47">
        <v>890.59999999999991</v>
      </c>
      <c r="E15" s="47">
        <v>727</v>
      </c>
      <c r="F15" s="47">
        <v>216</v>
      </c>
      <c r="G15" s="47">
        <v>140.9</v>
      </c>
    </row>
    <row r="16" spans="2:7" x14ac:dyDescent="0.3">
      <c r="B16" t="s">
        <v>241</v>
      </c>
      <c r="D16" s="47">
        <v>2053.6999999999998</v>
      </c>
      <c r="E16" s="47">
        <v>4085</v>
      </c>
      <c r="F16" s="47">
        <v>409.4</v>
      </c>
      <c r="G16" s="47">
        <v>93.3</v>
      </c>
    </row>
    <row r="17" spans="2:7" x14ac:dyDescent="0.3">
      <c r="B17" t="s">
        <v>242</v>
      </c>
      <c r="D17" s="47">
        <v>5270.9000000000005</v>
      </c>
      <c r="E17" s="47">
        <v>4131</v>
      </c>
      <c r="F17" s="47">
        <v>1156.5999999999999</v>
      </c>
      <c r="G17" s="47">
        <v>791.5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 filterMode="1"/>
  <dimension ref="B2:F35"/>
  <sheetViews>
    <sheetView workbookViewId="0"/>
  </sheetViews>
  <sheetFormatPr defaultRowHeight="16.5" x14ac:dyDescent="0.3"/>
  <cols>
    <col min="4" max="5" width="10.75" bestFit="1" customWidth="1"/>
  </cols>
  <sheetData>
    <row r="2" spans="2:6" x14ac:dyDescent="0.3">
      <c r="B2" s="51" t="s">
        <v>243</v>
      </c>
      <c r="C2" s="52" t="s">
        <v>202</v>
      </c>
      <c r="D2" s="52" t="s">
        <v>244</v>
      </c>
      <c r="E2" s="52" t="s">
        <v>245</v>
      </c>
      <c r="F2" s="53" t="s">
        <v>246</v>
      </c>
    </row>
    <row r="3" spans="2:6" x14ac:dyDescent="0.3">
      <c r="B3" s="54" t="s">
        <v>247</v>
      </c>
      <c r="C3" s="55" t="s">
        <v>203</v>
      </c>
      <c r="D3" s="56">
        <v>45681</v>
      </c>
      <c r="E3" s="56">
        <v>45740</v>
      </c>
      <c r="F3" s="57">
        <v>0</v>
      </c>
    </row>
    <row r="4" spans="2:6" hidden="1" x14ac:dyDescent="0.3">
      <c r="B4" s="54" t="s">
        <v>248</v>
      </c>
      <c r="C4" s="55" t="s">
        <v>203</v>
      </c>
      <c r="D4" s="56">
        <v>45717</v>
      </c>
      <c r="E4" s="56">
        <v>45751</v>
      </c>
      <c r="F4" s="57">
        <v>-3</v>
      </c>
    </row>
    <row r="5" spans="2:6" hidden="1" x14ac:dyDescent="0.3">
      <c r="B5" s="54" t="s">
        <v>249</v>
      </c>
      <c r="C5" s="55" t="s">
        <v>203</v>
      </c>
      <c r="D5" s="56">
        <v>45777</v>
      </c>
      <c r="E5" s="56">
        <v>45743</v>
      </c>
      <c r="F5" s="57">
        <v>-1</v>
      </c>
    </row>
    <row r="6" spans="2:6" hidden="1" x14ac:dyDescent="0.3">
      <c r="B6" s="54" t="s">
        <v>247</v>
      </c>
      <c r="C6" s="55" t="s">
        <v>204</v>
      </c>
      <c r="D6" s="56">
        <v>45734</v>
      </c>
      <c r="E6" s="56">
        <v>45738</v>
      </c>
      <c r="F6" s="57">
        <v>-4</v>
      </c>
    </row>
    <row r="7" spans="2:6" hidden="1" x14ac:dyDescent="0.3">
      <c r="B7" s="54" t="s">
        <v>247</v>
      </c>
      <c r="C7" s="55" t="s">
        <v>205</v>
      </c>
      <c r="D7" s="56">
        <v>45731</v>
      </c>
      <c r="E7" s="56">
        <v>45734</v>
      </c>
      <c r="F7" s="57">
        <v>-3</v>
      </c>
    </row>
    <row r="8" spans="2:6" hidden="1" x14ac:dyDescent="0.3">
      <c r="B8" s="54" t="s">
        <v>247</v>
      </c>
      <c r="C8" s="55" t="s">
        <v>206</v>
      </c>
      <c r="D8" s="56">
        <v>45738</v>
      </c>
      <c r="E8" s="56">
        <v>45741</v>
      </c>
      <c r="F8" s="57">
        <v>-3</v>
      </c>
    </row>
    <row r="9" spans="2:6" x14ac:dyDescent="0.3">
      <c r="B9" s="54" t="s">
        <v>247</v>
      </c>
      <c r="C9" s="55" t="s">
        <v>207</v>
      </c>
      <c r="D9" s="56">
        <v>45884</v>
      </c>
      <c r="E9" s="56">
        <v>45732</v>
      </c>
      <c r="F9" s="57">
        <v>-1</v>
      </c>
    </row>
    <row r="10" spans="2:6" hidden="1" x14ac:dyDescent="0.3">
      <c r="B10" s="54" t="s">
        <v>247</v>
      </c>
      <c r="C10" s="55" t="s">
        <v>208</v>
      </c>
      <c r="D10" s="56">
        <v>45730</v>
      </c>
      <c r="E10" s="56">
        <v>45731</v>
      </c>
      <c r="F10" s="57">
        <v>-1</v>
      </c>
    </row>
    <row r="11" spans="2:6" hidden="1" x14ac:dyDescent="0.3">
      <c r="B11" s="54" t="s">
        <v>247</v>
      </c>
      <c r="C11" s="55" t="s">
        <v>209</v>
      </c>
      <c r="D11" s="56">
        <v>45742</v>
      </c>
      <c r="E11" s="56">
        <v>45741</v>
      </c>
      <c r="F11" s="57">
        <v>1</v>
      </c>
    </row>
    <row r="12" spans="2:6" hidden="1" x14ac:dyDescent="0.3">
      <c r="B12" s="54" t="s">
        <v>247</v>
      </c>
      <c r="C12" s="55" t="s">
        <v>210</v>
      </c>
      <c r="D12" s="56">
        <v>45744</v>
      </c>
      <c r="E12" s="56">
        <v>45746</v>
      </c>
      <c r="F12" s="57">
        <v>-2</v>
      </c>
    </row>
    <row r="13" spans="2:6" hidden="1" x14ac:dyDescent="0.3">
      <c r="B13" s="54" t="s">
        <v>247</v>
      </c>
      <c r="C13" s="55" t="s">
        <v>211</v>
      </c>
      <c r="D13" s="56">
        <v>45739</v>
      </c>
      <c r="E13" s="56">
        <v>45738</v>
      </c>
      <c r="F13" s="57">
        <v>1</v>
      </c>
    </row>
    <row r="14" spans="2:6" hidden="1" x14ac:dyDescent="0.3">
      <c r="B14" s="54" t="s">
        <v>247</v>
      </c>
      <c r="C14" s="55" t="s">
        <v>212</v>
      </c>
      <c r="D14" s="56">
        <v>45748</v>
      </c>
      <c r="E14" s="56">
        <v>45748</v>
      </c>
      <c r="F14" s="57">
        <v>0</v>
      </c>
    </row>
    <row r="15" spans="2:6" hidden="1" x14ac:dyDescent="0.3">
      <c r="B15" s="54" t="s">
        <v>247</v>
      </c>
      <c r="C15" s="55" t="s">
        <v>213</v>
      </c>
      <c r="D15" s="56">
        <v>45738</v>
      </c>
      <c r="E15" s="56">
        <v>45741</v>
      </c>
      <c r="F15" s="57">
        <v>-3</v>
      </c>
    </row>
    <row r="16" spans="2:6" hidden="1" x14ac:dyDescent="0.3">
      <c r="B16" s="54" t="s">
        <v>248</v>
      </c>
      <c r="C16" s="55" t="s">
        <v>204</v>
      </c>
      <c r="D16" s="56">
        <v>45744</v>
      </c>
      <c r="E16" s="56">
        <v>45748</v>
      </c>
      <c r="F16" s="57">
        <v>-4</v>
      </c>
    </row>
    <row r="17" spans="2:6" hidden="1" x14ac:dyDescent="0.3">
      <c r="B17" s="54" t="s">
        <v>248</v>
      </c>
      <c r="C17" s="55" t="s">
        <v>205</v>
      </c>
      <c r="D17" s="56">
        <v>45741</v>
      </c>
      <c r="E17" s="56">
        <v>45746</v>
      </c>
      <c r="F17" s="57">
        <v>-5</v>
      </c>
    </row>
    <row r="18" spans="2:6" hidden="1" x14ac:dyDescent="0.3">
      <c r="B18" s="54" t="s">
        <v>248</v>
      </c>
      <c r="C18" s="55" t="s">
        <v>206</v>
      </c>
      <c r="D18" s="56">
        <v>45746</v>
      </c>
      <c r="E18" s="56">
        <v>45751</v>
      </c>
      <c r="F18" s="57">
        <v>-5</v>
      </c>
    </row>
    <row r="19" spans="2:6" hidden="1" x14ac:dyDescent="0.3">
      <c r="B19" s="54" t="s">
        <v>248</v>
      </c>
      <c r="C19" s="55" t="s">
        <v>207</v>
      </c>
      <c r="D19" s="56">
        <v>45741</v>
      </c>
      <c r="E19" s="56">
        <v>45743</v>
      </c>
      <c r="F19" s="57">
        <v>-2</v>
      </c>
    </row>
    <row r="20" spans="2:6" hidden="1" x14ac:dyDescent="0.3">
      <c r="B20" s="54" t="s">
        <v>248</v>
      </c>
      <c r="C20" s="55" t="s">
        <v>208</v>
      </c>
      <c r="D20" s="56">
        <v>45738</v>
      </c>
      <c r="E20" s="56">
        <v>45739</v>
      </c>
      <c r="F20" s="57">
        <v>-1</v>
      </c>
    </row>
    <row r="21" spans="2:6" hidden="1" x14ac:dyDescent="0.3">
      <c r="B21" s="54" t="s">
        <v>248</v>
      </c>
      <c r="C21" s="55" t="s">
        <v>209</v>
      </c>
      <c r="D21" s="56">
        <v>45752</v>
      </c>
      <c r="E21" s="56">
        <v>45756</v>
      </c>
      <c r="F21" s="57">
        <v>-4</v>
      </c>
    </row>
    <row r="22" spans="2:6" hidden="1" x14ac:dyDescent="0.3">
      <c r="B22" s="54" t="s">
        <v>248</v>
      </c>
      <c r="C22" s="55" t="s">
        <v>210</v>
      </c>
      <c r="D22" s="56">
        <v>45753</v>
      </c>
      <c r="E22" s="56">
        <v>45756</v>
      </c>
      <c r="F22" s="57">
        <v>-3</v>
      </c>
    </row>
    <row r="23" spans="2:6" hidden="1" x14ac:dyDescent="0.3">
      <c r="B23" s="54" t="s">
        <v>248</v>
      </c>
      <c r="C23" s="55" t="s">
        <v>211</v>
      </c>
      <c r="D23" s="56">
        <v>45744</v>
      </c>
      <c r="E23" s="56">
        <v>45748</v>
      </c>
      <c r="F23" s="57">
        <v>-4</v>
      </c>
    </row>
    <row r="24" spans="2:6" hidden="1" x14ac:dyDescent="0.3">
      <c r="B24" s="54" t="s">
        <v>248</v>
      </c>
      <c r="C24" s="55" t="s">
        <v>212</v>
      </c>
      <c r="D24" s="56">
        <v>45755</v>
      </c>
      <c r="E24" s="56">
        <v>45759</v>
      </c>
      <c r="F24" s="57">
        <v>-4</v>
      </c>
    </row>
    <row r="25" spans="2:6" hidden="1" x14ac:dyDescent="0.3">
      <c r="B25" s="54" t="s">
        <v>248</v>
      </c>
      <c r="C25" s="55" t="s">
        <v>213</v>
      </c>
      <c r="D25" s="56">
        <v>45746</v>
      </c>
      <c r="E25" s="56">
        <v>45751</v>
      </c>
      <c r="F25" s="57">
        <v>-5</v>
      </c>
    </row>
    <row r="26" spans="2:6" hidden="1" x14ac:dyDescent="0.3">
      <c r="B26" s="54" t="s">
        <v>249</v>
      </c>
      <c r="C26" s="55" t="s">
        <v>204</v>
      </c>
      <c r="D26" s="56">
        <v>45742</v>
      </c>
      <c r="E26" s="56">
        <v>45742</v>
      </c>
      <c r="F26" s="57">
        <v>0</v>
      </c>
    </row>
    <row r="27" spans="2:6" hidden="1" x14ac:dyDescent="0.3">
      <c r="B27" s="54" t="s">
        <v>249</v>
      </c>
      <c r="C27" s="55" t="s">
        <v>205</v>
      </c>
      <c r="D27" s="56">
        <v>45739</v>
      </c>
      <c r="E27" s="56">
        <v>45741</v>
      </c>
      <c r="F27" s="57">
        <v>-2</v>
      </c>
    </row>
    <row r="28" spans="2:6" hidden="1" x14ac:dyDescent="0.3">
      <c r="B28" s="54" t="s">
        <v>249</v>
      </c>
      <c r="C28" s="55" t="s">
        <v>206</v>
      </c>
      <c r="D28" s="56">
        <v>45742</v>
      </c>
      <c r="E28" s="56">
        <v>45744</v>
      </c>
      <c r="F28" s="57">
        <v>-2</v>
      </c>
    </row>
    <row r="29" spans="2:6" hidden="1" x14ac:dyDescent="0.3">
      <c r="B29" s="54" t="s">
        <v>249</v>
      </c>
      <c r="C29" s="55" t="s">
        <v>207</v>
      </c>
      <c r="D29" s="56">
        <v>45733</v>
      </c>
      <c r="E29" s="56">
        <v>45734</v>
      </c>
      <c r="F29" s="57">
        <v>-1</v>
      </c>
    </row>
    <row r="30" spans="2:6" x14ac:dyDescent="0.3">
      <c r="B30" s="54" t="s">
        <v>249</v>
      </c>
      <c r="C30" s="55" t="s">
        <v>208</v>
      </c>
      <c r="D30" s="56">
        <v>45672</v>
      </c>
      <c r="E30" s="56">
        <v>45735</v>
      </c>
      <c r="F30" s="57">
        <v>-4</v>
      </c>
    </row>
    <row r="31" spans="2:6" hidden="1" x14ac:dyDescent="0.3">
      <c r="B31" s="54" t="s">
        <v>249</v>
      </c>
      <c r="C31" s="55" t="s">
        <v>209</v>
      </c>
      <c r="D31" s="56">
        <v>45742</v>
      </c>
      <c r="E31" s="56">
        <v>45744</v>
      </c>
      <c r="F31" s="57">
        <v>-2</v>
      </c>
    </row>
    <row r="32" spans="2:6" hidden="1" x14ac:dyDescent="0.3">
      <c r="B32" s="54" t="s">
        <v>249</v>
      </c>
      <c r="C32" s="55" t="s">
        <v>210</v>
      </c>
      <c r="D32" s="56">
        <v>45745</v>
      </c>
      <c r="E32" s="56">
        <v>45746</v>
      </c>
      <c r="F32" s="57">
        <v>-1</v>
      </c>
    </row>
    <row r="33" spans="2:6" hidden="1" x14ac:dyDescent="0.3">
      <c r="B33" s="54" t="s">
        <v>249</v>
      </c>
      <c r="C33" s="55" t="s">
        <v>211</v>
      </c>
      <c r="D33" s="56">
        <v>45738</v>
      </c>
      <c r="E33" s="56">
        <v>45735</v>
      </c>
      <c r="F33" s="57">
        <v>3</v>
      </c>
    </row>
    <row r="34" spans="2:6" hidden="1" x14ac:dyDescent="0.3">
      <c r="B34" s="54" t="s">
        <v>249</v>
      </c>
      <c r="C34" s="55" t="s">
        <v>212</v>
      </c>
      <c r="D34" s="56">
        <v>45750</v>
      </c>
      <c r="E34" s="56">
        <v>45750</v>
      </c>
      <c r="F34" s="57">
        <v>0</v>
      </c>
    </row>
    <row r="35" spans="2:6" x14ac:dyDescent="0.3">
      <c r="B35" s="54" t="s">
        <v>249</v>
      </c>
      <c r="C35" s="55" t="s">
        <v>213</v>
      </c>
      <c r="D35" s="56">
        <v>45835</v>
      </c>
      <c r="E35" s="56">
        <v>45745</v>
      </c>
      <c r="F35" s="57">
        <v>-2</v>
      </c>
    </row>
  </sheetData>
  <autoFilter ref="B2:F35" xr:uid="{00000000-0009-0000-0000-000004000000}">
    <filterColumn colId="2">
      <customFilters>
        <customFilter operator="lessThan" val="45717"/>
        <customFilter operator="greaterThan" val="45777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00000000-0002-0000-0400-000000000000}">
      <formula1>45717</formula1>
      <formula2>45777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9"/>
  <sheetViews>
    <sheetView workbookViewId="0"/>
  </sheetViews>
  <sheetFormatPr defaultRowHeight="16.5" x14ac:dyDescent="0.3"/>
  <cols>
    <col min="2" max="2" width="10.25" customWidth="1"/>
    <col min="3" max="10" width="9.875" customWidth="1"/>
  </cols>
  <sheetData>
    <row r="2" spans="2:10" ht="26.25" x14ac:dyDescent="0.3">
      <c r="B2" s="35" t="s">
        <v>214</v>
      </c>
      <c r="C2" s="36"/>
      <c r="D2" s="36"/>
      <c r="E2" s="36"/>
      <c r="F2" s="36"/>
      <c r="G2" s="36"/>
      <c r="H2" s="36"/>
      <c r="I2" s="36"/>
      <c r="J2" s="36"/>
    </row>
    <row r="3" spans="2:10" ht="17.25" x14ac:dyDescent="0.3">
      <c r="B3" s="37"/>
      <c r="C3" s="59">
        <v>2018</v>
      </c>
      <c r="D3" s="59">
        <v>2019</v>
      </c>
      <c r="E3" s="59">
        <v>2020</v>
      </c>
      <c r="F3" s="59">
        <v>2021</v>
      </c>
      <c r="G3" s="59">
        <v>2022</v>
      </c>
      <c r="H3" s="59">
        <v>2023</v>
      </c>
      <c r="I3" s="59">
        <v>2024</v>
      </c>
      <c r="J3" s="59">
        <v>2025</v>
      </c>
    </row>
    <row r="4" spans="2:10" ht="17.25" x14ac:dyDescent="0.3">
      <c r="B4" s="38" t="s">
        <v>209</v>
      </c>
      <c r="C4" s="39">
        <v>4.7</v>
      </c>
      <c r="D4" s="39">
        <v>4.8</v>
      </c>
      <c r="E4" s="39">
        <v>4.8</v>
      </c>
      <c r="F4" s="39">
        <v>4.7</v>
      </c>
      <c r="G4" s="39">
        <v>4.5999999999999996</v>
      </c>
      <c r="H4" s="39">
        <v>4.5999999999999996</v>
      </c>
      <c r="I4" s="39">
        <v>4.7</v>
      </c>
      <c r="J4" s="39">
        <v>4.4000000000000004</v>
      </c>
    </row>
    <row r="5" spans="2:10" ht="17.25" x14ac:dyDescent="0.3">
      <c r="B5" s="38" t="s">
        <v>207</v>
      </c>
      <c r="C5" s="39">
        <v>5.7</v>
      </c>
      <c r="D5" s="39">
        <v>5.5</v>
      </c>
      <c r="E5" s="39">
        <v>5.0999999999999996</v>
      </c>
      <c r="F5" s="39">
        <v>4.7</v>
      </c>
      <c r="G5" s="39">
        <v>4.4000000000000004</v>
      </c>
      <c r="H5" s="39">
        <v>4.9000000000000004</v>
      </c>
      <c r="I5" s="39">
        <v>5</v>
      </c>
      <c r="J5" s="39">
        <v>4.9000000000000004</v>
      </c>
    </row>
    <row r="6" spans="2:10" ht="17.25" x14ac:dyDescent="0.3">
      <c r="B6" s="38" t="s">
        <v>205</v>
      </c>
      <c r="C6" s="39">
        <v>5.5</v>
      </c>
      <c r="D6" s="39">
        <v>5.6</v>
      </c>
      <c r="E6" s="39">
        <v>4.9000000000000004</v>
      </c>
      <c r="F6" s="39">
        <v>5</v>
      </c>
      <c r="G6" s="39">
        <v>4.5999999999999996</v>
      </c>
      <c r="H6" s="39">
        <v>4.7</v>
      </c>
      <c r="I6" s="39">
        <v>5</v>
      </c>
      <c r="J6" s="39">
        <v>5</v>
      </c>
    </row>
    <row r="7" spans="2:10" ht="17.25" x14ac:dyDescent="0.3">
      <c r="B7" s="38" t="s">
        <v>212</v>
      </c>
      <c r="C7" s="39">
        <v>5.4</v>
      </c>
      <c r="D7" s="39">
        <v>4.8</v>
      </c>
      <c r="E7" s="39">
        <v>4.8</v>
      </c>
      <c r="F7" s="39">
        <v>4.7</v>
      </c>
      <c r="G7" s="39">
        <v>4.5999999999999996</v>
      </c>
      <c r="H7" s="39">
        <v>4.7</v>
      </c>
      <c r="I7" s="39">
        <v>4.5</v>
      </c>
      <c r="J7" s="39">
        <v>4.4000000000000004</v>
      </c>
    </row>
    <row r="8" spans="2:10" ht="17.25" x14ac:dyDescent="0.3">
      <c r="B8" s="38" t="s">
        <v>204</v>
      </c>
      <c r="C8" s="39">
        <v>5.2</v>
      </c>
      <c r="D8" s="39">
        <v>4.9000000000000004</v>
      </c>
      <c r="E8" s="39">
        <v>4.7</v>
      </c>
      <c r="F8" s="39">
        <v>4.9000000000000004</v>
      </c>
      <c r="G8" s="39">
        <v>5</v>
      </c>
      <c r="H8" s="39">
        <v>5.2</v>
      </c>
      <c r="I8" s="39">
        <v>5.2</v>
      </c>
      <c r="J8" s="39">
        <v>5.2</v>
      </c>
    </row>
    <row r="9" spans="2:10" ht="17.25" x14ac:dyDescent="0.3">
      <c r="B9" s="38" t="s">
        <v>206</v>
      </c>
      <c r="C9" s="39">
        <v>4.7</v>
      </c>
      <c r="D9" s="39">
        <v>4.7</v>
      </c>
      <c r="E9" s="39">
        <v>4.5</v>
      </c>
      <c r="F9" s="39">
        <v>4.5999999999999996</v>
      </c>
      <c r="G9" s="39">
        <v>4.3</v>
      </c>
      <c r="H9" s="39">
        <v>4.9000000000000004</v>
      </c>
      <c r="I9" s="39">
        <v>4.7</v>
      </c>
      <c r="J9" s="39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6:F39"/>
  <sheetViews>
    <sheetView zoomScaleNormal="100" workbookViewId="0"/>
  </sheetViews>
  <sheetFormatPr defaultRowHeight="16.5" x14ac:dyDescent="0.3"/>
  <sheetData>
    <row r="6" spans="2:6" x14ac:dyDescent="0.3">
      <c r="B6" s="60" t="s">
        <v>253</v>
      </c>
      <c r="C6" s="61" t="s">
        <v>202</v>
      </c>
      <c r="D6" s="61" t="s">
        <v>254</v>
      </c>
      <c r="E6" s="61" t="s">
        <v>255</v>
      </c>
      <c r="F6" s="61" t="s">
        <v>256</v>
      </c>
    </row>
    <row r="7" spans="2:6" x14ac:dyDescent="0.25">
      <c r="B7" s="62" t="s">
        <v>257</v>
      </c>
      <c r="C7" s="63" t="s">
        <v>203</v>
      </c>
      <c r="D7" s="64">
        <v>45749</v>
      </c>
      <c r="E7" s="64">
        <v>45748</v>
      </c>
      <c r="F7" s="65">
        <f t="shared" ref="F7:F39" si="0">D7-E7</f>
        <v>1</v>
      </c>
    </row>
    <row r="8" spans="2:6" x14ac:dyDescent="0.25">
      <c r="B8" s="62" t="s">
        <v>258</v>
      </c>
      <c r="C8" s="63" t="s">
        <v>203</v>
      </c>
      <c r="D8" s="64">
        <v>45743</v>
      </c>
      <c r="E8" s="64">
        <v>45744</v>
      </c>
      <c r="F8" s="65">
        <f t="shared" si="0"/>
        <v>-1</v>
      </c>
    </row>
    <row r="9" spans="2:6" x14ac:dyDescent="0.25">
      <c r="B9" s="62" t="s">
        <v>259</v>
      </c>
      <c r="C9" s="63" t="s">
        <v>203</v>
      </c>
      <c r="D9" s="64">
        <v>45741</v>
      </c>
      <c r="E9" s="64">
        <v>45741</v>
      </c>
      <c r="F9" s="65">
        <f t="shared" si="0"/>
        <v>0</v>
      </c>
    </row>
    <row r="10" spans="2:6" x14ac:dyDescent="0.25">
      <c r="B10" s="62" t="s">
        <v>257</v>
      </c>
      <c r="C10" s="63" t="s">
        <v>204</v>
      </c>
      <c r="D10" s="64">
        <v>45745</v>
      </c>
      <c r="E10" s="64">
        <v>45749</v>
      </c>
      <c r="F10" s="65">
        <f t="shared" si="0"/>
        <v>-4</v>
      </c>
    </row>
    <row r="11" spans="2:6" x14ac:dyDescent="0.25">
      <c r="B11" s="62" t="s">
        <v>251</v>
      </c>
      <c r="C11" s="63" t="s">
        <v>204</v>
      </c>
      <c r="D11" s="64">
        <v>45743</v>
      </c>
      <c r="E11" s="64">
        <v>45743</v>
      </c>
      <c r="F11" s="65">
        <f t="shared" si="0"/>
        <v>0</v>
      </c>
    </row>
    <row r="12" spans="2:6" x14ac:dyDescent="0.25">
      <c r="B12" s="62" t="s">
        <v>259</v>
      </c>
      <c r="C12" s="63" t="s">
        <v>204</v>
      </c>
      <c r="D12" s="64">
        <v>45735</v>
      </c>
      <c r="E12" s="64">
        <v>45739</v>
      </c>
      <c r="F12" s="65">
        <f t="shared" si="0"/>
        <v>-4</v>
      </c>
    </row>
    <row r="13" spans="2:6" x14ac:dyDescent="0.25">
      <c r="B13" s="62" t="s">
        <v>257</v>
      </c>
      <c r="C13" s="63" t="s">
        <v>205</v>
      </c>
      <c r="D13" s="64">
        <v>45742</v>
      </c>
      <c r="E13" s="64">
        <v>45747</v>
      </c>
      <c r="F13" s="65">
        <f t="shared" si="0"/>
        <v>-5</v>
      </c>
    </row>
    <row r="14" spans="2:6" x14ac:dyDescent="0.25">
      <c r="B14" s="62" t="s">
        <v>251</v>
      </c>
      <c r="C14" s="63" t="s">
        <v>205</v>
      </c>
      <c r="D14" s="64">
        <v>45740</v>
      </c>
      <c r="E14" s="64">
        <v>45742</v>
      </c>
      <c r="F14" s="65">
        <f t="shared" si="0"/>
        <v>-2</v>
      </c>
    </row>
    <row r="15" spans="2:6" x14ac:dyDescent="0.25">
      <c r="B15" s="62" t="s">
        <v>259</v>
      </c>
      <c r="C15" s="63" t="s">
        <v>205</v>
      </c>
      <c r="D15" s="64">
        <v>45732</v>
      </c>
      <c r="E15" s="64">
        <v>45735</v>
      </c>
      <c r="F15" s="65">
        <f t="shared" si="0"/>
        <v>-3</v>
      </c>
    </row>
    <row r="16" spans="2:6" x14ac:dyDescent="0.25">
      <c r="B16" s="62" t="s">
        <v>257</v>
      </c>
      <c r="C16" s="63" t="s">
        <v>206</v>
      </c>
      <c r="D16" s="64">
        <v>45747</v>
      </c>
      <c r="E16" s="64">
        <v>45752</v>
      </c>
      <c r="F16" s="65">
        <v>0</v>
      </c>
    </row>
    <row r="17" spans="2:6" x14ac:dyDescent="0.25">
      <c r="B17" s="62" t="s">
        <v>258</v>
      </c>
      <c r="C17" s="63" t="s">
        <v>206</v>
      </c>
      <c r="D17" s="64">
        <v>45743</v>
      </c>
      <c r="E17" s="64">
        <v>45745</v>
      </c>
      <c r="F17" s="65">
        <f t="shared" si="0"/>
        <v>-2</v>
      </c>
    </row>
    <row r="18" spans="2:6" x14ac:dyDescent="0.25">
      <c r="B18" s="62" t="s">
        <v>259</v>
      </c>
      <c r="C18" s="63" t="s">
        <v>206</v>
      </c>
      <c r="D18" s="64">
        <v>45739</v>
      </c>
      <c r="E18" s="64">
        <v>45737</v>
      </c>
      <c r="F18" s="65">
        <f t="shared" si="0"/>
        <v>2</v>
      </c>
    </row>
    <row r="19" spans="2:6" x14ac:dyDescent="0.25">
      <c r="B19" s="62" t="s">
        <v>257</v>
      </c>
      <c r="C19" s="63" t="s">
        <v>207</v>
      </c>
      <c r="D19" s="64">
        <v>45742</v>
      </c>
      <c r="E19" s="64">
        <v>45744</v>
      </c>
      <c r="F19" s="65">
        <f t="shared" si="0"/>
        <v>-2</v>
      </c>
    </row>
    <row r="20" spans="2:6" x14ac:dyDescent="0.25">
      <c r="B20" s="62" t="s">
        <v>251</v>
      </c>
      <c r="C20" s="63" t="s">
        <v>207</v>
      </c>
      <c r="D20" s="64">
        <v>45734</v>
      </c>
      <c r="E20" s="64">
        <v>45735</v>
      </c>
      <c r="F20" s="65">
        <f t="shared" si="0"/>
        <v>-1</v>
      </c>
    </row>
    <row r="21" spans="2:6" x14ac:dyDescent="0.25">
      <c r="B21" s="62" t="s">
        <v>259</v>
      </c>
      <c r="C21" s="63" t="s">
        <v>207</v>
      </c>
      <c r="D21" s="64">
        <v>45732</v>
      </c>
      <c r="E21" s="64">
        <v>45733</v>
      </c>
      <c r="F21" s="65">
        <f t="shared" si="0"/>
        <v>-1</v>
      </c>
    </row>
    <row r="22" spans="2:6" x14ac:dyDescent="0.25">
      <c r="B22" s="62" t="s">
        <v>257</v>
      </c>
      <c r="C22" s="63" t="s">
        <v>208</v>
      </c>
      <c r="D22" s="64">
        <v>45739</v>
      </c>
      <c r="E22" s="64">
        <v>45740</v>
      </c>
      <c r="F22" s="65">
        <f t="shared" si="0"/>
        <v>-1</v>
      </c>
    </row>
    <row r="23" spans="2:6" x14ac:dyDescent="0.25">
      <c r="B23" s="62" t="s">
        <v>258</v>
      </c>
      <c r="C23" s="63" t="s">
        <v>208</v>
      </c>
      <c r="D23" s="64">
        <v>45732</v>
      </c>
      <c r="E23" s="64">
        <v>45736</v>
      </c>
      <c r="F23" s="65">
        <f t="shared" si="0"/>
        <v>-4</v>
      </c>
    </row>
    <row r="24" spans="2:6" x14ac:dyDescent="0.25">
      <c r="B24" s="62" t="s">
        <v>252</v>
      </c>
      <c r="C24" s="63" t="s">
        <v>208</v>
      </c>
      <c r="D24" s="64">
        <v>45731</v>
      </c>
      <c r="E24" s="64">
        <v>45730</v>
      </c>
      <c r="F24" s="65">
        <f t="shared" si="0"/>
        <v>1</v>
      </c>
    </row>
    <row r="25" spans="2:6" x14ac:dyDescent="0.25">
      <c r="B25" s="62" t="s">
        <v>257</v>
      </c>
      <c r="C25" s="63" t="s">
        <v>209</v>
      </c>
      <c r="D25" s="64">
        <v>45753</v>
      </c>
      <c r="E25" s="64">
        <v>45757</v>
      </c>
      <c r="F25" s="65">
        <f t="shared" si="0"/>
        <v>-4</v>
      </c>
    </row>
    <row r="26" spans="2:6" x14ac:dyDescent="0.25">
      <c r="B26" s="62" t="s">
        <v>252</v>
      </c>
      <c r="C26" s="63" t="s">
        <v>209</v>
      </c>
      <c r="D26" s="64">
        <v>45743</v>
      </c>
      <c r="E26" s="64">
        <v>45742</v>
      </c>
      <c r="F26" s="65">
        <f t="shared" si="0"/>
        <v>1</v>
      </c>
    </row>
    <row r="27" spans="2:6" x14ac:dyDescent="0.25">
      <c r="B27" s="62" t="s">
        <v>251</v>
      </c>
      <c r="C27" s="63" t="s">
        <v>209</v>
      </c>
      <c r="D27" s="64">
        <v>45743</v>
      </c>
      <c r="E27" s="64">
        <v>45745</v>
      </c>
      <c r="F27" s="65">
        <f t="shared" si="0"/>
        <v>-2</v>
      </c>
    </row>
    <row r="28" spans="2:6" x14ac:dyDescent="0.25">
      <c r="B28" s="62" t="s">
        <v>257</v>
      </c>
      <c r="C28" s="63" t="s">
        <v>210</v>
      </c>
      <c r="D28" s="64">
        <v>45754</v>
      </c>
      <c r="E28" s="64">
        <v>45757</v>
      </c>
      <c r="F28" s="65">
        <f t="shared" si="0"/>
        <v>-3</v>
      </c>
    </row>
    <row r="29" spans="2:6" x14ac:dyDescent="0.25">
      <c r="B29" s="62" t="s">
        <v>251</v>
      </c>
      <c r="C29" s="63" t="s">
        <v>210</v>
      </c>
      <c r="D29" s="64">
        <v>45746</v>
      </c>
      <c r="E29" s="64">
        <v>45747</v>
      </c>
      <c r="F29" s="65">
        <f t="shared" si="0"/>
        <v>-1</v>
      </c>
    </row>
    <row r="30" spans="2:6" x14ac:dyDescent="0.25">
      <c r="B30" s="62" t="s">
        <v>259</v>
      </c>
      <c r="C30" s="63" t="s">
        <v>210</v>
      </c>
      <c r="D30" s="64">
        <v>45745</v>
      </c>
      <c r="E30" s="64">
        <v>45747</v>
      </c>
      <c r="F30" s="65">
        <f t="shared" si="0"/>
        <v>-2</v>
      </c>
    </row>
    <row r="31" spans="2:6" x14ac:dyDescent="0.25">
      <c r="B31" s="62" t="s">
        <v>257</v>
      </c>
      <c r="C31" s="63" t="s">
        <v>211</v>
      </c>
      <c r="D31" s="64">
        <v>45745</v>
      </c>
      <c r="E31" s="64">
        <v>45749</v>
      </c>
      <c r="F31" s="65">
        <f t="shared" si="0"/>
        <v>-4</v>
      </c>
    </row>
    <row r="32" spans="2:6" x14ac:dyDescent="0.25">
      <c r="B32" s="62" t="s">
        <v>259</v>
      </c>
      <c r="C32" s="63" t="s">
        <v>211</v>
      </c>
      <c r="D32" s="64">
        <v>45740</v>
      </c>
      <c r="E32" s="64">
        <v>45739</v>
      </c>
      <c r="F32" s="65">
        <f t="shared" si="0"/>
        <v>1</v>
      </c>
    </row>
    <row r="33" spans="2:6" x14ac:dyDescent="0.25">
      <c r="B33" s="62" t="s">
        <v>258</v>
      </c>
      <c r="C33" s="63" t="s">
        <v>211</v>
      </c>
      <c r="D33" s="64">
        <v>45739</v>
      </c>
      <c r="E33" s="64">
        <v>45736</v>
      </c>
      <c r="F33" s="65">
        <f t="shared" si="0"/>
        <v>3</v>
      </c>
    </row>
    <row r="34" spans="2:6" x14ac:dyDescent="0.25">
      <c r="B34" s="62" t="s">
        <v>250</v>
      </c>
      <c r="C34" s="63" t="s">
        <v>212</v>
      </c>
      <c r="D34" s="64">
        <v>45756</v>
      </c>
      <c r="E34" s="64">
        <v>45760</v>
      </c>
      <c r="F34" s="65">
        <f t="shared" si="0"/>
        <v>-4</v>
      </c>
    </row>
    <row r="35" spans="2:6" x14ac:dyDescent="0.25">
      <c r="B35" s="62" t="s">
        <v>258</v>
      </c>
      <c r="C35" s="63" t="s">
        <v>212</v>
      </c>
      <c r="D35" s="64">
        <v>45751</v>
      </c>
      <c r="E35" s="64">
        <v>45751</v>
      </c>
      <c r="F35" s="65">
        <f t="shared" si="0"/>
        <v>0</v>
      </c>
    </row>
    <row r="36" spans="2:6" x14ac:dyDescent="0.25">
      <c r="B36" s="62" t="s">
        <v>259</v>
      </c>
      <c r="C36" s="63" t="s">
        <v>212</v>
      </c>
      <c r="D36" s="64">
        <v>45749</v>
      </c>
      <c r="E36" s="64">
        <v>45749</v>
      </c>
      <c r="F36" s="65">
        <f t="shared" si="0"/>
        <v>0</v>
      </c>
    </row>
    <row r="37" spans="2:6" x14ac:dyDescent="0.25">
      <c r="B37" s="62" t="s">
        <v>257</v>
      </c>
      <c r="C37" s="63" t="s">
        <v>213</v>
      </c>
      <c r="D37" s="64">
        <v>45747</v>
      </c>
      <c r="E37" s="64">
        <v>45752</v>
      </c>
      <c r="F37" s="65">
        <f t="shared" si="0"/>
        <v>-5</v>
      </c>
    </row>
    <row r="38" spans="2:6" x14ac:dyDescent="0.25">
      <c r="B38" s="62" t="s">
        <v>258</v>
      </c>
      <c r="C38" s="63" t="s">
        <v>213</v>
      </c>
      <c r="D38" s="64">
        <v>45744</v>
      </c>
      <c r="E38" s="64">
        <v>45746</v>
      </c>
      <c r="F38" s="65">
        <f t="shared" si="0"/>
        <v>-2</v>
      </c>
    </row>
    <row r="39" spans="2:6" x14ac:dyDescent="0.25">
      <c r="B39" s="62" t="s">
        <v>259</v>
      </c>
      <c r="C39" s="63" t="s">
        <v>213</v>
      </c>
      <c r="D39" s="64">
        <v>45739</v>
      </c>
      <c r="E39" s="64">
        <v>45742</v>
      </c>
      <c r="F39" s="65">
        <f t="shared" si="0"/>
        <v>-3</v>
      </c>
    </row>
  </sheetData>
  <sortState xmlns:xlrd2="http://schemas.microsoft.com/office/spreadsheetml/2017/richdata2" ref="B7:F39">
    <sortCondition ref="C7:C39"/>
    <sortCondition descending="1" ref="D7:D39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4:P41"/>
  <sheetViews>
    <sheetView workbookViewId="0"/>
  </sheetViews>
  <sheetFormatPr defaultRowHeight="16.5" x14ac:dyDescent="0.3"/>
  <cols>
    <col min="2" max="9" width="11" customWidth="1"/>
  </cols>
  <sheetData>
    <row r="4" spans="2:16" ht="17.25" thickBot="1" x14ac:dyDescent="0.35">
      <c r="B4" s="1" t="s">
        <v>215</v>
      </c>
      <c r="C4" s="1"/>
      <c r="D4" s="40"/>
      <c r="E4" s="40"/>
      <c r="F4" s="40"/>
      <c r="G4" s="40"/>
      <c r="H4" s="40"/>
      <c r="I4" s="41"/>
      <c r="O4" t="s">
        <v>124</v>
      </c>
    </row>
    <row r="5" spans="2:16" ht="17.25" thickBot="1" x14ac:dyDescent="0.35">
      <c r="B5" s="42" t="s">
        <v>216</v>
      </c>
      <c r="C5" s="43" t="s">
        <v>217</v>
      </c>
      <c r="D5" s="44" t="s">
        <v>218</v>
      </c>
      <c r="E5" s="44" t="s">
        <v>219</v>
      </c>
      <c r="F5" s="44" t="s">
        <v>220</v>
      </c>
      <c r="G5" s="44" t="s">
        <v>221</v>
      </c>
      <c r="H5" s="44" t="s">
        <v>222</v>
      </c>
      <c r="I5" s="45" t="s">
        <v>223</v>
      </c>
      <c r="O5" s="42" t="s">
        <v>216</v>
      </c>
      <c r="P5" s="43" t="s">
        <v>217</v>
      </c>
    </row>
    <row r="6" spans="2:16" x14ac:dyDescent="0.3">
      <c r="B6" s="1">
        <v>2028002</v>
      </c>
      <c r="C6" s="1" t="s">
        <v>224</v>
      </c>
      <c r="D6" s="40">
        <v>0</v>
      </c>
      <c r="E6" s="40">
        <v>0</v>
      </c>
      <c r="F6" s="40">
        <v>20</v>
      </c>
      <c r="G6" s="40">
        <v>20</v>
      </c>
      <c r="H6" s="40">
        <v>60</v>
      </c>
      <c r="I6" s="41"/>
      <c r="O6" s="49">
        <v>2028002</v>
      </c>
      <c r="P6" s="50" t="s">
        <v>224</v>
      </c>
    </row>
    <row r="7" spans="2:16" x14ac:dyDescent="0.3">
      <c r="B7" s="1">
        <v>2028011</v>
      </c>
      <c r="C7" s="1" t="s">
        <v>225</v>
      </c>
      <c r="D7" s="40">
        <v>4</v>
      </c>
      <c r="E7" s="40">
        <v>1</v>
      </c>
      <c r="F7" s="40">
        <v>11</v>
      </c>
      <c r="G7" s="40">
        <v>15</v>
      </c>
      <c r="H7" s="40">
        <v>40</v>
      </c>
      <c r="I7" s="41" t="s">
        <v>226</v>
      </c>
      <c r="O7" s="49">
        <v>2028011</v>
      </c>
      <c r="P7" s="50" t="s">
        <v>225</v>
      </c>
    </row>
    <row r="8" spans="2:16" x14ac:dyDescent="0.3">
      <c r="B8" s="1"/>
      <c r="C8" s="1"/>
      <c r="D8" s="40"/>
      <c r="E8" s="40"/>
      <c r="F8" s="40"/>
      <c r="G8" s="40"/>
      <c r="H8" s="40"/>
      <c r="I8" s="41"/>
      <c r="O8" s="49">
        <v>2028015</v>
      </c>
      <c r="P8" s="50" t="s">
        <v>229</v>
      </c>
    </row>
    <row r="9" spans="2:16" x14ac:dyDescent="0.3">
      <c r="B9" s="1"/>
      <c r="C9" s="1"/>
      <c r="D9" s="40"/>
      <c r="E9" s="40"/>
      <c r="F9" s="40"/>
      <c r="G9" s="40"/>
      <c r="H9" s="40"/>
      <c r="I9" s="41"/>
      <c r="O9" s="49">
        <v>2028019</v>
      </c>
      <c r="P9" s="50" t="s">
        <v>230</v>
      </c>
    </row>
    <row r="10" spans="2:16" x14ac:dyDescent="0.3">
      <c r="B10" s="1"/>
      <c r="C10" s="1"/>
      <c r="D10" s="40"/>
      <c r="E10" s="40"/>
      <c r="F10" s="40"/>
      <c r="G10" s="40"/>
      <c r="H10" s="40"/>
      <c r="I10" s="41"/>
      <c r="O10" s="49">
        <v>2028020</v>
      </c>
      <c r="P10" s="50" t="s">
        <v>231</v>
      </c>
    </row>
    <row r="11" spans="2:16" x14ac:dyDescent="0.3">
      <c r="B11" s="1"/>
      <c r="C11" s="1"/>
      <c r="D11" s="40"/>
      <c r="E11" s="40"/>
      <c r="F11" s="40"/>
      <c r="G11" s="40"/>
      <c r="H11" s="40"/>
      <c r="I11" s="41"/>
      <c r="O11" s="49">
        <v>2028025</v>
      </c>
      <c r="P11" s="50" t="s">
        <v>232</v>
      </c>
    </row>
    <row r="12" spans="2:16" x14ac:dyDescent="0.3">
      <c r="B12" s="1"/>
      <c r="C12" s="1"/>
      <c r="D12" s="40"/>
      <c r="E12" s="40"/>
      <c r="F12" s="40"/>
      <c r="G12" s="40"/>
      <c r="H12" s="40"/>
      <c r="I12" s="41"/>
      <c r="O12" s="49">
        <v>2028046</v>
      </c>
      <c r="P12" s="50" t="s">
        <v>233</v>
      </c>
    </row>
    <row r="13" spans="2:16" x14ac:dyDescent="0.3">
      <c r="B13" s="1"/>
      <c r="C13" s="1"/>
      <c r="D13" s="40"/>
      <c r="E13" s="40"/>
      <c r="F13" s="40"/>
      <c r="G13" s="40"/>
      <c r="H13" s="40"/>
      <c r="I13" s="41"/>
      <c r="O13" s="49">
        <v>2028048</v>
      </c>
      <c r="P13" s="50" t="s">
        <v>234</v>
      </c>
    </row>
    <row r="14" spans="2:16" x14ac:dyDescent="0.3">
      <c r="B14" s="1"/>
      <c r="C14" s="1"/>
      <c r="D14" s="40"/>
      <c r="E14" s="40"/>
      <c r="F14" s="40"/>
      <c r="G14" s="40"/>
      <c r="H14" s="40"/>
      <c r="I14" s="41"/>
      <c r="O14" s="49">
        <v>2028060</v>
      </c>
      <c r="P14" s="50" t="s">
        <v>235</v>
      </c>
    </row>
    <row r="15" spans="2:16" x14ac:dyDescent="0.3">
      <c r="B15" s="1"/>
      <c r="C15" s="1"/>
      <c r="D15" s="40"/>
      <c r="E15" s="40"/>
      <c r="F15" s="40"/>
      <c r="G15" s="40"/>
      <c r="H15" s="40"/>
      <c r="I15" s="41"/>
      <c r="O15" s="49">
        <v>2028062</v>
      </c>
      <c r="P15" s="50" t="s">
        <v>236</v>
      </c>
    </row>
    <row r="16" spans="2:16" x14ac:dyDescent="0.3">
      <c r="B16" s="1"/>
      <c r="C16" s="1"/>
      <c r="D16" s="40"/>
      <c r="E16" s="40"/>
      <c r="F16" s="40"/>
      <c r="G16" s="40"/>
      <c r="H16" s="40"/>
      <c r="I16" s="41"/>
      <c r="O16" s="49">
        <v>2028074</v>
      </c>
      <c r="P16" s="50" t="s">
        <v>237</v>
      </c>
    </row>
    <row r="17" spans="2:16" x14ac:dyDescent="0.3">
      <c r="B17" s="1"/>
      <c r="C17" s="1"/>
      <c r="D17" s="40"/>
      <c r="E17" s="40"/>
      <c r="F17" s="40"/>
      <c r="G17" s="40"/>
      <c r="H17" s="40"/>
      <c r="I17" s="41"/>
      <c r="O17" s="49">
        <v>2028077</v>
      </c>
      <c r="P17" s="50" t="s">
        <v>238</v>
      </c>
    </row>
    <row r="18" spans="2:16" x14ac:dyDescent="0.3">
      <c r="B18" s="1"/>
      <c r="C18" s="1"/>
      <c r="D18" s="40"/>
      <c r="E18" s="40"/>
      <c r="F18" s="40"/>
      <c r="G18" s="40"/>
      <c r="H18" s="40"/>
      <c r="I18" s="41"/>
    </row>
    <row r="19" spans="2:16" x14ac:dyDescent="0.3">
      <c r="B19" s="1"/>
      <c r="C19" s="1"/>
      <c r="D19" s="40"/>
      <c r="E19" s="40"/>
      <c r="F19" s="40"/>
      <c r="G19" s="40"/>
      <c r="H19" s="40"/>
      <c r="I19" s="41"/>
    </row>
    <row r="20" spans="2:16" x14ac:dyDescent="0.3">
      <c r="B20" s="1"/>
      <c r="C20" s="1"/>
      <c r="D20" s="40"/>
      <c r="E20" s="40"/>
      <c r="F20" s="40"/>
      <c r="G20" s="40"/>
      <c r="H20" s="40"/>
      <c r="I20" s="41"/>
    </row>
    <row r="21" spans="2:16" x14ac:dyDescent="0.3">
      <c r="B21" s="1"/>
      <c r="C21" s="1"/>
      <c r="D21" s="40"/>
      <c r="E21" s="40"/>
      <c r="F21" s="40"/>
      <c r="G21" s="40"/>
      <c r="H21" s="40"/>
      <c r="I21" s="41"/>
    </row>
    <row r="22" spans="2:16" x14ac:dyDescent="0.3">
      <c r="B22" s="1"/>
      <c r="C22" s="1"/>
      <c r="D22" s="40"/>
      <c r="E22" s="40"/>
      <c r="F22" s="40"/>
      <c r="G22" s="40"/>
      <c r="H22" s="40"/>
      <c r="I22" s="41"/>
    </row>
    <row r="23" spans="2:16" x14ac:dyDescent="0.3">
      <c r="B23" s="1"/>
      <c r="C23" s="1"/>
      <c r="D23" s="40"/>
      <c r="E23" s="40"/>
      <c r="F23" s="40"/>
      <c r="G23" s="40"/>
      <c r="H23" s="40"/>
      <c r="I23" s="41"/>
    </row>
    <row r="24" spans="2:16" x14ac:dyDescent="0.3">
      <c r="B24" s="1"/>
      <c r="C24" s="1"/>
      <c r="D24" s="40"/>
      <c r="E24" s="40"/>
      <c r="F24" s="40"/>
      <c r="G24" s="40"/>
      <c r="H24" s="40"/>
      <c r="I24" s="41"/>
    </row>
    <row r="25" spans="2:16" x14ac:dyDescent="0.3">
      <c r="B25" s="1"/>
      <c r="C25" s="1"/>
      <c r="D25" s="40"/>
      <c r="E25" s="40"/>
      <c r="F25" s="40"/>
      <c r="G25" s="40"/>
      <c r="H25" s="40"/>
      <c r="I25" s="41"/>
    </row>
    <row r="26" spans="2:16" x14ac:dyDescent="0.3">
      <c r="B26" s="1"/>
      <c r="C26" s="1"/>
      <c r="D26" s="40"/>
      <c r="E26" s="40"/>
      <c r="F26" s="40"/>
      <c r="G26" s="40"/>
      <c r="H26" s="40"/>
      <c r="I26" s="41"/>
    </row>
    <row r="27" spans="2:16" x14ac:dyDescent="0.3">
      <c r="B27" s="1"/>
      <c r="C27" s="1"/>
      <c r="D27" s="40"/>
      <c r="E27" s="40"/>
      <c r="F27" s="40"/>
      <c r="G27" s="40"/>
      <c r="H27" s="40"/>
      <c r="I27" s="41"/>
    </row>
    <row r="28" spans="2:16" x14ac:dyDescent="0.3">
      <c r="B28" s="1"/>
      <c r="C28" s="1"/>
      <c r="D28" s="40"/>
      <c r="E28" s="40"/>
      <c r="F28" s="40"/>
      <c r="G28" s="40"/>
      <c r="H28" s="40"/>
      <c r="I28" s="41"/>
    </row>
    <row r="29" spans="2:16" x14ac:dyDescent="0.3">
      <c r="B29" s="1"/>
      <c r="C29" s="1"/>
      <c r="D29" s="40"/>
      <c r="E29" s="40"/>
      <c r="F29" s="40"/>
      <c r="G29" s="40"/>
      <c r="H29" s="40"/>
      <c r="I29" s="41"/>
    </row>
    <row r="30" spans="2:16" x14ac:dyDescent="0.3">
      <c r="B30" s="1"/>
      <c r="C30" s="1"/>
      <c r="D30" s="40"/>
      <c r="E30" s="40"/>
      <c r="F30" s="40"/>
      <c r="G30" s="40"/>
      <c r="H30" s="40"/>
      <c r="I30" s="41"/>
    </row>
    <row r="31" spans="2:16" x14ac:dyDescent="0.3">
      <c r="B31" s="1"/>
      <c r="C31" s="1"/>
      <c r="D31" s="40"/>
      <c r="E31" s="40"/>
      <c r="F31" s="40"/>
      <c r="G31" s="40"/>
      <c r="H31" s="40"/>
      <c r="I31" s="41"/>
    </row>
    <row r="32" spans="2:16" x14ac:dyDescent="0.3">
      <c r="B32" s="1"/>
      <c r="C32" s="1"/>
      <c r="D32" s="40"/>
      <c r="E32" s="40"/>
      <c r="F32" s="40"/>
      <c r="G32" s="40"/>
      <c r="H32" s="40"/>
      <c r="I32" s="41"/>
    </row>
    <row r="33" spans="2:9" x14ac:dyDescent="0.3">
      <c r="B33" s="1"/>
      <c r="C33" s="1"/>
      <c r="D33" s="40"/>
      <c r="E33" s="40"/>
      <c r="F33" s="40"/>
      <c r="G33" s="40"/>
      <c r="H33" s="40"/>
      <c r="I33" s="41"/>
    </row>
    <row r="34" spans="2:9" x14ac:dyDescent="0.3">
      <c r="B34" s="1"/>
      <c r="C34" s="1"/>
      <c r="D34" s="40"/>
      <c r="E34" s="40"/>
      <c r="F34" s="40"/>
      <c r="G34" s="40"/>
      <c r="H34" s="40"/>
      <c r="I34" s="41"/>
    </row>
    <row r="35" spans="2:9" x14ac:dyDescent="0.3">
      <c r="B35" s="1"/>
      <c r="C35" s="1"/>
      <c r="D35" s="40"/>
      <c r="E35" s="40"/>
      <c r="F35" s="40"/>
      <c r="G35" s="40"/>
      <c r="H35" s="40"/>
      <c r="I35" s="41"/>
    </row>
    <row r="36" spans="2:9" x14ac:dyDescent="0.3">
      <c r="B36" s="1"/>
      <c r="C36" s="1"/>
      <c r="D36" s="40"/>
      <c r="E36" s="40"/>
      <c r="F36" s="40"/>
      <c r="G36" s="40"/>
      <c r="H36" s="40"/>
      <c r="I36" s="41"/>
    </row>
    <row r="37" spans="2:9" x14ac:dyDescent="0.3">
      <c r="B37" s="1"/>
      <c r="C37" s="1"/>
      <c r="D37" s="40"/>
      <c r="E37" s="40"/>
      <c r="F37" s="40"/>
      <c r="G37" s="40"/>
      <c r="H37" s="40"/>
      <c r="I37" s="41"/>
    </row>
    <row r="38" spans="2:9" x14ac:dyDescent="0.3">
      <c r="B38" s="1"/>
      <c r="C38" s="1"/>
      <c r="D38" s="40"/>
      <c r="E38" s="40"/>
      <c r="F38" s="40"/>
      <c r="G38" s="40"/>
      <c r="H38" s="40"/>
      <c r="I38" s="41"/>
    </row>
    <row r="39" spans="2:9" x14ac:dyDescent="0.3">
      <c r="B39" s="1"/>
      <c r="C39" s="1"/>
      <c r="D39" s="40"/>
      <c r="E39" s="40"/>
      <c r="F39" s="40"/>
      <c r="G39" s="40"/>
      <c r="H39" s="40"/>
      <c r="I39" s="41"/>
    </row>
    <row r="40" spans="2:9" x14ac:dyDescent="0.3">
      <c r="B40" s="1"/>
      <c r="C40" s="1"/>
      <c r="D40" s="40"/>
      <c r="E40" s="40"/>
      <c r="F40" s="40"/>
      <c r="G40" s="40"/>
      <c r="H40" s="40"/>
      <c r="I40" s="41"/>
    </row>
    <row r="41" spans="2:9" x14ac:dyDescent="0.3">
      <c r="B41" s="1"/>
      <c r="C41" s="1"/>
      <c r="D41" s="40"/>
      <c r="E41" s="40"/>
      <c r="F41" s="40"/>
      <c r="G41" s="40"/>
      <c r="H41" s="40"/>
      <c r="I41" s="4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716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2021-06-18T07:47:28Z</cp:lastPrinted>
  <dcterms:created xsi:type="dcterms:W3CDTF">2020-04-07T06:00:22Z</dcterms:created>
  <dcterms:modified xsi:type="dcterms:W3CDTF">2023-11-06T13:16:07Z</dcterms:modified>
</cp:coreProperties>
</file>