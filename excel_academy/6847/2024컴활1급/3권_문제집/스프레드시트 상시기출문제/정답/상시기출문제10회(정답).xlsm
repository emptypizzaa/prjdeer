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정답\"/>
    </mc:Choice>
  </mc:AlternateContent>
  <xr:revisionPtr revIDLastSave="0" documentId="13_ncr:1_{90B94A05-542A-4504-AC76-1F7C2B0E42FC}" xr6:coauthVersionLast="47" xr6:coauthVersionMax="47" xr10:uidLastSave="{00000000-0000-0000-0000-000000000000}"/>
  <bookViews>
    <workbookView xWindow="17310" yWindow="180" windowWidth="18345" windowHeight="12225" tabRatio="861" xr2:uid="{00000000-000D-0000-FFFF-FFFF00000000}"/>
  </bookViews>
  <sheets>
    <sheet name="기본작업-1" sheetId="2" r:id="rId1"/>
    <sheet name="기본작업-2" sheetId="10" r:id="rId2"/>
    <sheet name="계산작업" sheetId="3" r:id="rId3"/>
    <sheet name="분석작업-1" sheetId="13" r:id="rId4"/>
    <sheet name="분석작업-2" sheetId="12" r:id="rId5"/>
    <sheet name="기타작업-1" sheetId="6" r:id="rId6"/>
    <sheet name="기타작업-2" sheetId="8" r:id="rId7"/>
    <sheet name="기타작업-3" sheetId="7" r:id="rId8"/>
  </sheets>
  <functionGroups builtInGroupCount="19"/>
  <definedNames>
    <definedName name="_xlnm._FilterDatabase" localSheetId="0" hidden="1">'기본작업-1'!$A$2:$K$32</definedName>
    <definedName name="_xlnm._FilterDatabase" localSheetId="1" hidden="1">'기본작업-2'!$A$2:$K$32</definedName>
    <definedName name="_xlnm._FilterDatabase" localSheetId="4" hidden="1">'분석작업-2'!$B$2:$G$18</definedName>
    <definedName name="_xlnm.Criteria" localSheetId="0">'기본작업-1'!$A$34:$A$35</definedName>
    <definedName name="_xlnm.Criteria" localSheetId="1">'기본작업-2'!#REF!</definedName>
    <definedName name="_xlnm.Extract" localSheetId="0">'기본작업-1'!$A$37:$E$37</definedName>
    <definedName name="_xlnm.Extract" localSheetId="1">'기본작업-2'!#REF!</definedName>
    <definedName name="_xlnm.Print_Area" localSheetId="1">'기본작업-2'!$A$1:$K$32</definedName>
    <definedName name="_xlnm.Print_Titles" localSheetId="1">'기본작업-2'!$1:$2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아파트거래현황 1" name="아파트거래현황 1" connection="아파트거래현황1"/>
        </x15:modelTables>
        <x15:extLst>
          <ext xmlns:x16="http://schemas.microsoft.com/office/spreadsheetml/2014/11/main" uri="{9835A34E-60A6-4A7C-AAB8-D5F71C897F49}">
            <x16:modelTimeGroupings>
              <x16:modelTimeGrouping tableName="아파트거래현황 1" columnName="입주일" columnId="입주일">
                <x16:calculatedTimeColumn columnName="입주일(연도)" columnId="입주일(연도)" contentType="years" isSelected="1"/>
                <x16:calculatedTimeColumn columnName="입주일(분기)" columnId="입주일(분기)" contentType="quarters" isSelected="0"/>
                <x16:calculatedTimeColumn columnName="입주일(월 인덱스)" columnId="입주일(월 인덱스)" contentType="monthsindex" isSelected="0"/>
                <x16:calculatedTimeColumn columnName="입주일(월)" columnId="입주일(월)" contentType="months" isSelected="0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7" i="8" l="1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6" i="8"/>
  <c r="K4" i="3" a="1"/>
  <c r="K14" i="3" a="1"/>
  <c r="K24" i="3" a="1"/>
  <c r="K5" i="3" a="1"/>
  <c r="K15" i="3" a="1"/>
  <c r="K25" i="3" a="1"/>
  <c r="K6" i="3" a="1"/>
  <c r="K16" i="3" a="1"/>
  <c r="K26" i="3" a="1"/>
  <c r="K7" i="3" a="1"/>
  <c r="K17" i="3" a="1"/>
  <c r="K27" i="3" a="1"/>
  <c r="K8" i="3" a="1"/>
  <c r="K18" i="3" a="1"/>
  <c r="K28" i="3" a="1"/>
  <c r="K9" i="3" a="1"/>
  <c r="K29" i="3" a="1"/>
  <c r="K10" i="3" a="1"/>
  <c r="K20" i="3" a="1"/>
  <c r="K30" i="3" a="1"/>
  <c r="K11" i="3" a="1"/>
  <c r="K21" i="3" a="1"/>
  <c r="K31" i="3" a="1"/>
  <c r="K12" i="3" a="1"/>
  <c r="K22" i="3" a="1"/>
  <c r="K32" i="3" a="1"/>
  <c r="K13" i="3" a="1"/>
  <c r="K23" i="3" a="1"/>
  <c r="K19" i="3" a="1"/>
  <c r="K3" i="3" a="1"/>
  <c r="K19" i="3" l="1"/>
  <c r="K23" i="3"/>
  <c r="K13" i="3"/>
  <c r="K32" i="3"/>
  <c r="K22" i="3"/>
  <c r="K12" i="3"/>
  <c r="K31" i="3"/>
  <c r="K21" i="3"/>
  <c r="K11" i="3"/>
  <c r="K30" i="3"/>
  <c r="K20" i="3"/>
  <c r="K10" i="3"/>
  <c r="K29" i="3"/>
  <c r="K9" i="3"/>
  <c r="K28" i="3"/>
  <c r="K18" i="3"/>
  <c r="K8" i="3"/>
  <c r="K27" i="3"/>
  <c r="K17" i="3"/>
  <c r="K7" i="3"/>
  <c r="K26" i="3"/>
  <c r="K16" i="3"/>
  <c r="K6" i="3"/>
  <c r="K25" i="3"/>
  <c r="K15" i="3"/>
  <c r="K5" i="3"/>
  <c r="K24" i="3"/>
  <c r="K14" i="3"/>
  <c r="K4" i="3"/>
  <c r="K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" i="3"/>
  <c r="F47" i="3" a="1"/>
  <c r="F47" i="3" s="1"/>
  <c r="F46" i="3" a="1"/>
  <c r="F46" i="3" s="1"/>
  <c r="C46" i="3" a="1"/>
  <c r="C46" i="3" s="1"/>
  <c r="C47" i="3" a="1"/>
  <c r="C47" i="3" s="1"/>
  <c r="C48" i="3" a="1"/>
  <c r="C48" i="3" s="1"/>
  <c r="C45" i="3" a="1"/>
  <c r="C45" i="3" s="1"/>
  <c r="C36" i="3" a="1"/>
  <c r="C36" i="3" s="1"/>
  <c r="C37" i="3" a="1"/>
  <c r="C37" i="3" s="1"/>
  <c r="C38" i="3" a="1"/>
  <c r="C38" i="3" s="1"/>
  <c r="C39" i="3" a="1"/>
  <c r="C39" i="3" s="1"/>
  <c r="C40" i="3" a="1"/>
  <c r="C40" i="3" s="1"/>
  <c r="C41" i="3" a="1"/>
  <c r="C41" i="3" s="1"/>
  <c r="B37" i="3" a="1"/>
  <c r="B37" i="3" s="1"/>
  <c r="B38" i="3" a="1"/>
  <c r="B38" i="3" s="1"/>
  <c r="B39" i="3" a="1"/>
  <c r="B39" i="3" s="1"/>
  <c r="B40" i="3" a="1"/>
  <c r="B40" i="3" s="1"/>
  <c r="B41" i="3" a="1"/>
  <c r="B41" i="3" s="1"/>
  <c r="B36" i="3" a="1"/>
  <c r="B36" i="3" s="1"/>
  <c r="A35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1년)\1급\excel\스프레드시트(파일) - 최종\기출문제\아파트거래현황.accdb;DefaultDir=E:\영진(2021년)\1급\excel\스프레드시트(파일) - 최종\기출문제;DriverId=25;FIL=MS Access;MaxBufferSize=2048;PageTimeout=5;" command="SELECT 경기도.거래종류, 경기도.입주일, 경기도.거래수수료_x000d__x000a_FROM 경기도 경기도"/>
  </connection>
  <connection id="2" xr16:uid="{00000000-0015-0000-FFFF-FFFF01000000}" name="MS Access Database_Query1" type="1" refreshedVersion="6">
    <dbPr connection="DSN=MS Access Database;DBQ=E:\영진(2021년)\1급\excel\스프레드시트(파일) - 최종\기출문제\아파트거래현황.accdb;DefaultDir=E:\영진(2021년)\1급\excel\스프레드시트(파일) - 최종\기출문제;DriverId=25;FIL=MS Access;MaxBufferSize=2048;PageTimeout=5;" command="SELECT 경기도.거래종류, 경기도.입주일, 경기도.거래수수료_x000d__x000a_FROM 경기도 경기도"/>
  </connection>
  <connection id="3" xr16:uid="{D2326865-2F21-4866-9EC6-214CBE1DC0BE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56DB258B-6FAF-414B-855E-4CAE06DF918C}" name="아파트거래현황1" type="103" refreshedVersion="7" minRefreshableVersion="5">
    <extLst>
      <ext xmlns:x15="http://schemas.microsoft.com/office/spreadsheetml/2010/11/main" uri="{DE250136-89BD-433C-8126-D09CA5730AF9}">
        <x15:connection id="아파트거래현황 1" autoDelete="1">
          <x15:textPr prompt="0" codePage="949" sourceFile="E:\영진(2024년)\1급\24년1급실기\3권_문제집\스프레드시트 상시시험문제\아파트거래현황.csv" tab="0" comma="1">
            <textFields count="11">
              <textField type="skip"/>
              <textField type="skip"/>
              <textField/>
              <textField type="skip"/>
              <textField type="skip"/>
              <textField type="skip"/>
              <textField type="skip"/>
              <textField/>
              <textField type="skip"/>
              <textField type="skip"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<sst xmlns="http://schemas.openxmlformats.org/spreadsheetml/2006/main" count="579" uniqueCount="217">
  <si>
    <t>작성일:</t>
    <phoneticPr fontId="2" type="noConversion"/>
  </si>
  <si>
    <t>지역명</t>
    <phoneticPr fontId="2" type="noConversion"/>
  </si>
  <si>
    <t>아파트명</t>
    <phoneticPr fontId="2" type="noConversion"/>
  </si>
  <si>
    <t>거래종류</t>
    <phoneticPr fontId="2" type="noConversion"/>
  </si>
  <si>
    <t>전용면적</t>
    <phoneticPr fontId="2" type="noConversion"/>
  </si>
  <si>
    <t>규모</t>
    <phoneticPr fontId="2" type="noConversion"/>
  </si>
  <si>
    <t>거래가</t>
    <phoneticPr fontId="2" type="noConversion"/>
  </si>
  <si>
    <t>층수</t>
    <phoneticPr fontId="2" type="noConversion"/>
  </si>
  <si>
    <t>입주일</t>
    <phoneticPr fontId="2" type="noConversion"/>
  </si>
  <si>
    <t>세대수</t>
    <phoneticPr fontId="2" type="noConversion"/>
  </si>
  <si>
    <t>거래등록일</t>
    <phoneticPr fontId="2" type="noConversion"/>
  </si>
  <si>
    <t>거래수수료</t>
    <phoneticPr fontId="2" type="noConversion"/>
  </si>
  <si>
    <t>군포시</t>
    <phoneticPr fontId="2" type="noConversion"/>
  </si>
  <si>
    <t>e-편한세상</t>
    <phoneticPr fontId="2" type="noConversion"/>
  </si>
  <si>
    <t>매매</t>
    <phoneticPr fontId="2" type="noConversion"/>
  </si>
  <si>
    <t>대형</t>
    <phoneticPr fontId="2" type="noConversion"/>
  </si>
  <si>
    <t>수원시</t>
    <phoneticPr fontId="2" type="noConversion"/>
  </si>
  <si>
    <t>I-PARK</t>
    <phoneticPr fontId="2" type="noConversion"/>
  </si>
  <si>
    <t>소형</t>
    <phoneticPr fontId="2" type="noConversion"/>
  </si>
  <si>
    <t>남양주시</t>
    <phoneticPr fontId="2" type="noConversion"/>
  </si>
  <si>
    <t>푸르지오</t>
    <phoneticPr fontId="2" type="noConversion"/>
  </si>
  <si>
    <t>중형</t>
    <phoneticPr fontId="2" type="noConversion"/>
  </si>
  <si>
    <t>구리시</t>
    <phoneticPr fontId="2" type="noConversion"/>
  </si>
  <si>
    <t>안양시</t>
    <phoneticPr fontId="2" type="noConversion"/>
  </si>
  <si>
    <t>주공</t>
    <phoneticPr fontId="2" type="noConversion"/>
  </si>
  <si>
    <t>전세</t>
    <phoneticPr fontId="2" type="noConversion"/>
  </si>
  <si>
    <t>성남시</t>
    <phoneticPr fontId="2" type="noConversion"/>
  </si>
  <si>
    <t>래미안</t>
    <phoneticPr fontId="2" type="noConversion"/>
  </si>
  <si>
    <t>용인시</t>
    <phoneticPr fontId="2" type="noConversion"/>
  </si>
  <si>
    <t>수원시</t>
    <phoneticPr fontId="2" type="noConversion"/>
  </si>
  <si>
    <t>레미안</t>
    <phoneticPr fontId="2" type="noConversion"/>
  </si>
  <si>
    <t>성남시</t>
    <phoneticPr fontId="2" type="noConversion"/>
  </si>
  <si>
    <t>캐슬</t>
    <phoneticPr fontId="2" type="noConversion"/>
  </si>
  <si>
    <t>매매</t>
    <phoneticPr fontId="2" type="noConversion"/>
  </si>
  <si>
    <t>푸르지오</t>
    <phoneticPr fontId="2" type="noConversion"/>
  </si>
  <si>
    <t>자이</t>
    <phoneticPr fontId="2" type="noConversion"/>
  </si>
  <si>
    <t>[표1]</t>
    <phoneticPr fontId="2" type="noConversion"/>
  </si>
  <si>
    <t>[표2] 거래가 평균</t>
    <phoneticPr fontId="2" type="noConversion"/>
  </si>
  <si>
    <t>단위 : 백만원</t>
    <phoneticPr fontId="2" type="noConversion"/>
  </si>
  <si>
    <t>지역명</t>
    <phoneticPr fontId="2" type="noConversion"/>
  </si>
  <si>
    <t>매매</t>
    <phoneticPr fontId="2" type="noConversion"/>
  </si>
  <si>
    <t>구리시</t>
    <phoneticPr fontId="2" type="noConversion"/>
  </si>
  <si>
    <t>군포시</t>
    <phoneticPr fontId="2" type="noConversion"/>
  </si>
  <si>
    <t>남양주시</t>
    <phoneticPr fontId="2" type="noConversion"/>
  </si>
  <si>
    <t>수원시</t>
    <phoneticPr fontId="2" type="noConversion"/>
  </si>
  <si>
    <t>안양시</t>
    <phoneticPr fontId="2" type="noConversion"/>
  </si>
  <si>
    <t>용인시</t>
    <phoneticPr fontId="2" type="noConversion"/>
  </si>
  <si>
    <t>[표3] 전용면적별 거래건수</t>
    <phoneticPr fontId="2" type="noConversion"/>
  </si>
  <si>
    <t>전용면적</t>
    <phoneticPr fontId="2" type="noConversion"/>
  </si>
  <si>
    <t>거래건수</t>
    <phoneticPr fontId="2" type="noConversion"/>
  </si>
  <si>
    <t>[표4] 거래종류별 수수료</t>
    <phoneticPr fontId="2" type="noConversion"/>
  </si>
  <si>
    <t>전세</t>
    <phoneticPr fontId="2" type="noConversion"/>
  </si>
  <si>
    <t>수수료율</t>
    <phoneticPr fontId="2" type="noConversion"/>
  </si>
  <si>
    <t>[표5] 거래종류별 최고가 아파트명</t>
    <phoneticPr fontId="2" type="noConversion"/>
  </si>
  <si>
    <t>거래종류</t>
    <phoneticPr fontId="2" type="noConversion"/>
  </si>
  <si>
    <t>아파트명</t>
    <phoneticPr fontId="2" type="noConversion"/>
  </si>
  <si>
    <t>대출금액</t>
    <phoneticPr fontId="2" type="noConversion"/>
  </si>
  <si>
    <t>수입/수출 현황</t>
    <phoneticPr fontId="2" type="noConversion"/>
  </si>
  <si>
    <t>월</t>
    <phoneticPr fontId="2" type="noConversion"/>
  </si>
  <si>
    <t>수출액</t>
    <phoneticPr fontId="2" type="noConversion"/>
  </si>
  <si>
    <t>수입액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</si>
  <si>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</si>
  <si>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</si>
  <si>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</si>
  <si>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</si>
  <si>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</si>
  <si>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</si>
  <si>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</si>
  <si>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</si>
  <si>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</si>
  <si>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</si>
  <si>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</si>
  <si>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</si>
  <si>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고객등급</t>
    <phoneticPr fontId="2" type="noConversion"/>
  </si>
  <si>
    <t>대출종류</t>
    <phoneticPr fontId="2" type="noConversion"/>
  </si>
  <si>
    <t>대출일자</t>
    <phoneticPr fontId="2" type="noConversion"/>
  </si>
  <si>
    <t>대출기간(월)</t>
    <phoneticPr fontId="2" type="noConversion"/>
  </si>
  <si>
    <t>고객등급</t>
    <phoneticPr fontId="2" type="noConversion"/>
  </si>
  <si>
    <t>일반</t>
    <phoneticPr fontId="2" type="noConversion"/>
  </si>
  <si>
    <t>대출종류</t>
    <phoneticPr fontId="2" type="noConversion"/>
  </si>
  <si>
    <t>다이아</t>
    <phoneticPr fontId="2" type="noConversion"/>
  </si>
  <si>
    <t>실버</t>
    <phoneticPr fontId="2" type="noConversion"/>
  </si>
  <si>
    <t>골드</t>
    <phoneticPr fontId="2" type="noConversion"/>
  </si>
  <si>
    <t>주택담보</t>
    <phoneticPr fontId="2" type="noConversion"/>
  </si>
  <si>
    <t>창업자금지원</t>
    <phoneticPr fontId="2" type="noConversion"/>
  </si>
  <si>
    <t>[표1] 상공은행 대출현황</t>
    <phoneticPr fontId="2" type="noConversion"/>
  </si>
  <si>
    <t>대출인 성명</t>
    <phoneticPr fontId="2" type="noConversion"/>
  </si>
  <si>
    <t>VIP</t>
    <phoneticPr fontId="2" type="noConversion"/>
  </si>
  <si>
    <t>정부 서민지원</t>
    <phoneticPr fontId="2" type="noConversion"/>
  </si>
  <si>
    <t>신용대출</t>
    <phoneticPr fontId="2" type="noConversion"/>
  </si>
  <si>
    <t>특별자금지원</t>
    <phoneticPr fontId="2" type="noConversion"/>
  </si>
  <si>
    <t>홍길동</t>
    <phoneticPr fontId="2" type="noConversion"/>
  </si>
  <si>
    <t>주택담보</t>
    <phoneticPr fontId="2" type="noConversion"/>
  </si>
  <si>
    <t>150,000,000원</t>
    <phoneticPr fontId="2" type="noConversion"/>
  </si>
  <si>
    <t>거래종류</t>
  </si>
  <si>
    <t>입주일</t>
  </si>
  <si>
    <t>매매</t>
  </si>
  <si>
    <t>전세</t>
  </si>
  <si>
    <t>조건</t>
    <phoneticPr fontId="2" type="noConversion"/>
  </si>
  <si>
    <t>총합계</t>
  </si>
  <si>
    <t>학년</t>
  </si>
  <si>
    <t>반</t>
  </si>
  <si>
    <t>이름</t>
  </si>
  <si>
    <t>사랑반</t>
  </si>
  <si>
    <t>김영서</t>
  </si>
  <si>
    <t>이환</t>
  </si>
  <si>
    <t>김유준</t>
  </si>
  <si>
    <t>화평반</t>
  </si>
  <si>
    <t>김지환</t>
  </si>
  <si>
    <t>원가은</t>
  </si>
  <si>
    <t>김서찬</t>
  </si>
  <si>
    <t>노재현</t>
  </si>
  <si>
    <t>희락반</t>
  </si>
  <si>
    <t>최예진</t>
  </si>
  <si>
    <t>전준호</t>
  </si>
  <si>
    <t>김우인</t>
  </si>
  <si>
    <t>양선반</t>
  </si>
  <si>
    <t>신지섭</t>
  </si>
  <si>
    <t>정승우</t>
  </si>
  <si>
    <t>오래참음반</t>
  </si>
  <si>
    <t>강연지</t>
  </si>
  <si>
    <t>박소연</t>
  </si>
  <si>
    <t>윤지강</t>
  </si>
  <si>
    <t>손채영</t>
  </si>
  <si>
    <t>자비반</t>
  </si>
  <si>
    <t>박지민</t>
  </si>
  <si>
    <t>김하람</t>
  </si>
  <si>
    <t>김하영</t>
  </si>
  <si>
    <t>이지훈</t>
  </si>
  <si>
    <t>이선녕</t>
  </si>
  <si>
    <t>충성반</t>
  </si>
  <si>
    <t>곽용빈</t>
  </si>
  <si>
    <t>이승아</t>
  </si>
  <si>
    <t>한정우</t>
  </si>
  <si>
    <t>이창재</t>
  </si>
  <si>
    <t>노석진</t>
  </si>
  <si>
    <t>권한지</t>
  </si>
  <si>
    <t>최경주</t>
  </si>
  <si>
    <t>출석</t>
    <phoneticPr fontId="2" type="noConversion"/>
  </si>
  <si>
    <t>2019</t>
  </si>
  <si>
    <t>입주일(연도)</t>
  </si>
  <si>
    <t>평균: 거래수수료</t>
  </si>
  <si>
    <t>*</t>
  </si>
  <si>
    <t>e-편한세상</t>
    <phoneticPr fontId="2" type="noConversion"/>
  </si>
  <si>
    <t>I-PARK</t>
    <phoneticPr fontId="2" type="noConversion"/>
  </si>
  <si>
    <t>매매</t>
    <phoneticPr fontId="2" type="noConversion"/>
  </si>
  <si>
    <t>푸르지오</t>
    <phoneticPr fontId="2" type="noConversion"/>
  </si>
  <si>
    <t>주공</t>
    <phoneticPr fontId="2" type="noConversion"/>
  </si>
  <si>
    <t>전세</t>
    <phoneticPr fontId="2" type="noConversion"/>
  </si>
  <si>
    <t>성남시</t>
    <phoneticPr fontId="2" type="noConversion"/>
  </si>
  <si>
    <t>중형</t>
    <phoneticPr fontId="2" type="noConversion"/>
  </si>
  <si>
    <t>안양시</t>
    <phoneticPr fontId="2" type="noConversion"/>
  </si>
  <si>
    <t>군포시</t>
    <phoneticPr fontId="2" type="noConversion"/>
  </si>
  <si>
    <t>대형</t>
    <phoneticPr fontId="2" type="noConversion"/>
  </si>
  <si>
    <t>전세</t>
    <phoneticPr fontId="2" type="noConversion"/>
  </si>
  <si>
    <t>I-PARK</t>
    <phoneticPr fontId="2" type="noConversion"/>
  </si>
  <si>
    <t>남양주시</t>
    <phoneticPr fontId="2" type="noConversion"/>
  </si>
  <si>
    <t>군포시</t>
    <phoneticPr fontId="2" type="noConversion"/>
  </si>
  <si>
    <t>e-편한세상</t>
    <phoneticPr fontId="2" type="noConversion"/>
  </si>
  <si>
    <t>소형</t>
    <phoneticPr fontId="2" type="noConversion"/>
  </si>
  <si>
    <t>캐슬</t>
    <phoneticPr fontId="2" type="noConversion"/>
  </si>
  <si>
    <t>중형</t>
    <phoneticPr fontId="2" type="noConversion"/>
  </si>
  <si>
    <t>수원시</t>
    <phoneticPr fontId="2" type="noConversion"/>
  </si>
  <si>
    <t>비발디</t>
    <phoneticPr fontId="2" type="noConversion"/>
  </si>
  <si>
    <t>매매</t>
    <phoneticPr fontId="2" type="noConversion"/>
  </si>
  <si>
    <t>힐스테이트</t>
    <phoneticPr fontId="2" type="noConversion"/>
  </si>
  <si>
    <t>힐스테이트</t>
    <phoneticPr fontId="2" type="noConversion"/>
  </si>
  <si>
    <t>작성일:</t>
    <phoneticPr fontId="2" type="noConversion"/>
  </si>
  <si>
    <t>지역명</t>
    <phoneticPr fontId="2" type="noConversion"/>
  </si>
  <si>
    <t>거래종류</t>
    <phoneticPr fontId="2" type="noConversion"/>
  </si>
  <si>
    <t>전용면적</t>
    <phoneticPr fontId="2" type="noConversion"/>
  </si>
  <si>
    <t>규모</t>
    <phoneticPr fontId="2" type="noConversion"/>
  </si>
  <si>
    <t>거래가</t>
    <phoneticPr fontId="2" type="noConversion"/>
  </si>
  <si>
    <t>층수</t>
    <phoneticPr fontId="2" type="noConversion"/>
  </si>
  <si>
    <t>입주일</t>
    <phoneticPr fontId="2" type="noConversion"/>
  </si>
  <si>
    <t>세대수</t>
    <phoneticPr fontId="2" type="noConversion"/>
  </si>
  <si>
    <t>거래수수료</t>
    <phoneticPr fontId="2" type="noConversion"/>
  </si>
  <si>
    <t>남양주시</t>
    <phoneticPr fontId="2" type="noConversion"/>
  </si>
  <si>
    <t>성남시</t>
    <phoneticPr fontId="2" type="noConversion"/>
  </si>
  <si>
    <t>래미안</t>
    <phoneticPr fontId="2" type="noConversion"/>
  </si>
  <si>
    <t>구리시</t>
    <phoneticPr fontId="2" type="noConversion"/>
  </si>
  <si>
    <t>용인시</t>
    <phoneticPr fontId="2" type="noConversion"/>
  </si>
  <si>
    <t>레미안</t>
    <phoneticPr fontId="2" type="noConversion"/>
  </si>
  <si>
    <t>비발디</t>
    <phoneticPr fontId="2" type="noConversion"/>
  </si>
  <si>
    <t>지역명</t>
    <phoneticPr fontId="2" type="noConversion"/>
  </si>
  <si>
    <t>아파트명</t>
    <phoneticPr fontId="2" type="noConversion"/>
  </si>
  <si>
    <t>거래종류</t>
    <phoneticPr fontId="2" type="noConversion"/>
  </si>
  <si>
    <t>전용면적</t>
    <phoneticPr fontId="2" type="noConversion"/>
  </si>
  <si>
    <t>거래가</t>
    <phoneticPr fontId="2" type="noConversion"/>
  </si>
  <si>
    <t>층수</t>
    <phoneticPr fontId="2" type="noConversion"/>
  </si>
  <si>
    <t>세대수</t>
    <phoneticPr fontId="2" type="noConversion"/>
  </si>
  <si>
    <t>군포시</t>
    <phoneticPr fontId="2" type="noConversion"/>
  </si>
  <si>
    <t>e-편한세상</t>
    <phoneticPr fontId="2" type="noConversion"/>
  </si>
  <si>
    <t>매매</t>
    <phoneticPr fontId="2" type="noConversion"/>
  </si>
  <si>
    <t>남양주시</t>
    <phoneticPr fontId="2" type="noConversion"/>
  </si>
  <si>
    <t>푸르지오</t>
    <phoneticPr fontId="2" type="noConversion"/>
  </si>
  <si>
    <t>구리시</t>
    <phoneticPr fontId="2" type="noConversion"/>
  </si>
  <si>
    <t>안양시</t>
    <phoneticPr fontId="2" type="noConversion"/>
  </si>
  <si>
    <t>주공</t>
    <phoneticPr fontId="2" type="noConversion"/>
  </si>
  <si>
    <t>I-PARK</t>
    <phoneticPr fontId="2" type="noConversion"/>
  </si>
  <si>
    <t>래미안</t>
    <phoneticPr fontId="2" type="noConversion"/>
  </si>
  <si>
    <t>용인시</t>
    <phoneticPr fontId="2" type="noConversion"/>
  </si>
  <si>
    <t>전세</t>
    <phoneticPr fontId="2" type="noConversion"/>
  </si>
  <si>
    <t>성남시</t>
    <phoneticPr fontId="2" type="noConversion"/>
  </si>
  <si>
    <t>수원시</t>
    <phoneticPr fontId="2" type="noConversion"/>
  </si>
  <si>
    <t>비발디</t>
    <phoneticPr fontId="2" type="noConversion"/>
  </si>
  <si>
    <t>힐스테이트</t>
    <phoneticPr fontId="2" type="noConversion"/>
  </si>
  <si>
    <t>자이</t>
    <phoneticPr fontId="2" type="noConversion"/>
  </si>
  <si>
    <t>최고수수료</t>
    <phoneticPr fontId="2" type="noConversion"/>
  </si>
  <si>
    <t>2020</t>
  </si>
  <si>
    <t>2021</t>
  </si>
  <si>
    <t>2022</t>
  </si>
  <si>
    <t>2023</t>
  </si>
  <si>
    <t>2024</t>
  </si>
  <si>
    <t>2025</t>
  </si>
  <si>
    <t>2026</t>
  </si>
  <si>
    <t>2027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</si>
</sst>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&quot;₩&quot;#,##0"/>
    <numFmt numFmtId="177" formatCode="0.0%"/>
    <numFmt numFmtId="178" formatCode="#,##0&quot;~&quot;"/>
    <numFmt numFmtId="179" formatCode="_-* #,##0&quot;원&quot;"/>
    <numFmt numFmtId="180" formatCode="m\/d"/>
    <numFmt numFmtId="181" formatCode="[=1]&quot;O&quot;;[=0]&quot;X&quot;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0"/>
      <color rgb="FF000000"/>
      <name val="맑은 고딕"/>
      <family val="3"/>
      <charset val="129"/>
    </font>
    <font>
      <sz val="10"/>
      <name val="Arial"/>
      <family val="2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0" fillId="0" borderId="0" applyFont="0" applyFill="0" applyBorder="0" applyAlignment="0" applyProtection="0"/>
  </cellStyleXfs>
  <cellXfs count="61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NumberFormat="1" applyFont="1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1" applyNumberFormat="1" applyFont="1" applyBorder="1">
      <alignment vertical="center"/>
    </xf>
    <xf numFmtId="14" fontId="0" fillId="0" borderId="1" xfId="0" applyNumberFormat="1" applyBorder="1">
      <alignment vertical="center"/>
    </xf>
    <xf numFmtId="176" fontId="3" fillId="0" borderId="1" xfId="1" applyNumberFormat="1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43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8" fontId="0" fillId="0" borderId="1" xfId="1" applyNumberFormat="1" applyFont="1" applyFill="1" applyBorder="1" applyAlignment="1">
      <alignment horizontal="center" vertical="center"/>
    </xf>
    <xf numFmtId="178" fontId="0" fillId="0" borderId="1" xfId="0" applyNumberFormat="1" applyFill="1" applyBorder="1">
      <alignment vertical="center"/>
    </xf>
    <xf numFmtId="178" fontId="0" fillId="0" borderId="1" xfId="1" applyNumberFormat="1" applyFont="1" applyFill="1" applyBorder="1">
      <alignment vertical="center"/>
    </xf>
    <xf numFmtId="41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42" fontId="0" fillId="0" borderId="0" xfId="0" applyNumberFormat="1">
      <alignment vertical="center"/>
    </xf>
    <xf numFmtId="0" fontId="0" fillId="0" borderId="1" xfId="0" applyBorder="1" applyAlignment="1">
      <alignment horizontal="left" vertical="center"/>
    </xf>
    <xf numFmtId="179" fontId="0" fillId="0" borderId="1" xfId="1" applyNumberFormat="1" applyFont="1" applyBorder="1" applyAlignment="1">
      <alignment horizontal="left" vertical="center"/>
    </xf>
    <xf numFmtId="41" fontId="0" fillId="0" borderId="1" xfId="1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3" fillId="0" borderId="1" xfId="3" applyFont="1" applyFill="1" applyBorder="1" applyAlignment="1">
      <alignment horizontal="center" vertical="center" wrapText="1"/>
    </xf>
    <xf numFmtId="0" fontId="1" fillId="0" borderId="1" xfId="3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0" fontId="1" fillId="0" borderId="1" xfId="5" applyFont="1" applyFill="1" applyBorder="1" applyAlignment="1">
      <alignment horizontal="center" vertical="center" wrapText="1"/>
    </xf>
    <xf numFmtId="0" fontId="3" fillId="0" borderId="1" xfId="5" applyFont="1" applyFill="1" applyBorder="1" applyAlignment="1">
      <alignment horizontal="center" vertical="center" wrapText="1"/>
    </xf>
    <xf numFmtId="0" fontId="3" fillId="0" borderId="1" xfId="4" applyFont="1" applyFill="1" applyBorder="1" applyAlignment="1">
      <alignment horizontal="center" vertical="center" wrapText="1"/>
    </xf>
    <xf numFmtId="0" fontId="3" fillId="0" borderId="1" xfId="5" applyFont="1" applyFill="1" applyBorder="1" applyAlignment="1">
      <alignment horizontal="center" vertical="center"/>
    </xf>
    <xf numFmtId="0" fontId="1" fillId="0" borderId="1" xfId="3" applyFont="1" applyFill="1" applyBorder="1" applyAlignment="1">
      <alignment horizontal="center" vertical="center" shrinkToFit="1"/>
    </xf>
    <xf numFmtId="0" fontId="1" fillId="0" borderId="1" xfId="4" applyFont="1" applyFill="1" applyBorder="1" applyAlignment="1">
      <alignment horizontal="center" vertical="center" wrapText="1"/>
    </xf>
    <xf numFmtId="0" fontId="3" fillId="0" borderId="1" xfId="6" applyFont="1" applyFill="1" applyBorder="1" applyAlignment="1">
      <alignment horizontal="center" vertical="center" wrapText="1"/>
    </xf>
    <xf numFmtId="0" fontId="1" fillId="0" borderId="1" xfId="6" applyFont="1" applyFill="1" applyBorder="1" applyAlignment="1">
      <alignment horizontal="center" vertical="center" wrapText="1"/>
    </xf>
    <xf numFmtId="0" fontId="1" fillId="0" borderId="1" xfId="3" applyFont="1" applyFill="1" applyBorder="1" applyAlignment="1">
      <alignment horizontal="center" vertical="center" wrapText="1"/>
    </xf>
    <xf numFmtId="0" fontId="12" fillId="0" borderId="1" xfId="2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180" fontId="11" fillId="0" borderId="1" xfId="0" applyNumberFormat="1" applyFont="1" applyFill="1" applyBorder="1" applyAlignment="1">
      <alignment horizontal="center" vertical="center" shrinkToFit="1"/>
    </xf>
    <xf numFmtId="181" fontId="0" fillId="0" borderId="1" xfId="0" applyNumberFormat="1" applyFill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41" fontId="0" fillId="0" borderId="0" xfId="1" applyFon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0" fontId="11" fillId="0" borderId="1" xfId="0" applyNumberFormat="1" applyFont="1" applyBorder="1" applyAlignment="1">
      <alignment horizontal="center" vertical="center" shrinkToFit="1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</cellXfs>
  <cellStyles count="11">
    <cellStyle name="20% - 강조색1" xfId="3" builtinId="30"/>
    <cellStyle name="20% - 강조색2" xfId="4" builtinId="34"/>
    <cellStyle name="20% - 강조색3" xfId="5" builtinId="38"/>
    <cellStyle name="20% - 강조색4" xfId="6" builtinId="42"/>
    <cellStyle name="백분율 2" xfId="10" xr:uid="{00000000-0005-0000-0000-000004000000}"/>
    <cellStyle name="쉼표 [0]" xfId="1" builtinId="6"/>
    <cellStyle name="쉼표 [0] 2" xfId="8" xr:uid="{00000000-0005-0000-0000-000006000000}"/>
    <cellStyle name="제목 5" xfId="7" xr:uid="{00000000-0005-0000-0000-000007000000}"/>
    <cellStyle name="좋음" xfId="2" builtinId="26"/>
    <cellStyle name="표준" xfId="0" builtinId="0"/>
    <cellStyle name="표준 2" xfId="9" xr:uid="{00000000-0005-0000-0000-00000A000000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/>
              <a:t>수입</a:t>
            </a:r>
            <a:r>
              <a:rPr lang="en-US" altLang="ko-KR" sz="1400"/>
              <a:t>/</a:t>
            </a:r>
            <a:r>
              <a:rPr lang="ko-KR" altLang="en-US" sz="1400"/>
              <a:t>수출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수출액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'기타작업-1'!$A$3:$A$14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'기타작업-1'!$B$3:$B$14</c:f>
              <c:numCache>
                <c:formatCode>_(* #,##0_);_(* \(#,##0\);_(* "-"_);_(@_)</c:formatCode>
                <c:ptCount val="12"/>
                <c:pt idx="0">
                  <c:v>46168.934000000001</c:v>
                </c:pt>
                <c:pt idx="1">
                  <c:v>39481.803</c:v>
                </c:pt>
                <c:pt idx="2">
                  <c:v>47003.205999999998</c:v>
                </c:pt>
                <c:pt idx="3">
                  <c:v>48781.156000000003</c:v>
                </c:pt>
                <c:pt idx="4">
                  <c:v>45703.947999999997</c:v>
                </c:pt>
                <c:pt idx="5">
                  <c:v>44008.404000000002</c:v>
                </c:pt>
                <c:pt idx="6">
                  <c:v>46078.220999999998</c:v>
                </c:pt>
                <c:pt idx="7">
                  <c:v>44020.065000000002</c:v>
                </c:pt>
                <c:pt idx="8">
                  <c:v>44629.053</c:v>
                </c:pt>
                <c:pt idx="9">
                  <c:v>46648.756000000001</c:v>
                </c:pt>
                <c:pt idx="10">
                  <c:v>44040.722000000002</c:v>
                </c:pt>
                <c:pt idx="11">
                  <c:v>45668.341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59-4052-ACD9-1D7A0C604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99372752"/>
        <c:axId val="1499372336"/>
      </c:barChart>
      <c:lineChart>
        <c:grouping val="standard"/>
        <c:varyColors val="0"/>
        <c:ser>
          <c:idx val="1"/>
          <c:order val="1"/>
          <c:tx>
            <c:strRef>
              <c:f>'기타작업-1'!$C$2</c:f>
              <c:strCache>
                <c:ptCount val="1"/>
                <c:pt idx="0">
                  <c:v>수입액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04-4988-A21A-98D8C280B7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'기타작업-1'!$A$3:$A$14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'기타작업-1'!$C$3:$C$14</c:f>
              <c:numCache>
                <c:formatCode>_(* #,##0_);_(* \(#,##0\);_(* "-"_);_(@_)</c:formatCode>
                <c:ptCount val="12"/>
                <c:pt idx="0">
                  <c:v>45153.389000000003</c:v>
                </c:pt>
                <c:pt idx="1">
                  <c:v>36651.436999999998</c:v>
                </c:pt>
                <c:pt idx="2">
                  <c:v>41992.349000000002</c:v>
                </c:pt>
                <c:pt idx="3">
                  <c:v>45047.163999999997</c:v>
                </c:pt>
                <c:pt idx="4">
                  <c:v>43619.667000000001</c:v>
                </c:pt>
                <c:pt idx="5">
                  <c:v>40104.811999999998</c:v>
                </c:pt>
                <c:pt idx="6">
                  <c:v>43762.245000000003</c:v>
                </c:pt>
                <c:pt idx="7">
                  <c:v>42457.25</c:v>
                </c:pt>
                <c:pt idx="8">
                  <c:v>38741.472999999998</c:v>
                </c:pt>
                <c:pt idx="9">
                  <c:v>41396.517</c:v>
                </c:pt>
                <c:pt idx="10">
                  <c:v>40729.214999999997</c:v>
                </c:pt>
                <c:pt idx="11">
                  <c:v>43687.43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04-4988-A21A-98D8C280B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9372752"/>
        <c:axId val="1499372336"/>
      </c:lineChart>
      <c:catAx>
        <c:axId val="149937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99372336"/>
        <c:crosses val="autoZero"/>
        <c:auto val="1"/>
        <c:lblAlgn val="ctr"/>
        <c:lblOffset val="100"/>
        <c:noMultiLvlLbl val="0"/>
      </c:catAx>
      <c:valAx>
        <c:axId val="1499372336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99372752"/>
        <c:crosses val="autoZero"/>
        <c:crossBetween val="between"/>
        <c:majorUnit val="5000"/>
      </c:valAx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14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0</xdr:rowOff>
    </xdr:to>
    <xdr:sp macro="[0]!서식적용" textlink="">
      <xdr:nvSpPr>
        <xdr:cNvPr id="2" name="위쪽 리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96686" y="223157"/>
          <a:ext cx="2090057" cy="446314"/>
        </a:xfrm>
        <a:prstGeom prst="ribbon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8</xdr:col>
      <xdr:colOff>0</xdr:colOff>
      <xdr:row>3</xdr:row>
      <xdr:rowOff>0</xdr:rowOff>
    </xdr:to>
    <xdr:sp macro="[0]!아이콘보기" textlink="">
      <xdr:nvSpPr>
        <xdr:cNvPr id="3" name="아래쪽 리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483429" y="223157"/>
          <a:ext cx="2090057" cy="446314"/>
        </a:xfrm>
        <a:prstGeom prst="ribb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아이콘보기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57150</xdr:rowOff>
        </xdr:from>
        <xdr:to>
          <xdr:col>5</xdr:col>
          <xdr:colOff>1181100</xdr:colOff>
          <xdr:row>1</xdr:row>
          <xdr:rowOff>200025</xdr:rowOff>
        </xdr:to>
        <xdr:sp macro="" textlink="">
          <xdr:nvSpPr>
            <xdr:cNvPr id="7169" name="cmd대출등록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041.710112731482" backgroundQuery="1" createdVersion="7" refreshedVersion="7" minRefreshableVersion="3" recordCount="0" supportSubquery="1" supportAdvancedDrill="1" xr:uid="{325A2B9A-C6A3-4E84-977E-181092C522AA}">
  <cacheSource type="external" connectionId="3"/>
  <cacheFields count="4">
    <cacheField name="[아파트거래현황 1].[거래종류].[거래종류]" caption="거래종류" numFmtId="0" level="1">
      <sharedItems count="2">
        <s v="매매"/>
        <s v="전세"/>
      </sharedItems>
    </cacheField>
    <cacheField name="[아파트거래현황 1].[입주일].[입주일]" caption="입주일" numFmtId="0" hierarchy="1" level="1">
      <sharedItems containsSemiMixedTypes="0" containsNonDate="0" containsDate="1" containsString="0" minDate="2019-05-02T00:00:00" maxDate="2027-10-30T00:00:00" count="30">
        <d v="2019-05-02T00:00:00"/>
        <d v="2020-02-05T00:00:00"/>
        <d v="2021-01-21T00:00:00"/>
        <d v="2021-12-21T00:00:00"/>
        <d v="2022-02-21T00:00:00"/>
        <d v="2022-03-02T00:00:00"/>
        <d v="2022-04-21T00:00:00"/>
        <d v="2022-09-30T00:00:00"/>
        <d v="2022-11-20T00:00:00"/>
        <d v="2023-03-05T00:00:00"/>
        <d v="2023-05-06T00:00:00"/>
        <d v="2023-07-03T00:00:00"/>
        <d v="2023-10-13T00:00:00"/>
        <d v="2023-12-03T00:00:00"/>
        <d v="2024-01-23T00:00:00"/>
        <d v="2024-02-21T00:00:00"/>
        <d v="2024-03-03T00:00:00"/>
        <d v="2024-05-02T00:00:00"/>
        <d v="2024-06-20T00:00:00"/>
        <d v="2024-08-31T00:00:00"/>
        <d v="2024-09-12T00:00:00"/>
        <d v="2024-11-10T00:00:00"/>
        <d v="2025-01-05T00:00:00"/>
        <d v="2025-03-21T00:00:00"/>
        <d v="2025-04-18T00:00:00"/>
        <d v="2025-05-21T00:00:00"/>
        <d v="2026-09-10T00:00:00"/>
        <d v="2027-02-01T00:00:00"/>
        <d v="2027-04-01T00:00:00"/>
        <d v="2027-10-29T00:00:00"/>
      </sharedItems>
    </cacheField>
    <cacheField name="[아파트거래현황 1].[입주일(연도)].[입주일(연도)]" caption="입주일(연도)" numFmtId="0" hierarchy="3" level="1">
      <sharedItems count="9">
        <s v="2019"/>
        <s v="2020"/>
        <s v="2021"/>
        <s v="2022"/>
        <s v="2023"/>
        <s v="2024"/>
        <s v="2025"/>
        <s v="2026"/>
        <s v="2027"/>
      </sharedItems>
    </cacheField>
    <cacheField name="[Measures].[평균: 거래수수료]" caption="평균: 거래수수료" numFmtId="0" hierarchy="10" level="32767"/>
  </cacheFields>
  <cacheHierarchies count="11">
    <cacheHierarchy uniqueName="[아파트거래현황 1].[거래종류]" caption="거래종류" attribute="1" defaultMemberUniqueName="[아파트거래현황 1].[거래종류].[All]" allUniqueName="[아파트거래현황 1].[거래종류].[All]" dimensionUniqueName="[아파트거래현황 1]" displayFolder="" count="2" memberValueDatatype="130" unbalanced="0">
      <fieldsUsage count="2">
        <fieldUsage x="-1"/>
        <fieldUsage x="0"/>
      </fieldsUsage>
    </cacheHierarchy>
    <cacheHierarchy uniqueName="[아파트거래현황 1].[입주일]" caption="입주일" attribute="1" time="1" defaultMemberUniqueName="[아파트거래현황 1].[입주일].[All]" allUniqueName="[아파트거래현황 1].[입주일].[All]" dimensionUniqueName="[아파트거래현황 1]" displayFolder="" count="2" memberValueDatatype="7" unbalanced="0">
      <fieldsUsage count="2">
        <fieldUsage x="-1"/>
        <fieldUsage x="1"/>
      </fieldsUsage>
    </cacheHierarchy>
    <cacheHierarchy uniqueName="[아파트거래현황 1].[거래수수료]" caption="거래수수료" attribute="1" defaultMemberUniqueName="[아파트거래현황 1].[거래수수료].[All]" allUniqueName="[아파트거래현황 1].[거래수수료].[All]" dimensionUniqueName="[아파트거래현황 1]" displayFolder="" count="0" memberValueDatatype="20" unbalanced="0"/>
    <cacheHierarchy uniqueName="[아파트거래현황 1].[입주일(연도)]" caption="입주일(연도)" attribute="1" defaultMemberUniqueName="[아파트거래현황 1].[입주일(연도)].[All]" allUniqueName="[아파트거래현황 1].[입주일(연도)].[All]" dimensionUniqueName="[아파트거래현황 1]" displayFolder="" count="2" memberValueDatatype="130" unbalanced="0">
      <fieldsUsage count="2">
        <fieldUsage x="-1"/>
        <fieldUsage x="2"/>
      </fieldsUsage>
    </cacheHierarchy>
    <cacheHierarchy uniqueName="[아파트거래현황 1].[입주일(분기)]" caption="입주일(분기)" attribute="1" defaultMemberUniqueName="[아파트거래현황 1].[입주일(분기)].[All]" allUniqueName="[아파트거래현황 1].[입주일(분기)].[All]" dimensionUniqueName="[아파트거래현황 1]" displayFolder="" count="0" memberValueDatatype="130" unbalanced="0"/>
    <cacheHierarchy uniqueName="[아파트거래현황 1].[입주일(월)]" caption="입주일(월)" attribute="1" defaultMemberUniqueName="[아파트거래현황 1].[입주일(월)].[All]" allUniqueName="[아파트거래현황 1].[입주일(월)].[All]" dimensionUniqueName="[아파트거래현황 1]" displayFolder="" count="0" memberValueDatatype="130" unbalanced="0"/>
    <cacheHierarchy uniqueName="[아파트거래현황 1].[입주일(월 인덱스)]" caption="입주일(월 인덱스)" attribute="1" defaultMemberUniqueName="[아파트거래현황 1].[입주일(월 인덱스)].[All]" allUniqueName="[아파트거래현황 1].[입주일(월 인덱스)].[All]" dimensionUniqueName="[아파트거래현황 1]" displayFolder="" count="0" memberValueDatatype="20" unbalanced="0" hidden="1"/>
    <cacheHierarchy uniqueName="[Measures].[__XL_Count 아파트거래현황 1]" caption="__XL_Count 아파트거래현황 1" measure="1" displayFolder="" measureGroup="아파트거래현황 1" count="0" hidden="1"/>
    <cacheHierarchy uniqueName="[Measures].[__No measures defined]" caption="__No measures defined" measure="1" displayFolder="" count="0" hidden="1"/>
    <cacheHierarchy uniqueName="[Measures].[합계: 거래수수료]" caption="합계: 거래수수료" measure="1" displayFolder="" measureGroup="아파트거래현황 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거래수수료]" caption="평균: 거래수수료" measure="1" displayFolder="" measureGroup="아파트거래현황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아파트거래현황 1" uniqueName="[아파트거래현황 1]" caption="아파트거래현황 1"/>
  </dimensions>
  <measureGroups count="1">
    <measureGroup name="아파트거래현황 1" caption="아파트거래현황 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19C826-EDFC-4DDD-A759-EC74A52BB606}" name="피벗 테이블1" cacheId="0" applyNumberFormats="0" applyBorderFormats="0" applyFontFormats="0" applyPatternFormats="0" applyAlignmentFormats="0" applyWidthHeightFormats="1" dataCaption="값" missingCaption="*" updatedVersion="7" minRefreshableVersion="3" useAutoFormatting="1" itemPrintTitles="1" mergeItem="1" createdVersion="7" indent="0" compact="0" outline="1" outlineData="1" compactData="0" multipleFieldFilters="0">
  <location ref="B2:F13" firstHeaderRow="1" firstDataRow="2" firstDataCol="2"/>
  <pivotFields count="4">
    <pivotField axis="axisCol" compact="0" allDrilled="1" showAll="0" dataSourceSort="1" defaultSubtotal="0" defaultAttributeDrillState="1">
      <items count="2">
        <item x="0"/>
        <item x="1"/>
      </items>
    </pivotField>
    <pivotField axis="axisRow" compact="0" allDrilled="1" showAll="0" dataSourceSort="1" defaultSubtotal="0" defaultAttributeDrillState="1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</pivotField>
    <pivotField axis="axisRow" compact="0" allDrilled="1" showAll="0" dataSourceSort="1" defaultSubtotal="0">
      <items count="9">
        <item x="0" e="0"/>
        <item x="1" e="0"/>
        <item x="2" e="0"/>
        <item x="3" e="0"/>
        <item x="4" e="0"/>
        <item x="5" e="0"/>
        <item x="6" e="0"/>
        <item x="7" e="0"/>
        <item x="8" e="0"/>
      </items>
    </pivotField>
    <pivotField dataField="1" compact="0" subtotalTop="0" showAll="0" defaultSubtotal="0"/>
  </pivotFields>
  <rowFields count="2">
    <field x="2"/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평균: 거래수수료" fld="3" subtotal="average" baseField="2" baseItem="0" numFmtId="42"/>
  </dataFields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평균: 거래수수료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아파트거래현황1">
        <x15:activeTabTopLevelEntity name="[아파트거래현황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K39"/>
  <sheetViews>
    <sheetView tabSelected="1" zoomScaleNormal="100" workbookViewId="0"/>
  </sheetViews>
  <sheetFormatPr defaultRowHeight="16.5"/>
  <cols>
    <col min="2" max="2" width="10.375" bestFit="1" customWidth="1"/>
    <col min="3" max="3" width="14.125" style="2" bestFit="1" customWidth="1"/>
    <col min="5" max="5" width="10.75" bestFit="1" customWidth="1"/>
    <col min="6" max="6" width="14.25" bestFit="1" customWidth="1"/>
    <col min="7" max="7" width="10.75" style="2" bestFit="1" customWidth="1"/>
    <col min="8" max="8" width="12.375" customWidth="1"/>
    <col min="9" max="9" width="8.625" style="2"/>
    <col min="10" max="10" width="11.625" bestFit="1" customWidth="1"/>
    <col min="11" max="11" width="11.5" bestFit="1" customWidth="1"/>
  </cols>
  <sheetData>
    <row r="1" spans="1:11">
      <c r="H1" s="1"/>
      <c r="J1" t="s">
        <v>0</v>
      </c>
      <c r="K1" s="1">
        <v>45716</v>
      </c>
    </row>
    <row r="2" spans="1:11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</row>
    <row r="3" spans="1:11">
      <c r="A3" s="4" t="s">
        <v>12</v>
      </c>
      <c r="B3" s="4" t="s">
        <v>143</v>
      </c>
      <c r="C3" s="52" t="s">
        <v>14</v>
      </c>
      <c r="D3" s="5">
        <v>118</v>
      </c>
      <c r="E3" s="52" t="s">
        <v>15</v>
      </c>
      <c r="F3" s="7">
        <v>693000000</v>
      </c>
      <c r="G3" s="52">
        <v>15</v>
      </c>
      <c r="H3" s="8">
        <v>39384</v>
      </c>
      <c r="I3" s="52">
        <v>730</v>
      </c>
      <c r="J3" s="8">
        <v>45664</v>
      </c>
      <c r="K3" s="7">
        <v>3465000</v>
      </c>
    </row>
    <row r="4" spans="1:11">
      <c r="A4" s="4" t="s">
        <v>16</v>
      </c>
      <c r="B4" s="4" t="s">
        <v>144</v>
      </c>
      <c r="C4" s="52" t="s">
        <v>145</v>
      </c>
      <c r="D4" s="5">
        <v>60</v>
      </c>
      <c r="E4" s="52" t="s">
        <v>18</v>
      </c>
      <c r="F4" s="7">
        <v>730000000</v>
      </c>
      <c r="G4" s="52">
        <v>19</v>
      </c>
      <c r="H4" s="8">
        <v>43271</v>
      </c>
      <c r="I4" s="52">
        <v>580</v>
      </c>
      <c r="J4" s="8">
        <v>45665</v>
      </c>
      <c r="K4" s="7">
        <v>3650000</v>
      </c>
    </row>
    <row r="5" spans="1:11">
      <c r="A5" s="4" t="s">
        <v>19</v>
      </c>
      <c r="B5" s="4" t="s">
        <v>146</v>
      </c>
      <c r="C5" s="52" t="s">
        <v>145</v>
      </c>
      <c r="D5" s="5">
        <v>76</v>
      </c>
      <c r="E5" s="52" t="s">
        <v>21</v>
      </c>
      <c r="F5" s="7">
        <v>470000000</v>
      </c>
      <c r="G5" s="52">
        <v>20</v>
      </c>
      <c r="H5" s="8">
        <v>42065</v>
      </c>
      <c r="I5" s="52">
        <v>450</v>
      </c>
      <c r="J5" s="8">
        <v>45666</v>
      </c>
      <c r="K5" s="7">
        <v>1880000</v>
      </c>
    </row>
    <row r="6" spans="1:11">
      <c r="A6" s="4" t="s">
        <v>41</v>
      </c>
      <c r="B6" s="4" t="s">
        <v>143</v>
      </c>
      <c r="C6" s="52" t="s">
        <v>14</v>
      </c>
      <c r="D6" s="5">
        <v>59</v>
      </c>
      <c r="E6" s="52" t="s">
        <v>18</v>
      </c>
      <c r="F6" s="7">
        <v>560000000</v>
      </c>
      <c r="G6" s="52">
        <v>9</v>
      </c>
      <c r="H6" s="8">
        <v>38972</v>
      </c>
      <c r="I6" s="52">
        <v>380</v>
      </c>
      <c r="J6" s="8">
        <v>45670</v>
      </c>
      <c r="K6" s="7">
        <v>2240000</v>
      </c>
    </row>
    <row r="7" spans="1:11">
      <c r="A7" s="4" t="s">
        <v>23</v>
      </c>
      <c r="B7" s="4" t="s">
        <v>147</v>
      </c>
      <c r="C7" s="52" t="s">
        <v>148</v>
      </c>
      <c r="D7" s="5">
        <v>60</v>
      </c>
      <c r="E7" s="52" t="s">
        <v>18</v>
      </c>
      <c r="F7" s="7">
        <v>220000000</v>
      </c>
      <c r="G7" s="52">
        <v>8</v>
      </c>
      <c r="H7" s="8">
        <v>34779</v>
      </c>
      <c r="I7" s="52">
        <v>640</v>
      </c>
      <c r="J7" s="8">
        <v>45671</v>
      </c>
      <c r="K7" s="7">
        <v>660000</v>
      </c>
    </row>
    <row r="8" spans="1:11">
      <c r="A8" s="4" t="s">
        <v>149</v>
      </c>
      <c r="B8" s="4" t="s">
        <v>144</v>
      </c>
      <c r="C8" s="52" t="s">
        <v>14</v>
      </c>
      <c r="D8" s="5">
        <v>84</v>
      </c>
      <c r="E8" s="52" t="s">
        <v>150</v>
      </c>
      <c r="F8" s="7">
        <v>529000000</v>
      </c>
      <c r="G8" s="52">
        <v>8</v>
      </c>
      <c r="H8" s="8">
        <v>33918</v>
      </c>
      <c r="I8" s="52">
        <v>1200</v>
      </c>
      <c r="J8" s="8">
        <v>45672</v>
      </c>
      <c r="K8" s="7">
        <v>2116000</v>
      </c>
    </row>
    <row r="9" spans="1:11">
      <c r="A9" s="4" t="s">
        <v>151</v>
      </c>
      <c r="B9" s="4" t="s">
        <v>27</v>
      </c>
      <c r="C9" s="52" t="s">
        <v>14</v>
      </c>
      <c r="D9" s="5">
        <v>112</v>
      </c>
      <c r="E9" s="52" t="s">
        <v>21</v>
      </c>
      <c r="F9" s="7">
        <v>610000000</v>
      </c>
      <c r="G9" s="52">
        <v>10</v>
      </c>
      <c r="H9" s="8">
        <v>36850</v>
      </c>
      <c r="I9" s="52">
        <v>480</v>
      </c>
      <c r="J9" s="8">
        <v>45673</v>
      </c>
      <c r="K9" s="7">
        <v>3050000</v>
      </c>
    </row>
    <row r="10" spans="1:11">
      <c r="A10" s="4" t="s">
        <v>41</v>
      </c>
      <c r="B10" s="4" t="s">
        <v>144</v>
      </c>
      <c r="C10" s="52" t="s">
        <v>145</v>
      </c>
      <c r="D10" s="5">
        <v>85</v>
      </c>
      <c r="E10" s="52" t="s">
        <v>21</v>
      </c>
      <c r="F10" s="7">
        <v>710000000</v>
      </c>
      <c r="G10" s="52">
        <v>26</v>
      </c>
      <c r="H10" s="8">
        <v>43152</v>
      </c>
      <c r="I10" s="52">
        <v>255</v>
      </c>
      <c r="J10" s="8">
        <v>45674</v>
      </c>
      <c r="K10" s="7">
        <v>3550000</v>
      </c>
    </row>
    <row r="11" spans="1:11">
      <c r="A11" s="4" t="s">
        <v>28</v>
      </c>
      <c r="B11" s="4" t="s">
        <v>146</v>
      </c>
      <c r="C11" s="52" t="s">
        <v>148</v>
      </c>
      <c r="D11" s="5">
        <v>60</v>
      </c>
      <c r="E11" s="52" t="s">
        <v>18</v>
      </c>
      <c r="F11" s="7">
        <v>490000000</v>
      </c>
      <c r="G11" s="52">
        <v>29</v>
      </c>
      <c r="H11" s="8">
        <v>43606</v>
      </c>
      <c r="I11" s="52">
        <v>610</v>
      </c>
      <c r="J11" s="8">
        <v>45674</v>
      </c>
      <c r="K11" s="7">
        <v>1960000</v>
      </c>
    </row>
    <row r="12" spans="1:11">
      <c r="A12" s="4" t="s">
        <v>152</v>
      </c>
      <c r="B12" s="4" t="s">
        <v>27</v>
      </c>
      <c r="C12" s="52" t="s">
        <v>14</v>
      </c>
      <c r="D12" s="5">
        <v>112</v>
      </c>
      <c r="E12" s="52" t="s">
        <v>153</v>
      </c>
      <c r="F12" s="7">
        <v>990000000</v>
      </c>
      <c r="G12" s="52">
        <v>3</v>
      </c>
      <c r="H12" s="8">
        <v>40300</v>
      </c>
      <c r="I12" s="52">
        <v>650</v>
      </c>
      <c r="J12" s="8">
        <v>45678</v>
      </c>
      <c r="K12" s="7">
        <v>5940000</v>
      </c>
    </row>
    <row r="13" spans="1:11">
      <c r="A13" s="4" t="s">
        <v>16</v>
      </c>
      <c r="B13" s="4" t="s">
        <v>30</v>
      </c>
      <c r="C13" s="52" t="s">
        <v>154</v>
      </c>
      <c r="D13" s="5">
        <v>85</v>
      </c>
      <c r="E13" s="52" t="s">
        <v>21</v>
      </c>
      <c r="F13" s="7">
        <v>540000000</v>
      </c>
      <c r="G13" s="52">
        <v>26</v>
      </c>
      <c r="H13" s="8">
        <v>43162</v>
      </c>
      <c r="I13" s="52">
        <v>420</v>
      </c>
      <c r="J13" s="8">
        <v>45678</v>
      </c>
      <c r="K13" s="7">
        <v>2160000</v>
      </c>
    </row>
    <row r="14" spans="1:11">
      <c r="A14" s="4" t="s">
        <v>31</v>
      </c>
      <c r="B14" s="4" t="s">
        <v>155</v>
      </c>
      <c r="C14" s="52" t="s">
        <v>145</v>
      </c>
      <c r="D14" s="5">
        <v>170</v>
      </c>
      <c r="E14" s="52" t="s">
        <v>153</v>
      </c>
      <c r="F14" s="9">
        <v>1421000000</v>
      </c>
      <c r="G14" s="52">
        <v>16</v>
      </c>
      <c r="H14" s="8">
        <v>42799</v>
      </c>
      <c r="I14" s="52">
        <v>180</v>
      </c>
      <c r="J14" s="8">
        <v>45686</v>
      </c>
      <c r="K14" s="9">
        <v>8526000</v>
      </c>
    </row>
    <row r="15" spans="1:11">
      <c r="A15" s="4" t="s">
        <v>156</v>
      </c>
      <c r="B15" s="4" t="s">
        <v>155</v>
      </c>
      <c r="C15" s="52" t="s">
        <v>145</v>
      </c>
      <c r="D15" s="5">
        <v>85</v>
      </c>
      <c r="E15" s="52" t="s">
        <v>21</v>
      </c>
      <c r="F15" s="7">
        <v>690000000</v>
      </c>
      <c r="G15" s="52">
        <v>17</v>
      </c>
      <c r="H15" s="8">
        <v>42115</v>
      </c>
      <c r="I15" s="52">
        <v>410</v>
      </c>
      <c r="J15" s="8">
        <v>45687</v>
      </c>
      <c r="K15" s="7">
        <v>3450000</v>
      </c>
    </row>
    <row r="16" spans="1:11">
      <c r="A16" s="4" t="s">
        <v>157</v>
      </c>
      <c r="B16" s="4" t="s">
        <v>34</v>
      </c>
      <c r="C16" s="52" t="s">
        <v>148</v>
      </c>
      <c r="D16" s="5">
        <v>85</v>
      </c>
      <c r="E16" s="52" t="s">
        <v>21</v>
      </c>
      <c r="F16" s="7">
        <v>280000000</v>
      </c>
      <c r="G16" s="52">
        <v>21</v>
      </c>
      <c r="H16" s="8">
        <v>38095</v>
      </c>
      <c r="I16" s="52">
        <v>280</v>
      </c>
      <c r="J16" s="8">
        <v>45691</v>
      </c>
      <c r="K16" s="7">
        <v>840000</v>
      </c>
    </row>
    <row r="17" spans="1:11">
      <c r="A17" s="4" t="s">
        <v>31</v>
      </c>
      <c r="B17" s="4" t="s">
        <v>158</v>
      </c>
      <c r="C17" s="52" t="s">
        <v>148</v>
      </c>
      <c r="D17" s="5">
        <v>60</v>
      </c>
      <c r="E17" s="52" t="s">
        <v>159</v>
      </c>
      <c r="F17" s="7">
        <v>430000000</v>
      </c>
      <c r="G17" s="52">
        <v>4</v>
      </c>
      <c r="H17" s="8">
        <v>37805</v>
      </c>
      <c r="I17" s="52">
        <v>980</v>
      </c>
      <c r="J17" s="8">
        <v>45691</v>
      </c>
      <c r="K17" s="7">
        <v>1720000</v>
      </c>
    </row>
    <row r="18" spans="1:11">
      <c r="A18" s="4" t="s">
        <v>19</v>
      </c>
      <c r="B18" s="4" t="s">
        <v>143</v>
      </c>
      <c r="C18" s="52" t="s">
        <v>145</v>
      </c>
      <c r="D18" s="5">
        <v>75</v>
      </c>
      <c r="E18" s="52" t="s">
        <v>150</v>
      </c>
      <c r="F18" s="7">
        <v>680000000</v>
      </c>
      <c r="G18" s="52">
        <v>15</v>
      </c>
      <c r="H18" s="8">
        <v>42861</v>
      </c>
      <c r="I18" s="52">
        <v>620</v>
      </c>
      <c r="J18" s="8">
        <v>45692</v>
      </c>
      <c r="K18" s="7">
        <v>3400000</v>
      </c>
    </row>
    <row r="19" spans="1:11">
      <c r="A19" s="4" t="s">
        <v>19</v>
      </c>
      <c r="B19" s="4" t="s">
        <v>160</v>
      </c>
      <c r="C19" s="52" t="s">
        <v>154</v>
      </c>
      <c r="D19" s="5">
        <v>85</v>
      </c>
      <c r="E19" s="52" t="s">
        <v>161</v>
      </c>
      <c r="F19" s="7">
        <v>310000000</v>
      </c>
      <c r="G19" s="52">
        <v>18</v>
      </c>
      <c r="H19" s="8">
        <v>43072</v>
      </c>
      <c r="I19" s="52">
        <v>570</v>
      </c>
      <c r="J19" s="8">
        <v>45693</v>
      </c>
      <c r="K19" s="7">
        <v>1240000</v>
      </c>
    </row>
    <row r="20" spans="1:11">
      <c r="A20" s="4" t="s">
        <v>31</v>
      </c>
      <c r="B20" s="4" t="s">
        <v>146</v>
      </c>
      <c r="C20" s="52" t="s">
        <v>14</v>
      </c>
      <c r="D20" s="5">
        <v>114</v>
      </c>
      <c r="E20" s="52" t="s">
        <v>153</v>
      </c>
      <c r="F20" s="9">
        <v>1055000000</v>
      </c>
      <c r="G20" s="52">
        <v>24</v>
      </c>
      <c r="H20" s="8">
        <v>40066</v>
      </c>
      <c r="I20" s="52">
        <v>690</v>
      </c>
      <c r="J20" s="8">
        <v>45693</v>
      </c>
      <c r="K20" s="9">
        <v>6330000</v>
      </c>
    </row>
    <row r="21" spans="1:11">
      <c r="A21" s="4" t="s">
        <v>31</v>
      </c>
      <c r="B21" s="4" t="s">
        <v>34</v>
      </c>
      <c r="C21" s="52" t="s">
        <v>148</v>
      </c>
      <c r="D21" s="5">
        <v>85</v>
      </c>
      <c r="E21" s="52" t="s">
        <v>21</v>
      </c>
      <c r="F21" s="7">
        <v>430000000</v>
      </c>
      <c r="G21" s="52">
        <v>15</v>
      </c>
      <c r="H21" s="8">
        <v>41264</v>
      </c>
      <c r="I21" s="52">
        <v>520</v>
      </c>
      <c r="J21" s="8">
        <v>45694</v>
      </c>
      <c r="K21" s="7">
        <v>1720000</v>
      </c>
    </row>
    <row r="22" spans="1:11">
      <c r="A22" s="4" t="s">
        <v>162</v>
      </c>
      <c r="B22" s="4" t="s">
        <v>143</v>
      </c>
      <c r="C22" s="52" t="s">
        <v>145</v>
      </c>
      <c r="D22" s="5">
        <v>85</v>
      </c>
      <c r="E22" s="52" t="s">
        <v>150</v>
      </c>
      <c r="F22" s="7">
        <v>445000000</v>
      </c>
      <c r="G22" s="52">
        <v>21</v>
      </c>
      <c r="H22" s="8">
        <v>39114</v>
      </c>
      <c r="I22" s="52">
        <v>475</v>
      </c>
      <c r="J22" s="8">
        <v>45696</v>
      </c>
      <c r="K22" s="7">
        <v>1780000</v>
      </c>
    </row>
    <row r="23" spans="1:11">
      <c r="A23" s="4" t="s">
        <v>157</v>
      </c>
      <c r="B23" s="4" t="s">
        <v>155</v>
      </c>
      <c r="C23" s="52" t="s">
        <v>145</v>
      </c>
      <c r="D23" s="5">
        <v>84</v>
      </c>
      <c r="E23" s="52" t="s">
        <v>21</v>
      </c>
      <c r="F23" s="7">
        <v>428000000</v>
      </c>
      <c r="G23" s="52">
        <v>19</v>
      </c>
      <c r="H23" s="8">
        <v>39173</v>
      </c>
      <c r="I23" s="52">
        <v>560</v>
      </c>
      <c r="J23" s="8">
        <v>45698</v>
      </c>
      <c r="K23" s="7">
        <v>1712000</v>
      </c>
    </row>
    <row r="24" spans="1:11">
      <c r="A24" s="4" t="s">
        <v>41</v>
      </c>
      <c r="B24" s="4" t="s">
        <v>34</v>
      </c>
      <c r="C24" s="52" t="s">
        <v>14</v>
      </c>
      <c r="D24" s="5">
        <v>61</v>
      </c>
      <c r="E24" s="52" t="s">
        <v>18</v>
      </c>
      <c r="F24" s="7">
        <v>445000000</v>
      </c>
      <c r="G24" s="52">
        <v>7</v>
      </c>
      <c r="H24" s="8">
        <v>34620</v>
      </c>
      <c r="I24" s="52">
        <v>840</v>
      </c>
      <c r="J24" s="8">
        <v>45699</v>
      </c>
      <c r="K24" s="7">
        <v>1780000</v>
      </c>
    </row>
    <row r="25" spans="1:11">
      <c r="A25" s="4" t="s">
        <v>28</v>
      </c>
      <c r="B25" s="4" t="s">
        <v>163</v>
      </c>
      <c r="C25" s="52" t="s">
        <v>164</v>
      </c>
      <c r="D25" s="5">
        <v>85</v>
      </c>
      <c r="E25" s="52" t="s">
        <v>150</v>
      </c>
      <c r="F25" s="7">
        <v>340000000</v>
      </c>
      <c r="G25" s="52">
        <v>2</v>
      </c>
      <c r="H25" s="8">
        <v>37261</v>
      </c>
      <c r="I25" s="52">
        <v>470</v>
      </c>
      <c r="J25" s="8">
        <v>45701</v>
      </c>
      <c r="K25" s="7">
        <v>1360000</v>
      </c>
    </row>
    <row r="26" spans="1:11">
      <c r="A26" s="4" t="s">
        <v>16</v>
      </c>
      <c r="B26" s="4" t="s">
        <v>165</v>
      </c>
      <c r="C26" s="52" t="s">
        <v>14</v>
      </c>
      <c r="D26" s="5">
        <v>60</v>
      </c>
      <c r="E26" s="52" t="s">
        <v>18</v>
      </c>
      <c r="F26" s="7">
        <v>450000000</v>
      </c>
      <c r="G26" s="52">
        <v>13</v>
      </c>
      <c r="H26" s="8">
        <v>38839</v>
      </c>
      <c r="I26" s="52">
        <v>920</v>
      </c>
      <c r="J26" s="8">
        <v>45702</v>
      </c>
      <c r="K26" s="7">
        <v>1800000</v>
      </c>
    </row>
    <row r="27" spans="1:11">
      <c r="A27" s="4" t="s">
        <v>23</v>
      </c>
      <c r="B27" s="4" t="s">
        <v>166</v>
      </c>
      <c r="C27" s="52" t="s">
        <v>14</v>
      </c>
      <c r="D27" s="5">
        <v>114</v>
      </c>
      <c r="E27" s="52" t="s">
        <v>15</v>
      </c>
      <c r="F27" s="7">
        <v>648000000</v>
      </c>
      <c r="G27" s="52">
        <v>28</v>
      </c>
      <c r="H27" s="8">
        <v>42056</v>
      </c>
      <c r="I27" s="52">
        <v>365</v>
      </c>
      <c r="J27" s="8">
        <v>45705</v>
      </c>
      <c r="K27" s="7">
        <v>3240000</v>
      </c>
    </row>
    <row r="28" spans="1:11">
      <c r="A28" s="4" t="s">
        <v>28</v>
      </c>
      <c r="B28" s="4" t="s">
        <v>158</v>
      </c>
      <c r="C28" s="52" t="s">
        <v>148</v>
      </c>
      <c r="D28" s="5">
        <v>85</v>
      </c>
      <c r="E28" s="52" t="s">
        <v>150</v>
      </c>
      <c r="F28" s="7">
        <v>430000000</v>
      </c>
      <c r="G28" s="52">
        <v>10</v>
      </c>
      <c r="H28" s="8">
        <v>38740</v>
      </c>
      <c r="I28" s="52">
        <v>390</v>
      </c>
      <c r="J28" s="8">
        <v>45706</v>
      </c>
      <c r="K28" s="7">
        <v>1720000</v>
      </c>
    </row>
    <row r="29" spans="1:11">
      <c r="A29" s="4" t="s">
        <v>16</v>
      </c>
      <c r="B29" s="4" t="s">
        <v>35</v>
      </c>
      <c r="C29" s="52" t="s">
        <v>145</v>
      </c>
      <c r="D29" s="5">
        <v>126</v>
      </c>
      <c r="E29" s="52" t="s">
        <v>15</v>
      </c>
      <c r="F29" s="7">
        <v>1400000000</v>
      </c>
      <c r="G29" s="52">
        <v>23</v>
      </c>
      <c r="H29" s="8">
        <v>43121</v>
      </c>
      <c r="I29" s="52">
        <v>490</v>
      </c>
      <c r="J29" s="8">
        <v>45708</v>
      </c>
      <c r="K29" s="7">
        <v>8400000</v>
      </c>
    </row>
    <row r="30" spans="1:11">
      <c r="A30" s="4" t="s">
        <v>28</v>
      </c>
      <c r="B30" s="4" t="s">
        <v>27</v>
      </c>
      <c r="C30" s="52" t="s">
        <v>14</v>
      </c>
      <c r="D30" s="5">
        <v>99</v>
      </c>
      <c r="E30" s="52" t="s">
        <v>153</v>
      </c>
      <c r="F30" s="7">
        <v>940000000</v>
      </c>
      <c r="G30" s="52">
        <v>8</v>
      </c>
      <c r="H30" s="8">
        <v>42277</v>
      </c>
      <c r="I30" s="52">
        <v>590</v>
      </c>
      <c r="J30" s="8">
        <v>45708</v>
      </c>
      <c r="K30" s="7">
        <v>5640000</v>
      </c>
    </row>
    <row r="31" spans="1:11">
      <c r="A31" s="4" t="s">
        <v>23</v>
      </c>
      <c r="B31" s="4" t="s">
        <v>143</v>
      </c>
      <c r="C31" s="52" t="s">
        <v>14</v>
      </c>
      <c r="D31" s="5">
        <v>60</v>
      </c>
      <c r="E31" s="52" t="s">
        <v>18</v>
      </c>
      <c r="F31" s="7">
        <v>520000000</v>
      </c>
      <c r="G31" s="52">
        <v>7</v>
      </c>
      <c r="H31" s="8">
        <v>37134</v>
      </c>
      <c r="I31" s="52">
        <v>530</v>
      </c>
      <c r="J31" s="8">
        <v>45710</v>
      </c>
      <c r="K31" s="7">
        <v>2080000</v>
      </c>
    </row>
    <row r="32" spans="1:11">
      <c r="A32" s="4" t="s">
        <v>41</v>
      </c>
      <c r="B32" s="4" t="s">
        <v>27</v>
      </c>
      <c r="C32" s="52" t="s">
        <v>154</v>
      </c>
      <c r="D32" s="5">
        <v>85</v>
      </c>
      <c r="E32" s="52" t="s">
        <v>21</v>
      </c>
      <c r="F32" s="7">
        <v>420000000</v>
      </c>
      <c r="G32" s="52">
        <v>21</v>
      </c>
      <c r="H32" s="8">
        <v>40579</v>
      </c>
      <c r="I32" s="52">
        <v>770</v>
      </c>
      <c r="J32" s="8">
        <v>45715</v>
      </c>
      <c r="K32" s="7">
        <v>1680000</v>
      </c>
    </row>
    <row r="34" spans="1:7">
      <c r="A34" t="s">
        <v>98</v>
      </c>
      <c r="G34" s="54"/>
    </row>
    <row r="35" spans="1:7">
      <c r="A35" t="b">
        <f>AND(D3&gt;=100,EDATE(H3,120)&gt;=$K$1)</f>
        <v>0</v>
      </c>
    </row>
    <row r="37" spans="1:7">
      <c r="A37" s="3" t="s">
        <v>1</v>
      </c>
      <c r="B37" s="3" t="s">
        <v>2</v>
      </c>
      <c r="C37" s="3" t="s">
        <v>6</v>
      </c>
      <c r="D37" s="3" t="s">
        <v>4</v>
      </c>
      <c r="E37" s="3" t="s">
        <v>8</v>
      </c>
    </row>
    <row r="38" spans="1:7">
      <c r="A38" s="4" t="s">
        <v>26</v>
      </c>
      <c r="B38" s="4" t="s">
        <v>17</v>
      </c>
      <c r="C38" s="9">
        <v>1421000000</v>
      </c>
      <c r="D38" s="5">
        <v>170</v>
      </c>
      <c r="E38" s="8">
        <v>42799</v>
      </c>
    </row>
    <row r="39" spans="1:7">
      <c r="A39" s="4" t="s">
        <v>16</v>
      </c>
      <c r="B39" s="4" t="s">
        <v>35</v>
      </c>
      <c r="C39" s="7">
        <v>1400000000</v>
      </c>
      <c r="D39" s="5">
        <v>126</v>
      </c>
      <c r="E39" s="8">
        <v>43121</v>
      </c>
    </row>
  </sheetData>
  <phoneticPr fontId="2" type="noConversion"/>
  <conditionalFormatting sqref="A3:K32">
    <cfRule type="expression" dxfId="0" priority="1">
      <formula>AND($C3="매매",$D3&lt;=AVERAGE($D$3:$D$32))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32"/>
  <sheetViews>
    <sheetView zoomScaleNormal="100" workbookViewId="0"/>
  </sheetViews>
  <sheetFormatPr defaultRowHeight="16.5"/>
  <cols>
    <col min="2" max="2" width="10.375" bestFit="1" customWidth="1"/>
    <col min="3" max="3" width="14.125" style="2" bestFit="1" customWidth="1"/>
    <col min="5" max="5" width="10.75" bestFit="1" customWidth="1"/>
    <col min="6" max="6" width="14.25" bestFit="1" customWidth="1"/>
    <col min="7" max="7" width="8.625" style="2"/>
    <col min="8" max="8" width="12.375" customWidth="1"/>
    <col min="9" max="9" width="8.625" style="2"/>
    <col min="10" max="10" width="11.625" bestFit="1" customWidth="1"/>
    <col min="11" max="11" width="11.5" bestFit="1" customWidth="1"/>
  </cols>
  <sheetData>
    <row r="1" spans="1:11">
      <c r="H1" s="1"/>
      <c r="J1" t="s">
        <v>167</v>
      </c>
      <c r="K1" s="1">
        <v>45716</v>
      </c>
    </row>
    <row r="2" spans="1:11">
      <c r="A2" s="3" t="s">
        <v>168</v>
      </c>
      <c r="B2" s="3" t="s">
        <v>2</v>
      </c>
      <c r="C2" s="3" t="s">
        <v>169</v>
      </c>
      <c r="D2" s="3" t="s">
        <v>170</v>
      </c>
      <c r="E2" s="3" t="s">
        <v>171</v>
      </c>
      <c r="F2" s="3" t="s">
        <v>172</v>
      </c>
      <c r="G2" s="3" t="s">
        <v>173</v>
      </c>
      <c r="H2" s="3" t="s">
        <v>174</v>
      </c>
      <c r="I2" s="3" t="s">
        <v>175</v>
      </c>
      <c r="J2" s="3" t="s">
        <v>10</v>
      </c>
      <c r="K2" s="3" t="s">
        <v>176</v>
      </c>
    </row>
    <row r="3" spans="1:11">
      <c r="A3" s="4" t="s">
        <v>157</v>
      </c>
      <c r="B3" s="4" t="s">
        <v>143</v>
      </c>
      <c r="C3" s="52" t="s">
        <v>14</v>
      </c>
      <c r="D3" s="5">
        <v>118</v>
      </c>
      <c r="E3" s="52" t="s">
        <v>15</v>
      </c>
      <c r="F3" s="7">
        <v>693000000</v>
      </c>
      <c r="G3" s="52">
        <v>15</v>
      </c>
      <c r="H3" s="8">
        <v>39384</v>
      </c>
      <c r="I3" s="52">
        <v>730</v>
      </c>
      <c r="J3" s="8">
        <v>45664</v>
      </c>
      <c r="K3" s="7">
        <v>3465000</v>
      </c>
    </row>
    <row r="4" spans="1:11">
      <c r="A4" s="4" t="s">
        <v>16</v>
      </c>
      <c r="B4" s="4" t="s">
        <v>144</v>
      </c>
      <c r="C4" s="52" t="s">
        <v>145</v>
      </c>
      <c r="D4" s="5">
        <v>60</v>
      </c>
      <c r="E4" s="52" t="s">
        <v>159</v>
      </c>
      <c r="F4" s="7">
        <v>730000000</v>
      </c>
      <c r="G4" s="52">
        <v>19</v>
      </c>
      <c r="H4" s="8">
        <v>43271</v>
      </c>
      <c r="I4" s="52">
        <v>580</v>
      </c>
      <c r="J4" s="8">
        <v>45665</v>
      </c>
      <c r="K4" s="7">
        <v>3650000</v>
      </c>
    </row>
    <row r="5" spans="1:11">
      <c r="A5" s="4" t="s">
        <v>177</v>
      </c>
      <c r="B5" s="4" t="s">
        <v>34</v>
      </c>
      <c r="C5" s="52" t="s">
        <v>145</v>
      </c>
      <c r="D5" s="5">
        <v>76</v>
      </c>
      <c r="E5" s="52" t="s">
        <v>150</v>
      </c>
      <c r="F5" s="7">
        <v>470000000</v>
      </c>
      <c r="G5" s="52">
        <v>20</v>
      </c>
      <c r="H5" s="8">
        <v>42065</v>
      </c>
      <c r="I5" s="52">
        <v>450</v>
      </c>
      <c r="J5" s="8">
        <v>45666</v>
      </c>
      <c r="K5" s="7">
        <v>1880000</v>
      </c>
    </row>
    <row r="6" spans="1:11">
      <c r="A6" s="4" t="s">
        <v>41</v>
      </c>
      <c r="B6" s="4" t="s">
        <v>158</v>
      </c>
      <c r="C6" s="52" t="s">
        <v>145</v>
      </c>
      <c r="D6" s="5">
        <v>59</v>
      </c>
      <c r="E6" s="52" t="s">
        <v>159</v>
      </c>
      <c r="F6" s="7">
        <v>560000000</v>
      </c>
      <c r="G6" s="52">
        <v>9</v>
      </c>
      <c r="H6" s="8">
        <v>38972</v>
      </c>
      <c r="I6" s="52">
        <v>380</v>
      </c>
      <c r="J6" s="8">
        <v>45670</v>
      </c>
      <c r="K6" s="7">
        <v>2240000</v>
      </c>
    </row>
    <row r="7" spans="1:11">
      <c r="A7" s="4" t="s">
        <v>151</v>
      </c>
      <c r="B7" s="4" t="s">
        <v>147</v>
      </c>
      <c r="C7" s="52" t="s">
        <v>154</v>
      </c>
      <c r="D7" s="5">
        <v>60</v>
      </c>
      <c r="E7" s="52" t="s">
        <v>18</v>
      </c>
      <c r="F7" s="7">
        <v>220000000</v>
      </c>
      <c r="G7" s="52">
        <v>8</v>
      </c>
      <c r="H7" s="8">
        <v>34779</v>
      </c>
      <c r="I7" s="52">
        <v>640</v>
      </c>
      <c r="J7" s="8">
        <v>45671</v>
      </c>
      <c r="K7" s="7">
        <v>660000</v>
      </c>
    </row>
    <row r="8" spans="1:11">
      <c r="A8" s="4" t="s">
        <v>178</v>
      </c>
      <c r="B8" s="4" t="s">
        <v>144</v>
      </c>
      <c r="C8" s="52" t="s">
        <v>145</v>
      </c>
      <c r="D8" s="5">
        <v>84</v>
      </c>
      <c r="E8" s="52" t="s">
        <v>150</v>
      </c>
      <c r="F8" s="7">
        <v>529000000</v>
      </c>
      <c r="G8" s="52">
        <v>8</v>
      </c>
      <c r="H8" s="8">
        <v>33918</v>
      </c>
      <c r="I8" s="52">
        <v>1200</v>
      </c>
      <c r="J8" s="8">
        <v>45672</v>
      </c>
      <c r="K8" s="7">
        <v>2116000</v>
      </c>
    </row>
    <row r="9" spans="1:11">
      <c r="A9" s="4" t="s">
        <v>23</v>
      </c>
      <c r="B9" s="4" t="s">
        <v>179</v>
      </c>
      <c r="C9" s="52" t="s">
        <v>145</v>
      </c>
      <c r="D9" s="5">
        <v>112</v>
      </c>
      <c r="E9" s="52" t="s">
        <v>150</v>
      </c>
      <c r="F9" s="7">
        <v>610000000</v>
      </c>
      <c r="G9" s="52">
        <v>10</v>
      </c>
      <c r="H9" s="8">
        <v>36850</v>
      </c>
      <c r="I9" s="52">
        <v>480</v>
      </c>
      <c r="J9" s="8">
        <v>45673</v>
      </c>
      <c r="K9" s="7">
        <v>3050000</v>
      </c>
    </row>
    <row r="10" spans="1:11">
      <c r="A10" s="4" t="s">
        <v>180</v>
      </c>
      <c r="B10" s="4" t="s">
        <v>144</v>
      </c>
      <c r="C10" s="52" t="s">
        <v>145</v>
      </c>
      <c r="D10" s="5">
        <v>85</v>
      </c>
      <c r="E10" s="52" t="s">
        <v>150</v>
      </c>
      <c r="F10" s="7">
        <v>710000000</v>
      </c>
      <c r="G10" s="52">
        <v>26</v>
      </c>
      <c r="H10" s="8">
        <v>43152</v>
      </c>
      <c r="I10" s="52">
        <v>255</v>
      </c>
      <c r="J10" s="8">
        <v>45674</v>
      </c>
      <c r="K10" s="7">
        <v>3550000</v>
      </c>
    </row>
    <row r="11" spans="1:11">
      <c r="A11" s="4" t="s">
        <v>181</v>
      </c>
      <c r="B11" s="4" t="s">
        <v>146</v>
      </c>
      <c r="C11" s="52" t="s">
        <v>148</v>
      </c>
      <c r="D11" s="5">
        <v>60</v>
      </c>
      <c r="E11" s="52" t="s">
        <v>18</v>
      </c>
      <c r="F11" s="7">
        <v>490000000</v>
      </c>
      <c r="G11" s="52">
        <v>29</v>
      </c>
      <c r="H11" s="8">
        <v>43606</v>
      </c>
      <c r="I11" s="52">
        <v>610</v>
      </c>
      <c r="J11" s="8">
        <v>45674</v>
      </c>
      <c r="K11" s="7">
        <v>1960000</v>
      </c>
    </row>
    <row r="12" spans="1:11">
      <c r="A12" s="4" t="s">
        <v>157</v>
      </c>
      <c r="B12" s="4" t="s">
        <v>179</v>
      </c>
      <c r="C12" s="52" t="s">
        <v>145</v>
      </c>
      <c r="D12" s="5">
        <v>112</v>
      </c>
      <c r="E12" s="52" t="s">
        <v>153</v>
      </c>
      <c r="F12" s="7">
        <v>990000000</v>
      </c>
      <c r="G12" s="52">
        <v>3</v>
      </c>
      <c r="H12" s="8">
        <v>40300</v>
      </c>
      <c r="I12" s="52">
        <v>650</v>
      </c>
      <c r="J12" s="8">
        <v>45678</v>
      </c>
      <c r="K12" s="7">
        <v>5940000</v>
      </c>
    </row>
    <row r="13" spans="1:11">
      <c r="A13" s="4" t="s">
        <v>162</v>
      </c>
      <c r="B13" s="4" t="s">
        <v>182</v>
      </c>
      <c r="C13" s="52" t="s">
        <v>154</v>
      </c>
      <c r="D13" s="5">
        <v>85</v>
      </c>
      <c r="E13" s="52" t="s">
        <v>150</v>
      </c>
      <c r="F13" s="7">
        <v>540000000</v>
      </c>
      <c r="G13" s="52">
        <v>26</v>
      </c>
      <c r="H13" s="8">
        <v>43162</v>
      </c>
      <c r="I13" s="52">
        <v>420</v>
      </c>
      <c r="J13" s="8">
        <v>45678</v>
      </c>
      <c r="K13" s="7">
        <v>2160000</v>
      </c>
    </row>
    <row r="14" spans="1:11">
      <c r="A14" s="4" t="s">
        <v>178</v>
      </c>
      <c r="B14" s="4" t="s">
        <v>144</v>
      </c>
      <c r="C14" s="52" t="s">
        <v>145</v>
      </c>
      <c r="D14" s="5">
        <v>170</v>
      </c>
      <c r="E14" s="52" t="s">
        <v>153</v>
      </c>
      <c r="F14" s="9">
        <v>1421000000</v>
      </c>
      <c r="G14" s="52">
        <v>16</v>
      </c>
      <c r="H14" s="8">
        <v>37685</v>
      </c>
      <c r="I14" s="52">
        <v>180</v>
      </c>
      <c r="J14" s="8">
        <v>45686</v>
      </c>
      <c r="K14" s="9">
        <v>8526000</v>
      </c>
    </row>
    <row r="15" spans="1:11">
      <c r="A15" s="4" t="s">
        <v>177</v>
      </c>
      <c r="B15" s="4" t="s">
        <v>155</v>
      </c>
      <c r="C15" s="52" t="s">
        <v>145</v>
      </c>
      <c r="D15" s="5">
        <v>85</v>
      </c>
      <c r="E15" s="52" t="s">
        <v>150</v>
      </c>
      <c r="F15" s="7">
        <v>690000000</v>
      </c>
      <c r="G15" s="52">
        <v>17</v>
      </c>
      <c r="H15" s="8">
        <v>42115</v>
      </c>
      <c r="I15" s="52">
        <v>410</v>
      </c>
      <c r="J15" s="8">
        <v>45687</v>
      </c>
      <c r="K15" s="7">
        <v>3450000</v>
      </c>
    </row>
    <row r="16" spans="1:11">
      <c r="A16" s="4" t="s">
        <v>12</v>
      </c>
      <c r="B16" s="4" t="s">
        <v>146</v>
      </c>
      <c r="C16" s="52" t="s">
        <v>154</v>
      </c>
      <c r="D16" s="5">
        <v>85</v>
      </c>
      <c r="E16" s="52" t="s">
        <v>21</v>
      </c>
      <c r="F16" s="7">
        <v>280000000</v>
      </c>
      <c r="G16" s="52">
        <v>21</v>
      </c>
      <c r="H16" s="8">
        <v>38095</v>
      </c>
      <c r="I16" s="52">
        <v>280</v>
      </c>
      <c r="J16" s="8">
        <v>45691</v>
      </c>
      <c r="K16" s="7">
        <v>840000</v>
      </c>
    </row>
    <row r="17" spans="1:11">
      <c r="A17" s="4" t="s">
        <v>178</v>
      </c>
      <c r="B17" s="4" t="s">
        <v>143</v>
      </c>
      <c r="C17" s="52" t="s">
        <v>154</v>
      </c>
      <c r="D17" s="5">
        <v>60</v>
      </c>
      <c r="E17" s="52" t="s">
        <v>159</v>
      </c>
      <c r="F17" s="7">
        <v>430000000</v>
      </c>
      <c r="G17" s="52">
        <v>4</v>
      </c>
      <c r="H17" s="8">
        <v>37805</v>
      </c>
      <c r="I17" s="52">
        <v>980</v>
      </c>
      <c r="J17" s="8">
        <v>45691</v>
      </c>
      <c r="K17" s="7">
        <v>1720000</v>
      </c>
    </row>
    <row r="18" spans="1:11">
      <c r="A18" s="4" t="s">
        <v>19</v>
      </c>
      <c r="B18" s="4" t="s">
        <v>158</v>
      </c>
      <c r="C18" s="52" t="s">
        <v>145</v>
      </c>
      <c r="D18" s="5">
        <v>75</v>
      </c>
      <c r="E18" s="52" t="s">
        <v>21</v>
      </c>
      <c r="F18" s="7">
        <v>680000000</v>
      </c>
      <c r="G18" s="52">
        <v>15</v>
      </c>
      <c r="H18" s="8">
        <v>42861</v>
      </c>
      <c r="I18" s="52">
        <v>620</v>
      </c>
      <c r="J18" s="8">
        <v>45692</v>
      </c>
      <c r="K18" s="7">
        <v>3400000</v>
      </c>
    </row>
    <row r="19" spans="1:11">
      <c r="A19" s="4" t="s">
        <v>177</v>
      </c>
      <c r="B19" s="4" t="s">
        <v>160</v>
      </c>
      <c r="C19" s="52" t="s">
        <v>154</v>
      </c>
      <c r="D19" s="5">
        <v>85</v>
      </c>
      <c r="E19" s="52" t="s">
        <v>150</v>
      </c>
      <c r="F19" s="7">
        <v>310000000</v>
      </c>
      <c r="G19" s="52">
        <v>18</v>
      </c>
      <c r="H19" s="8">
        <v>43072</v>
      </c>
      <c r="I19" s="52">
        <v>570</v>
      </c>
      <c r="J19" s="8">
        <v>45693</v>
      </c>
      <c r="K19" s="7">
        <v>1240000</v>
      </c>
    </row>
    <row r="20" spans="1:11">
      <c r="A20" s="4" t="s">
        <v>31</v>
      </c>
      <c r="B20" s="4" t="s">
        <v>146</v>
      </c>
      <c r="C20" s="52" t="s">
        <v>145</v>
      </c>
      <c r="D20" s="5">
        <v>114</v>
      </c>
      <c r="E20" s="52" t="s">
        <v>153</v>
      </c>
      <c r="F20" s="9">
        <v>1055000000</v>
      </c>
      <c r="G20" s="52">
        <v>24</v>
      </c>
      <c r="H20" s="8">
        <v>40066</v>
      </c>
      <c r="I20" s="52">
        <v>690</v>
      </c>
      <c r="J20" s="8">
        <v>45693</v>
      </c>
      <c r="K20" s="9">
        <v>6330000</v>
      </c>
    </row>
    <row r="21" spans="1:11">
      <c r="A21" s="4" t="s">
        <v>31</v>
      </c>
      <c r="B21" s="4" t="s">
        <v>146</v>
      </c>
      <c r="C21" s="52" t="s">
        <v>154</v>
      </c>
      <c r="D21" s="5">
        <v>85</v>
      </c>
      <c r="E21" s="52" t="s">
        <v>150</v>
      </c>
      <c r="F21" s="7">
        <v>430000000</v>
      </c>
      <c r="G21" s="52">
        <v>15</v>
      </c>
      <c r="H21" s="8">
        <v>41264</v>
      </c>
      <c r="I21" s="52">
        <v>520</v>
      </c>
      <c r="J21" s="8">
        <v>45694</v>
      </c>
      <c r="K21" s="7">
        <v>1720000</v>
      </c>
    </row>
    <row r="22" spans="1:11">
      <c r="A22" s="4" t="s">
        <v>162</v>
      </c>
      <c r="B22" s="4" t="s">
        <v>158</v>
      </c>
      <c r="C22" s="52" t="s">
        <v>145</v>
      </c>
      <c r="D22" s="5">
        <v>85</v>
      </c>
      <c r="E22" s="52" t="s">
        <v>150</v>
      </c>
      <c r="F22" s="7">
        <v>445000000</v>
      </c>
      <c r="G22" s="52">
        <v>21</v>
      </c>
      <c r="H22" s="8">
        <v>39114</v>
      </c>
      <c r="I22" s="52">
        <v>475</v>
      </c>
      <c r="J22" s="8">
        <v>45696</v>
      </c>
      <c r="K22" s="7">
        <v>1780000</v>
      </c>
    </row>
    <row r="23" spans="1:11">
      <c r="A23" s="4" t="s">
        <v>157</v>
      </c>
      <c r="B23" s="4" t="s">
        <v>144</v>
      </c>
      <c r="C23" s="52" t="s">
        <v>145</v>
      </c>
      <c r="D23" s="5">
        <v>84</v>
      </c>
      <c r="E23" s="52" t="s">
        <v>21</v>
      </c>
      <c r="F23" s="7">
        <v>428000000</v>
      </c>
      <c r="G23" s="52">
        <v>19</v>
      </c>
      <c r="H23" s="8">
        <v>39173</v>
      </c>
      <c r="I23" s="52">
        <v>560</v>
      </c>
      <c r="J23" s="8">
        <v>45698</v>
      </c>
      <c r="K23" s="7">
        <v>1712000</v>
      </c>
    </row>
    <row r="24" spans="1:11">
      <c r="A24" s="4" t="s">
        <v>180</v>
      </c>
      <c r="B24" s="4" t="s">
        <v>146</v>
      </c>
      <c r="C24" s="52" t="s">
        <v>145</v>
      </c>
      <c r="D24" s="5">
        <v>61</v>
      </c>
      <c r="E24" s="52" t="s">
        <v>159</v>
      </c>
      <c r="F24" s="7">
        <v>445000000</v>
      </c>
      <c r="G24" s="52">
        <v>7</v>
      </c>
      <c r="H24" s="8">
        <v>34620</v>
      </c>
      <c r="I24" s="52">
        <v>840</v>
      </c>
      <c r="J24" s="8">
        <v>45699</v>
      </c>
      <c r="K24" s="7">
        <v>1780000</v>
      </c>
    </row>
    <row r="25" spans="1:11">
      <c r="A25" s="4" t="s">
        <v>28</v>
      </c>
      <c r="B25" s="4" t="s">
        <v>183</v>
      </c>
      <c r="C25" s="52" t="s">
        <v>145</v>
      </c>
      <c r="D25" s="5">
        <v>85</v>
      </c>
      <c r="E25" s="52" t="s">
        <v>150</v>
      </c>
      <c r="F25" s="7">
        <v>340000000</v>
      </c>
      <c r="G25" s="52">
        <v>2</v>
      </c>
      <c r="H25" s="8">
        <v>37261</v>
      </c>
      <c r="I25" s="52">
        <v>470</v>
      </c>
      <c r="J25" s="8">
        <v>45701</v>
      </c>
      <c r="K25" s="7">
        <v>1360000</v>
      </c>
    </row>
    <row r="26" spans="1:11">
      <c r="A26" s="4" t="s">
        <v>162</v>
      </c>
      <c r="B26" s="4" t="s">
        <v>166</v>
      </c>
      <c r="C26" s="52" t="s">
        <v>14</v>
      </c>
      <c r="D26" s="5">
        <v>60</v>
      </c>
      <c r="E26" s="52" t="s">
        <v>159</v>
      </c>
      <c r="F26" s="7">
        <v>450000000</v>
      </c>
      <c r="G26" s="52">
        <v>13</v>
      </c>
      <c r="H26" s="8">
        <v>38839</v>
      </c>
      <c r="I26" s="52">
        <v>920</v>
      </c>
      <c r="J26" s="8">
        <v>45702</v>
      </c>
      <c r="K26" s="7">
        <v>1800000</v>
      </c>
    </row>
    <row r="27" spans="1:11">
      <c r="A27" s="4" t="s">
        <v>151</v>
      </c>
      <c r="B27" s="4" t="s">
        <v>166</v>
      </c>
      <c r="C27" s="52" t="s">
        <v>145</v>
      </c>
      <c r="D27" s="5">
        <v>114</v>
      </c>
      <c r="E27" s="52" t="s">
        <v>153</v>
      </c>
      <c r="F27" s="7">
        <v>648000000</v>
      </c>
      <c r="G27" s="52">
        <v>28</v>
      </c>
      <c r="H27" s="8">
        <v>42056</v>
      </c>
      <c r="I27" s="52">
        <v>365</v>
      </c>
      <c r="J27" s="8">
        <v>45705</v>
      </c>
      <c r="K27" s="7">
        <v>3240000</v>
      </c>
    </row>
    <row r="28" spans="1:11">
      <c r="A28" s="4" t="s">
        <v>181</v>
      </c>
      <c r="B28" s="4" t="s">
        <v>158</v>
      </c>
      <c r="C28" s="52" t="s">
        <v>148</v>
      </c>
      <c r="D28" s="5">
        <v>85</v>
      </c>
      <c r="E28" s="52" t="s">
        <v>150</v>
      </c>
      <c r="F28" s="7">
        <v>430000000</v>
      </c>
      <c r="G28" s="52">
        <v>10</v>
      </c>
      <c r="H28" s="8">
        <v>38740</v>
      </c>
      <c r="I28" s="52">
        <v>390</v>
      </c>
      <c r="J28" s="8">
        <v>45706</v>
      </c>
      <c r="K28" s="7">
        <v>1720000</v>
      </c>
    </row>
    <row r="29" spans="1:11">
      <c r="A29" s="4" t="s">
        <v>162</v>
      </c>
      <c r="B29" s="4" t="s">
        <v>35</v>
      </c>
      <c r="C29" s="52" t="s">
        <v>145</v>
      </c>
      <c r="D29" s="5">
        <v>126</v>
      </c>
      <c r="E29" s="52" t="s">
        <v>153</v>
      </c>
      <c r="F29" s="7">
        <v>1400000000</v>
      </c>
      <c r="G29" s="52">
        <v>23</v>
      </c>
      <c r="H29" s="8">
        <v>40929</v>
      </c>
      <c r="I29" s="52">
        <v>490</v>
      </c>
      <c r="J29" s="8">
        <v>45708</v>
      </c>
      <c r="K29" s="7">
        <v>8400000</v>
      </c>
    </row>
    <row r="30" spans="1:11">
      <c r="A30" s="4" t="s">
        <v>181</v>
      </c>
      <c r="B30" s="4" t="s">
        <v>179</v>
      </c>
      <c r="C30" s="52" t="s">
        <v>145</v>
      </c>
      <c r="D30" s="5">
        <v>99</v>
      </c>
      <c r="E30" s="52" t="s">
        <v>15</v>
      </c>
      <c r="F30" s="7">
        <v>940000000</v>
      </c>
      <c r="G30" s="52">
        <v>8</v>
      </c>
      <c r="H30" s="8">
        <v>42277</v>
      </c>
      <c r="I30" s="52">
        <v>590</v>
      </c>
      <c r="J30" s="8">
        <v>45708</v>
      </c>
      <c r="K30" s="7">
        <v>5640000</v>
      </c>
    </row>
    <row r="31" spans="1:11">
      <c r="A31" s="4" t="s">
        <v>151</v>
      </c>
      <c r="B31" s="4" t="s">
        <v>143</v>
      </c>
      <c r="C31" s="52" t="s">
        <v>145</v>
      </c>
      <c r="D31" s="5">
        <v>60</v>
      </c>
      <c r="E31" s="52" t="s">
        <v>159</v>
      </c>
      <c r="F31" s="7">
        <v>520000000</v>
      </c>
      <c r="G31" s="52">
        <v>7</v>
      </c>
      <c r="H31" s="8">
        <v>37134</v>
      </c>
      <c r="I31" s="52">
        <v>530</v>
      </c>
      <c r="J31" s="8">
        <v>45710</v>
      </c>
      <c r="K31" s="7">
        <v>2080000</v>
      </c>
    </row>
    <row r="32" spans="1:11">
      <c r="A32" s="4" t="s">
        <v>180</v>
      </c>
      <c r="B32" s="4" t="s">
        <v>179</v>
      </c>
      <c r="C32" s="52" t="s">
        <v>154</v>
      </c>
      <c r="D32" s="5">
        <v>85</v>
      </c>
      <c r="E32" s="52" t="s">
        <v>150</v>
      </c>
      <c r="F32" s="7">
        <v>420000000</v>
      </c>
      <c r="G32" s="52">
        <v>21</v>
      </c>
      <c r="H32" s="8">
        <v>40579</v>
      </c>
      <c r="I32" s="52">
        <v>770</v>
      </c>
      <c r="J32" s="8">
        <v>45715</v>
      </c>
      <c r="K32" s="7">
        <v>1680000</v>
      </c>
    </row>
  </sheetData>
  <phoneticPr fontId="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&amp;C&amp;P페이지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48"/>
  <sheetViews>
    <sheetView workbookViewId="0">
      <selection activeCell="B24" sqref="B24"/>
    </sheetView>
  </sheetViews>
  <sheetFormatPr defaultRowHeight="16.5"/>
  <cols>
    <col min="1" max="1" width="10.875" style="2" customWidth="1"/>
    <col min="2" max="2" width="12.375" style="2" customWidth="1"/>
    <col min="3" max="3" width="13.125" customWidth="1"/>
    <col min="4" max="4" width="10.875" customWidth="1"/>
    <col min="5" max="5" width="14.875" customWidth="1"/>
    <col min="6" max="6" width="12.375" customWidth="1"/>
    <col min="7" max="7" width="12" customWidth="1"/>
    <col min="8" max="9" width="13" customWidth="1"/>
    <col min="10" max="10" width="13.375" customWidth="1"/>
    <col min="11" max="11" width="12.25" customWidth="1"/>
  </cols>
  <sheetData>
    <row r="1" spans="1:11">
      <c r="A1" s="2" t="s">
        <v>36</v>
      </c>
    </row>
    <row r="2" spans="1:11">
      <c r="A2" s="10" t="s">
        <v>184</v>
      </c>
      <c r="B2" s="10" t="s">
        <v>185</v>
      </c>
      <c r="C2" s="10" t="s">
        <v>186</v>
      </c>
      <c r="D2" s="10" t="s">
        <v>187</v>
      </c>
      <c r="E2" s="10" t="s">
        <v>188</v>
      </c>
      <c r="F2" s="10" t="s">
        <v>189</v>
      </c>
      <c r="G2" s="10" t="s">
        <v>8</v>
      </c>
      <c r="H2" s="10" t="s">
        <v>190</v>
      </c>
      <c r="I2" s="10" t="s">
        <v>10</v>
      </c>
      <c r="J2" s="12" t="s">
        <v>11</v>
      </c>
      <c r="K2" s="12" t="s">
        <v>5</v>
      </c>
    </row>
    <row r="3" spans="1:11">
      <c r="A3" s="52" t="s">
        <v>191</v>
      </c>
      <c r="B3" s="52" t="s">
        <v>192</v>
      </c>
      <c r="C3" s="52" t="s">
        <v>193</v>
      </c>
      <c r="D3" s="5">
        <v>118</v>
      </c>
      <c r="E3" s="7">
        <v>693000000</v>
      </c>
      <c r="F3" s="52">
        <v>15</v>
      </c>
      <c r="G3" s="8">
        <v>39384</v>
      </c>
      <c r="H3" s="52">
        <v>730</v>
      </c>
      <c r="I3" s="8">
        <v>45664</v>
      </c>
      <c r="J3" s="25">
        <f>MIN(E3*HLOOKUP(E3,$G$35:$J$42,MATCH(C3,$E$35:$E$42,0)+2),HLOOKUP(E3,$G$35:$J$42,MATCH(C3,$E$35:$E$42,0)+3))</f>
        <v>3465000</v>
      </c>
      <c r="K3" s="6" t="str" cm="1">
        <f t="array" ref="K3">fn규모(D3)</f>
        <v>대형</v>
      </c>
    </row>
    <row r="4" spans="1:11">
      <c r="A4" s="52" t="s">
        <v>16</v>
      </c>
      <c r="B4" s="52" t="s">
        <v>155</v>
      </c>
      <c r="C4" s="52" t="s">
        <v>14</v>
      </c>
      <c r="D4" s="5">
        <v>60</v>
      </c>
      <c r="E4" s="7">
        <v>730000000</v>
      </c>
      <c r="F4" s="52">
        <v>19</v>
      </c>
      <c r="G4" s="8">
        <v>43271</v>
      </c>
      <c r="H4" s="52">
        <v>580</v>
      </c>
      <c r="I4" s="8">
        <v>45665</v>
      </c>
      <c r="J4" s="25">
        <f t="shared" ref="J4:J32" si="0">MIN(E4*HLOOKUP(E4,$G$35:$J$42,MATCH(C4,$E$35:$E$42,0)+2),HLOOKUP(E4,$G$35:$J$42,MATCH(C4,$E$35:$E$42,0)+3))</f>
        <v>3650000</v>
      </c>
      <c r="K4" s="55" t="str" cm="1">
        <f t="array" ref="K4">fn규모(D4)</f>
        <v>소형</v>
      </c>
    </row>
    <row r="5" spans="1:11">
      <c r="A5" s="52" t="s">
        <v>194</v>
      </c>
      <c r="B5" s="52" t="s">
        <v>195</v>
      </c>
      <c r="C5" s="52" t="s">
        <v>193</v>
      </c>
      <c r="D5" s="5">
        <v>76</v>
      </c>
      <c r="E5" s="7">
        <v>470000000</v>
      </c>
      <c r="F5" s="52">
        <v>20</v>
      </c>
      <c r="G5" s="8">
        <v>42065</v>
      </c>
      <c r="H5" s="52">
        <v>450</v>
      </c>
      <c r="I5" s="8">
        <v>45666</v>
      </c>
      <c r="J5" s="25">
        <f t="shared" si="0"/>
        <v>2350000</v>
      </c>
      <c r="K5" s="55" t="str" cm="1">
        <f t="array" ref="K5">fn규모(D5)</f>
        <v>중형</v>
      </c>
    </row>
    <row r="6" spans="1:11">
      <c r="A6" s="52" t="s">
        <v>196</v>
      </c>
      <c r="B6" s="52" t="s">
        <v>192</v>
      </c>
      <c r="C6" s="52" t="s">
        <v>193</v>
      </c>
      <c r="D6" s="5">
        <v>59</v>
      </c>
      <c r="E6" s="7">
        <v>560000000</v>
      </c>
      <c r="F6" s="52">
        <v>9</v>
      </c>
      <c r="G6" s="8">
        <v>38972</v>
      </c>
      <c r="H6" s="52">
        <v>380</v>
      </c>
      <c r="I6" s="8">
        <v>45670</v>
      </c>
      <c r="J6" s="25">
        <f t="shared" si="0"/>
        <v>2800000</v>
      </c>
      <c r="K6" s="55" t="str" cm="1">
        <f t="array" ref="K6">fn규모(D6)</f>
        <v>소형</v>
      </c>
    </row>
    <row r="7" spans="1:11">
      <c r="A7" s="52" t="s">
        <v>197</v>
      </c>
      <c r="B7" s="52" t="s">
        <v>198</v>
      </c>
      <c r="C7" s="52" t="s">
        <v>148</v>
      </c>
      <c r="D7" s="5">
        <v>60</v>
      </c>
      <c r="E7" s="7">
        <v>220000000</v>
      </c>
      <c r="F7" s="52">
        <v>8</v>
      </c>
      <c r="G7" s="8">
        <v>34779</v>
      </c>
      <c r="H7" s="52">
        <v>640</v>
      </c>
      <c r="I7" s="8">
        <v>45671</v>
      </c>
      <c r="J7" s="25">
        <f t="shared" si="0"/>
        <v>660000</v>
      </c>
      <c r="K7" s="55" t="str" cm="1">
        <f t="array" ref="K7">fn규모(D7)</f>
        <v>소형</v>
      </c>
    </row>
    <row r="8" spans="1:11">
      <c r="A8" s="52" t="s">
        <v>31</v>
      </c>
      <c r="B8" s="52" t="s">
        <v>199</v>
      </c>
      <c r="C8" s="52" t="s">
        <v>14</v>
      </c>
      <c r="D8" s="5">
        <v>84</v>
      </c>
      <c r="E8" s="7">
        <v>529000000</v>
      </c>
      <c r="F8" s="52">
        <v>8</v>
      </c>
      <c r="G8" s="8">
        <v>33918</v>
      </c>
      <c r="H8" s="52">
        <v>1200</v>
      </c>
      <c r="I8" s="8">
        <v>45672</v>
      </c>
      <c r="J8" s="25">
        <f t="shared" si="0"/>
        <v>2645000</v>
      </c>
      <c r="K8" s="55" t="str" cm="1">
        <f t="array" ref="K8">fn규모(D8)</f>
        <v>중형</v>
      </c>
    </row>
    <row r="9" spans="1:11">
      <c r="A9" s="52" t="s">
        <v>23</v>
      </c>
      <c r="B9" s="52" t="s">
        <v>200</v>
      </c>
      <c r="C9" s="52" t="s">
        <v>193</v>
      </c>
      <c r="D9" s="5">
        <v>112</v>
      </c>
      <c r="E9" s="7">
        <v>610000000</v>
      </c>
      <c r="F9" s="52">
        <v>10</v>
      </c>
      <c r="G9" s="8">
        <v>36850</v>
      </c>
      <c r="H9" s="52">
        <v>480</v>
      </c>
      <c r="I9" s="8">
        <v>45673</v>
      </c>
      <c r="J9" s="25">
        <f t="shared" si="0"/>
        <v>3050000</v>
      </c>
      <c r="K9" s="55" t="str" cm="1">
        <f t="array" ref="K9">fn규모(D9)</f>
        <v>대형</v>
      </c>
    </row>
    <row r="10" spans="1:11">
      <c r="A10" s="52" t="s">
        <v>196</v>
      </c>
      <c r="B10" s="52" t="s">
        <v>155</v>
      </c>
      <c r="C10" s="52" t="s">
        <v>14</v>
      </c>
      <c r="D10" s="5">
        <v>85</v>
      </c>
      <c r="E10" s="7">
        <v>710000000</v>
      </c>
      <c r="F10" s="52">
        <v>26</v>
      </c>
      <c r="G10" s="8">
        <v>43152</v>
      </c>
      <c r="H10" s="52">
        <v>255</v>
      </c>
      <c r="I10" s="8">
        <v>45674</v>
      </c>
      <c r="J10" s="25">
        <f t="shared" si="0"/>
        <v>3550000</v>
      </c>
      <c r="K10" s="55" t="str" cm="1">
        <f t="array" ref="K10">fn규모(D10)</f>
        <v>중형</v>
      </c>
    </row>
    <row r="11" spans="1:11">
      <c r="A11" s="52" t="s">
        <v>201</v>
      </c>
      <c r="B11" s="52" t="s">
        <v>195</v>
      </c>
      <c r="C11" s="52" t="s">
        <v>148</v>
      </c>
      <c r="D11" s="5">
        <v>60</v>
      </c>
      <c r="E11" s="7">
        <v>490000000</v>
      </c>
      <c r="F11" s="52">
        <v>29</v>
      </c>
      <c r="G11" s="8">
        <v>43606</v>
      </c>
      <c r="H11" s="52">
        <v>610</v>
      </c>
      <c r="I11" s="8">
        <v>45674</v>
      </c>
      <c r="J11" s="25">
        <f t="shared" si="0"/>
        <v>1960000</v>
      </c>
      <c r="K11" s="55" t="str" cm="1">
        <f t="array" ref="K11">fn규모(D11)</f>
        <v>소형</v>
      </c>
    </row>
    <row r="12" spans="1:11">
      <c r="A12" s="52" t="s">
        <v>191</v>
      </c>
      <c r="B12" s="52" t="s">
        <v>200</v>
      </c>
      <c r="C12" s="52" t="s">
        <v>193</v>
      </c>
      <c r="D12" s="5">
        <v>112</v>
      </c>
      <c r="E12" s="7">
        <v>990000000</v>
      </c>
      <c r="F12" s="52">
        <v>3</v>
      </c>
      <c r="G12" s="8">
        <v>40300</v>
      </c>
      <c r="H12" s="52">
        <v>650</v>
      </c>
      <c r="I12" s="8">
        <v>45678</v>
      </c>
      <c r="J12" s="25">
        <f t="shared" si="0"/>
        <v>4500000</v>
      </c>
      <c r="K12" s="55" t="str" cm="1">
        <f t="array" ref="K12">fn규모(D12)</f>
        <v>대형</v>
      </c>
    </row>
    <row r="13" spans="1:11">
      <c r="A13" s="52" t="s">
        <v>16</v>
      </c>
      <c r="B13" s="52" t="s">
        <v>30</v>
      </c>
      <c r="C13" s="52" t="s">
        <v>202</v>
      </c>
      <c r="D13" s="5">
        <v>85</v>
      </c>
      <c r="E13" s="7">
        <v>540000000</v>
      </c>
      <c r="F13" s="52">
        <v>26</v>
      </c>
      <c r="G13" s="8">
        <v>43162</v>
      </c>
      <c r="H13" s="52">
        <v>420</v>
      </c>
      <c r="I13" s="8">
        <v>45678</v>
      </c>
      <c r="J13" s="25">
        <f t="shared" si="0"/>
        <v>2160000</v>
      </c>
      <c r="K13" s="55" t="str" cm="1">
        <f t="array" ref="K13">fn규모(D13)</f>
        <v>중형</v>
      </c>
    </row>
    <row r="14" spans="1:11">
      <c r="A14" s="52" t="s">
        <v>203</v>
      </c>
      <c r="B14" s="52" t="s">
        <v>155</v>
      </c>
      <c r="C14" s="52" t="s">
        <v>193</v>
      </c>
      <c r="D14" s="5">
        <v>170</v>
      </c>
      <c r="E14" s="9">
        <v>1421000000</v>
      </c>
      <c r="F14" s="52">
        <v>16</v>
      </c>
      <c r="G14" s="8">
        <v>37685</v>
      </c>
      <c r="H14" s="52">
        <v>180</v>
      </c>
      <c r="I14" s="8">
        <v>45686</v>
      </c>
      <c r="J14" s="25">
        <f t="shared" si="0"/>
        <v>4500000</v>
      </c>
      <c r="K14" s="55" t="str" cm="1">
        <f t="array" ref="K14">fn규모(D14)</f>
        <v>대형</v>
      </c>
    </row>
    <row r="15" spans="1:11">
      <c r="A15" s="52" t="s">
        <v>194</v>
      </c>
      <c r="B15" s="52" t="s">
        <v>199</v>
      </c>
      <c r="C15" s="52" t="s">
        <v>193</v>
      </c>
      <c r="D15" s="5">
        <v>85</v>
      </c>
      <c r="E15" s="7">
        <v>690000000</v>
      </c>
      <c r="F15" s="52">
        <v>17</v>
      </c>
      <c r="G15" s="8">
        <v>42115</v>
      </c>
      <c r="H15" s="52">
        <v>410</v>
      </c>
      <c r="I15" s="8">
        <v>45687</v>
      </c>
      <c r="J15" s="25">
        <f t="shared" si="0"/>
        <v>3450000</v>
      </c>
      <c r="K15" s="55" t="str" cm="1">
        <f t="array" ref="K15">fn규모(D15)</f>
        <v>중형</v>
      </c>
    </row>
    <row r="16" spans="1:11">
      <c r="A16" s="52" t="s">
        <v>191</v>
      </c>
      <c r="B16" s="52" t="s">
        <v>34</v>
      </c>
      <c r="C16" s="52" t="s">
        <v>148</v>
      </c>
      <c r="D16" s="5">
        <v>85</v>
      </c>
      <c r="E16" s="7">
        <v>280000000</v>
      </c>
      <c r="F16" s="52">
        <v>21</v>
      </c>
      <c r="G16" s="8">
        <v>38095</v>
      </c>
      <c r="H16" s="52">
        <v>280</v>
      </c>
      <c r="I16" s="8">
        <v>45691</v>
      </c>
      <c r="J16" s="25">
        <f t="shared" si="0"/>
        <v>800000</v>
      </c>
      <c r="K16" s="55" t="str" cm="1">
        <f t="array" ref="K16">fn규모(D16)</f>
        <v>중형</v>
      </c>
    </row>
    <row r="17" spans="1:11">
      <c r="A17" s="52" t="s">
        <v>203</v>
      </c>
      <c r="B17" s="52" t="s">
        <v>143</v>
      </c>
      <c r="C17" s="52" t="s">
        <v>202</v>
      </c>
      <c r="D17" s="5">
        <v>60</v>
      </c>
      <c r="E17" s="7">
        <v>430000000</v>
      </c>
      <c r="F17" s="52">
        <v>4</v>
      </c>
      <c r="G17" s="8">
        <v>37805</v>
      </c>
      <c r="H17" s="52">
        <v>980</v>
      </c>
      <c r="I17" s="8">
        <v>45691</v>
      </c>
      <c r="J17" s="25">
        <f t="shared" si="0"/>
        <v>1720000</v>
      </c>
      <c r="K17" s="55" t="str" cm="1">
        <f t="array" ref="K17">fn규모(D17)</f>
        <v>소형</v>
      </c>
    </row>
    <row r="18" spans="1:11">
      <c r="A18" s="52" t="s">
        <v>194</v>
      </c>
      <c r="B18" s="52" t="s">
        <v>192</v>
      </c>
      <c r="C18" s="52" t="s">
        <v>193</v>
      </c>
      <c r="D18" s="5">
        <v>75</v>
      </c>
      <c r="E18" s="7">
        <v>680000000</v>
      </c>
      <c r="F18" s="52">
        <v>15</v>
      </c>
      <c r="G18" s="8">
        <v>42861</v>
      </c>
      <c r="H18" s="52">
        <v>620</v>
      </c>
      <c r="I18" s="8">
        <v>45692</v>
      </c>
      <c r="J18" s="25">
        <f t="shared" si="0"/>
        <v>3400000</v>
      </c>
      <c r="K18" s="55" t="str" cm="1">
        <f t="array" ref="K18">fn규모(D18)</f>
        <v>중형</v>
      </c>
    </row>
    <row r="19" spans="1:11">
      <c r="A19" s="52" t="s">
        <v>19</v>
      </c>
      <c r="B19" s="52" t="s">
        <v>32</v>
      </c>
      <c r="C19" s="52" t="s">
        <v>202</v>
      </c>
      <c r="D19" s="5">
        <v>85</v>
      </c>
      <c r="E19" s="7">
        <v>310000000</v>
      </c>
      <c r="F19" s="52">
        <v>18</v>
      </c>
      <c r="G19" s="8">
        <v>43072</v>
      </c>
      <c r="H19" s="52">
        <v>570</v>
      </c>
      <c r="I19" s="8">
        <v>45693</v>
      </c>
      <c r="J19" s="25">
        <f t="shared" si="0"/>
        <v>1240000</v>
      </c>
      <c r="K19" s="55" t="str" cm="1">
        <f t="array" ref="K19">fn규모(D19)</f>
        <v>중형</v>
      </c>
    </row>
    <row r="20" spans="1:11">
      <c r="A20" s="52" t="s">
        <v>31</v>
      </c>
      <c r="B20" s="52" t="s">
        <v>195</v>
      </c>
      <c r="C20" s="52" t="s">
        <v>193</v>
      </c>
      <c r="D20" s="5">
        <v>114</v>
      </c>
      <c r="E20" s="9">
        <v>1055000000</v>
      </c>
      <c r="F20" s="52">
        <v>24</v>
      </c>
      <c r="G20" s="8">
        <v>40066</v>
      </c>
      <c r="H20" s="52">
        <v>690</v>
      </c>
      <c r="I20" s="8">
        <v>45693</v>
      </c>
      <c r="J20" s="25">
        <f t="shared" si="0"/>
        <v>4500000</v>
      </c>
      <c r="K20" s="55" t="str" cm="1">
        <f t="array" ref="K20">fn규모(D20)</f>
        <v>대형</v>
      </c>
    </row>
    <row r="21" spans="1:11">
      <c r="A21" s="52" t="s">
        <v>31</v>
      </c>
      <c r="B21" s="52" t="s">
        <v>195</v>
      </c>
      <c r="C21" s="52" t="s">
        <v>202</v>
      </c>
      <c r="D21" s="5">
        <v>85</v>
      </c>
      <c r="E21" s="7">
        <v>430000000</v>
      </c>
      <c r="F21" s="52">
        <v>15</v>
      </c>
      <c r="G21" s="8">
        <v>41264</v>
      </c>
      <c r="H21" s="52">
        <v>520</v>
      </c>
      <c r="I21" s="8">
        <v>45694</v>
      </c>
      <c r="J21" s="25">
        <f t="shared" si="0"/>
        <v>1720000</v>
      </c>
      <c r="K21" s="55" t="str" cm="1">
        <f t="array" ref="K21">fn규모(D21)</f>
        <v>중형</v>
      </c>
    </row>
    <row r="22" spans="1:11">
      <c r="A22" s="52" t="s">
        <v>204</v>
      </c>
      <c r="B22" s="52" t="s">
        <v>143</v>
      </c>
      <c r="C22" s="52" t="s">
        <v>14</v>
      </c>
      <c r="D22" s="5">
        <v>85</v>
      </c>
      <c r="E22" s="7">
        <v>445000000</v>
      </c>
      <c r="F22" s="52">
        <v>21</v>
      </c>
      <c r="G22" s="8">
        <v>39114</v>
      </c>
      <c r="H22" s="52">
        <v>475</v>
      </c>
      <c r="I22" s="8">
        <v>45696</v>
      </c>
      <c r="J22" s="25">
        <f t="shared" si="0"/>
        <v>2225000</v>
      </c>
      <c r="K22" s="55" t="str" cm="1">
        <f t="array" ref="K22">fn규모(D22)</f>
        <v>중형</v>
      </c>
    </row>
    <row r="23" spans="1:11">
      <c r="A23" s="52" t="s">
        <v>191</v>
      </c>
      <c r="B23" s="52" t="s">
        <v>155</v>
      </c>
      <c r="C23" s="52" t="s">
        <v>193</v>
      </c>
      <c r="D23" s="5">
        <v>84</v>
      </c>
      <c r="E23" s="7">
        <v>428000000</v>
      </c>
      <c r="F23" s="52">
        <v>19</v>
      </c>
      <c r="G23" s="8">
        <v>39173</v>
      </c>
      <c r="H23" s="52">
        <v>560</v>
      </c>
      <c r="I23" s="8">
        <v>45698</v>
      </c>
      <c r="J23" s="25">
        <f t="shared" si="0"/>
        <v>2140000</v>
      </c>
      <c r="K23" s="55" t="str" cm="1">
        <f t="array" ref="K23">fn규모(D23)</f>
        <v>중형</v>
      </c>
    </row>
    <row r="24" spans="1:11">
      <c r="A24" s="52" t="s">
        <v>41</v>
      </c>
      <c r="B24" s="52" t="s">
        <v>34</v>
      </c>
      <c r="C24" s="52" t="s">
        <v>193</v>
      </c>
      <c r="D24" s="5">
        <v>61</v>
      </c>
      <c r="E24" s="7">
        <v>445000000</v>
      </c>
      <c r="F24" s="52">
        <v>7</v>
      </c>
      <c r="G24" s="8">
        <v>34620</v>
      </c>
      <c r="H24" s="52">
        <v>840</v>
      </c>
      <c r="I24" s="8">
        <v>45699</v>
      </c>
      <c r="J24" s="25">
        <f t="shared" si="0"/>
        <v>2225000</v>
      </c>
      <c r="K24" s="55" t="str" cm="1">
        <f t="array" ref="K24">fn규모(D24)</f>
        <v>소형</v>
      </c>
    </row>
    <row r="25" spans="1:11">
      <c r="A25" s="52" t="s">
        <v>28</v>
      </c>
      <c r="B25" s="52" t="s">
        <v>205</v>
      </c>
      <c r="C25" s="52" t="s">
        <v>193</v>
      </c>
      <c r="D25" s="5">
        <v>85</v>
      </c>
      <c r="E25" s="7">
        <v>340000000</v>
      </c>
      <c r="F25" s="52">
        <v>2</v>
      </c>
      <c r="G25" s="8">
        <v>37261</v>
      </c>
      <c r="H25" s="52">
        <v>470</v>
      </c>
      <c r="I25" s="8">
        <v>45701</v>
      </c>
      <c r="J25" s="25">
        <f t="shared" si="0"/>
        <v>1700000</v>
      </c>
      <c r="K25" s="55" t="str" cm="1">
        <f t="array" ref="K25">fn규모(D25)</f>
        <v>중형</v>
      </c>
    </row>
    <row r="26" spans="1:11">
      <c r="A26" s="52" t="s">
        <v>16</v>
      </c>
      <c r="B26" s="52" t="s">
        <v>206</v>
      </c>
      <c r="C26" s="52" t="s">
        <v>193</v>
      </c>
      <c r="D26" s="5">
        <v>60</v>
      </c>
      <c r="E26" s="7">
        <v>450000000</v>
      </c>
      <c r="F26" s="52">
        <v>13</v>
      </c>
      <c r="G26" s="8">
        <v>38839</v>
      </c>
      <c r="H26" s="52">
        <v>920</v>
      </c>
      <c r="I26" s="8">
        <v>45702</v>
      </c>
      <c r="J26" s="25">
        <f t="shared" si="0"/>
        <v>2250000</v>
      </c>
      <c r="K26" s="55" t="str" cm="1">
        <f t="array" ref="K26">fn규모(D26)</f>
        <v>소형</v>
      </c>
    </row>
    <row r="27" spans="1:11">
      <c r="A27" s="52" t="s">
        <v>23</v>
      </c>
      <c r="B27" s="52" t="s">
        <v>165</v>
      </c>
      <c r="C27" s="52" t="s">
        <v>14</v>
      </c>
      <c r="D27" s="5">
        <v>114</v>
      </c>
      <c r="E27" s="7">
        <v>648000000</v>
      </c>
      <c r="F27" s="52">
        <v>28</v>
      </c>
      <c r="G27" s="8">
        <v>42056</v>
      </c>
      <c r="H27" s="52">
        <v>365</v>
      </c>
      <c r="I27" s="8">
        <v>45705</v>
      </c>
      <c r="J27" s="25">
        <f t="shared" si="0"/>
        <v>3240000</v>
      </c>
      <c r="K27" s="55" t="str" cm="1">
        <f t="array" ref="K27">fn규모(D27)</f>
        <v>대형</v>
      </c>
    </row>
    <row r="28" spans="1:11">
      <c r="A28" s="52" t="s">
        <v>201</v>
      </c>
      <c r="B28" s="52" t="s">
        <v>192</v>
      </c>
      <c r="C28" s="52" t="s">
        <v>148</v>
      </c>
      <c r="D28" s="5">
        <v>85</v>
      </c>
      <c r="E28" s="7">
        <v>430000000</v>
      </c>
      <c r="F28" s="52">
        <v>10</v>
      </c>
      <c r="G28" s="8">
        <v>38740</v>
      </c>
      <c r="H28" s="52">
        <v>390</v>
      </c>
      <c r="I28" s="8">
        <v>45706</v>
      </c>
      <c r="J28" s="25">
        <f t="shared" si="0"/>
        <v>1720000</v>
      </c>
      <c r="K28" s="55" t="str" cm="1">
        <f t="array" ref="K28">fn규모(D28)</f>
        <v>중형</v>
      </c>
    </row>
    <row r="29" spans="1:11">
      <c r="A29" s="52" t="s">
        <v>204</v>
      </c>
      <c r="B29" s="52" t="s">
        <v>207</v>
      </c>
      <c r="C29" s="52" t="s">
        <v>193</v>
      </c>
      <c r="D29" s="5">
        <v>126</v>
      </c>
      <c r="E29" s="7">
        <v>1400000000</v>
      </c>
      <c r="F29" s="52">
        <v>23</v>
      </c>
      <c r="G29" s="8">
        <v>40929</v>
      </c>
      <c r="H29" s="52">
        <v>490</v>
      </c>
      <c r="I29" s="8">
        <v>45708</v>
      </c>
      <c r="J29" s="25">
        <f t="shared" si="0"/>
        <v>4500000</v>
      </c>
      <c r="K29" s="55" t="str" cm="1">
        <f t="array" ref="K29">fn규모(D29)</f>
        <v>대형</v>
      </c>
    </row>
    <row r="30" spans="1:11">
      <c r="A30" s="52" t="s">
        <v>28</v>
      </c>
      <c r="B30" s="52" t="s">
        <v>200</v>
      </c>
      <c r="C30" s="52" t="s">
        <v>14</v>
      </c>
      <c r="D30" s="5">
        <v>99</v>
      </c>
      <c r="E30" s="7">
        <v>940000000</v>
      </c>
      <c r="F30" s="52">
        <v>8</v>
      </c>
      <c r="G30" s="8">
        <v>42277</v>
      </c>
      <c r="H30" s="52">
        <v>590</v>
      </c>
      <c r="I30" s="8">
        <v>45708</v>
      </c>
      <c r="J30" s="25">
        <f t="shared" si="0"/>
        <v>4500000</v>
      </c>
      <c r="K30" s="55" t="str" cm="1">
        <f t="array" ref="K30">fn규모(D30)</f>
        <v>대형</v>
      </c>
    </row>
    <row r="31" spans="1:11">
      <c r="A31" s="52" t="s">
        <v>23</v>
      </c>
      <c r="B31" s="52" t="s">
        <v>192</v>
      </c>
      <c r="C31" s="52" t="s">
        <v>193</v>
      </c>
      <c r="D31" s="5">
        <v>60</v>
      </c>
      <c r="E31" s="7">
        <v>520000000</v>
      </c>
      <c r="F31" s="52">
        <v>7</v>
      </c>
      <c r="G31" s="8">
        <v>37134</v>
      </c>
      <c r="H31" s="52">
        <v>530</v>
      </c>
      <c r="I31" s="8">
        <v>45710</v>
      </c>
      <c r="J31" s="25">
        <f t="shared" si="0"/>
        <v>2600000</v>
      </c>
      <c r="K31" s="55" t="str" cm="1">
        <f t="array" ref="K31">fn규모(D31)</f>
        <v>소형</v>
      </c>
    </row>
    <row r="32" spans="1:11">
      <c r="A32" s="52" t="s">
        <v>196</v>
      </c>
      <c r="B32" s="52" t="s">
        <v>200</v>
      </c>
      <c r="C32" s="52" t="s">
        <v>202</v>
      </c>
      <c r="D32" s="5">
        <v>85</v>
      </c>
      <c r="E32" s="7">
        <v>420000000</v>
      </c>
      <c r="F32" s="52">
        <v>21</v>
      </c>
      <c r="G32" s="8">
        <v>40579</v>
      </c>
      <c r="H32" s="52">
        <v>770</v>
      </c>
      <c r="I32" s="8">
        <v>45715</v>
      </c>
      <c r="J32" s="25">
        <f t="shared" si="0"/>
        <v>1680000</v>
      </c>
      <c r="K32" s="55" t="str" cm="1">
        <f t="array" ref="K32">fn규모(D32)</f>
        <v>중형</v>
      </c>
    </row>
    <row r="34" spans="1:10">
      <c r="A34" s="13" t="s">
        <v>37</v>
      </c>
      <c r="C34" s="11" t="s">
        <v>38</v>
      </c>
      <c r="E34" t="s">
        <v>50</v>
      </c>
    </row>
    <row r="35" spans="1:10">
      <c r="A35" s="6" t="s">
        <v>39</v>
      </c>
      <c r="B35" s="12" t="s">
        <v>40</v>
      </c>
      <c r="C35" s="12" t="s">
        <v>25</v>
      </c>
      <c r="E35" s="57" t="s">
        <v>148</v>
      </c>
      <c r="F35" s="57" t="s">
        <v>6</v>
      </c>
      <c r="G35" s="16">
        <v>0</v>
      </c>
      <c r="H35" s="17">
        <v>50000000</v>
      </c>
      <c r="I35" s="18">
        <v>100000000</v>
      </c>
      <c r="J35" s="19">
        <v>300000000</v>
      </c>
    </row>
    <row r="36" spans="1:10">
      <c r="A36" s="6" t="s">
        <v>41</v>
      </c>
      <c r="B36" s="6" t="str">
        <f t="array" ref="B36">TEXT(AVERAGE(IF(($A$3:$A$32=$A36)*($C$3:$C$32=B$35),$E$3:$E$32)),"#,,")</f>
        <v>572</v>
      </c>
      <c r="C36" s="14" t="str">
        <f t="array" ref="C36">TEXT(AVERAGE(IF(($A$3:$A$32=$A36)*($C$3:$C$32=C$35),$E$3:$E$32)),"#,,")</f>
        <v>420</v>
      </c>
      <c r="E36" s="59"/>
      <c r="F36" s="58"/>
      <c r="G36" s="20">
        <v>49999999</v>
      </c>
      <c r="H36" s="20">
        <v>99999999</v>
      </c>
      <c r="I36" s="20">
        <v>299999999</v>
      </c>
      <c r="J36" s="20"/>
    </row>
    <row r="37" spans="1:10">
      <c r="A37" s="6" t="s">
        <v>42</v>
      </c>
      <c r="B37" s="14" t="str">
        <f t="array" ref="B37">TEXT(AVERAGE(IF(($A$3:$A$32=$A37)*($C$3:$C$32=B$35),$E$3:$E$32)),"#,,")</f>
        <v>704</v>
      </c>
      <c r="C37" s="14" t="str">
        <f t="array" ref="C37">TEXT(AVERAGE(IF(($A$3:$A$32=$A37)*($C$3:$C$32=C$35),$E$3:$E$32)),"#,,")</f>
        <v>280</v>
      </c>
      <c r="E37" s="59"/>
      <c r="F37" s="52" t="s">
        <v>52</v>
      </c>
      <c r="G37" s="21">
        <v>5.0000000000000001E-3</v>
      </c>
      <c r="H37" s="21">
        <v>4.0000000000000001E-3</v>
      </c>
      <c r="I37" s="21">
        <v>3.0000000000000001E-3</v>
      </c>
      <c r="J37" s="21">
        <v>4.0000000000000001E-3</v>
      </c>
    </row>
    <row r="38" spans="1:10">
      <c r="A38" s="6" t="s">
        <v>43</v>
      </c>
      <c r="B38" s="14" t="str">
        <f t="array" ref="B38">TEXT(AVERAGE(IF(($A$3:$A$32=$A38)*($C$3:$C$32=B$35),$E$3:$E$32)),"#,,")</f>
        <v>613</v>
      </c>
      <c r="C38" s="14" t="str">
        <f t="array" ref="C38">TEXT(AVERAGE(IF(($A$3:$A$32=$A38)*($C$3:$C$32=C$35),$E$3:$E$32)),"#,,")</f>
        <v>310</v>
      </c>
      <c r="E38" s="58"/>
      <c r="F38" s="52" t="s">
        <v>208</v>
      </c>
      <c r="G38" s="20">
        <v>200000</v>
      </c>
      <c r="H38" s="20">
        <v>300000</v>
      </c>
      <c r="I38" s="20">
        <v>800000</v>
      </c>
      <c r="J38" s="20">
        <v>2400000</v>
      </c>
    </row>
    <row r="39" spans="1:10">
      <c r="A39" s="6" t="s">
        <v>44</v>
      </c>
      <c r="B39" s="14" t="str">
        <f t="array" ref="B39">TEXT(AVERAGE(IF(($A$3:$A$32=$A39)*($C$3:$C$32=B$35),$E$3:$E$32)),"#,,")</f>
        <v>756</v>
      </c>
      <c r="C39" s="14" t="str">
        <f t="array" ref="C39">TEXT(AVERAGE(IF(($A$3:$A$32=$A39)*($C$3:$C$32=C$35),$E$3:$E$32)),"#,,")</f>
        <v>540</v>
      </c>
      <c r="E39" s="57" t="s">
        <v>14</v>
      </c>
      <c r="F39" s="57" t="s">
        <v>6</v>
      </c>
      <c r="G39" s="16">
        <v>0</v>
      </c>
      <c r="H39" s="17">
        <v>50000000</v>
      </c>
      <c r="I39" s="18">
        <v>100000000</v>
      </c>
      <c r="J39" s="19">
        <v>300000000</v>
      </c>
    </row>
    <row r="40" spans="1:10">
      <c r="A40" s="6" t="s">
        <v>45</v>
      </c>
      <c r="B40" s="14" t="str">
        <f t="array" ref="B40">TEXT(AVERAGE(IF(($A$3:$A$32=$A40)*($C$3:$C$32=B$35),$E$3:$E$32)),"#,,")</f>
        <v>593</v>
      </c>
      <c r="C40" s="14" t="str">
        <f t="array" ref="C40">TEXT(AVERAGE(IF(($A$3:$A$32=$A40)*($C$3:$C$32=C$35),$E$3:$E$32)),"#,,")</f>
        <v>220</v>
      </c>
      <c r="E40" s="59"/>
      <c r="F40" s="58"/>
      <c r="G40" s="20">
        <v>49999999</v>
      </c>
      <c r="H40" s="20">
        <v>99999999</v>
      </c>
      <c r="I40" s="20">
        <v>299999999</v>
      </c>
      <c r="J40" s="20"/>
    </row>
    <row r="41" spans="1:10">
      <c r="A41" s="6" t="s">
        <v>46</v>
      </c>
      <c r="B41" s="14" t="str">
        <f t="array" ref="B41">TEXT(AVERAGE(IF(($A$3:$A$32=$A41)*($C$3:$C$32=B$35),$E$3:$E$32)),"#,,")</f>
        <v>640</v>
      </c>
      <c r="C41" s="14" t="str">
        <f t="array" ref="C41">TEXT(AVERAGE(IF(($A$3:$A$32=$A41)*($C$3:$C$32=C$35),$E$3:$E$32)),"#,,")</f>
        <v>460</v>
      </c>
      <c r="E41" s="59"/>
      <c r="F41" s="52" t="s">
        <v>52</v>
      </c>
      <c r="G41" s="21">
        <v>6.0000000000000001E-3</v>
      </c>
      <c r="H41" s="21">
        <v>5.0000000000000001E-3</v>
      </c>
      <c r="I41" s="21">
        <v>4.0000000000000001E-3</v>
      </c>
      <c r="J41" s="21">
        <v>5.0000000000000001E-3</v>
      </c>
    </row>
    <row r="42" spans="1:10">
      <c r="E42" s="58"/>
      <c r="F42" s="52" t="s">
        <v>208</v>
      </c>
      <c r="G42" s="20">
        <v>250000</v>
      </c>
      <c r="H42" s="20">
        <v>800000</v>
      </c>
      <c r="I42" s="20">
        <v>2400000</v>
      </c>
      <c r="J42" s="20">
        <v>4500000</v>
      </c>
    </row>
    <row r="43" spans="1:10">
      <c r="A43" s="13" t="s">
        <v>47</v>
      </c>
      <c r="I43" s="15"/>
      <c r="J43" s="15"/>
    </row>
    <row r="44" spans="1:10">
      <c r="A44" s="56" t="s">
        <v>48</v>
      </c>
      <c r="B44" s="56"/>
      <c r="C44" s="12" t="s">
        <v>49</v>
      </c>
      <c r="E44" t="s">
        <v>53</v>
      </c>
    </row>
    <row r="45" spans="1:10">
      <c r="A45" s="6">
        <v>40</v>
      </c>
      <c r="B45" s="6">
        <v>59</v>
      </c>
      <c r="C45" s="14" t="str">
        <f t="array" ref="C45">COUNT(IF(($D$3:$D$32&gt;=A45)*($D$3:$D$32&lt;=B45),1))&amp;"건"</f>
        <v>1건</v>
      </c>
      <c r="E45" s="6" t="s">
        <v>54</v>
      </c>
      <c r="F45" s="12" t="s">
        <v>55</v>
      </c>
    </row>
    <row r="46" spans="1:10">
      <c r="A46" s="6">
        <v>60</v>
      </c>
      <c r="B46" s="6">
        <v>79</v>
      </c>
      <c r="C46" s="14" t="str">
        <f t="array" ref="C46">COUNT(IF(($D$3:$D$32&gt;=A46)*($D$3:$D$32&lt;=B46),1))&amp;"건"</f>
        <v>9건</v>
      </c>
      <c r="E46" s="6" t="s">
        <v>33</v>
      </c>
      <c r="F46" s="6" t="str">
        <f t="array" ref="F46">INDEX($B$3:$B$32,MATCH(MAX(($C$3:$C$32=E46)*$E$3:$E$32),($C$3:$C$32=E46)*$E$3:$E$32,0))</f>
        <v>I-PARK</v>
      </c>
    </row>
    <row r="47" spans="1:10">
      <c r="A47" s="6">
        <v>80</v>
      </c>
      <c r="B47" s="6">
        <v>99</v>
      </c>
      <c r="C47" s="14" t="str">
        <f t="array" ref="C47">COUNT(IF(($D$3:$D$32&gt;=A47)*($D$3:$D$32&lt;=B47),1))&amp;"건"</f>
        <v>13건</v>
      </c>
      <c r="E47" s="6" t="s">
        <v>51</v>
      </c>
      <c r="F47" s="14" t="str">
        <f t="array" ref="F47">INDEX($B$3:$B$32,MATCH(MAX(($C$3:$C$32=E47)*$E$3:$E$32),($C$3:$C$32=E47)*$E$3:$E$32,0))</f>
        <v>레미안</v>
      </c>
    </row>
    <row r="48" spans="1:10">
      <c r="A48" s="6">
        <v>100</v>
      </c>
      <c r="B48" s="6">
        <v>150</v>
      </c>
      <c r="C48" s="14" t="str">
        <f t="array" ref="C48">COUNT(IF(($D$3:$D$32&gt;=A48)*($D$3:$D$32&lt;=B48),1))&amp;"건"</f>
        <v>6건</v>
      </c>
    </row>
  </sheetData>
  <mergeCells count="5">
    <mergeCell ref="A44:B44"/>
    <mergeCell ref="F39:F40"/>
    <mergeCell ref="E39:E42"/>
    <mergeCell ref="F35:F36"/>
    <mergeCell ref="E35:E38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0EC98-DCF5-4F28-B1A7-D68351A66CB8}">
  <dimension ref="B2:F13"/>
  <sheetViews>
    <sheetView workbookViewId="0"/>
  </sheetViews>
  <sheetFormatPr defaultRowHeight="16.5"/>
  <cols>
    <col min="2" max="2" width="15.75" bestFit="1" customWidth="1"/>
    <col min="3" max="3" width="11" bestFit="1" customWidth="1"/>
    <col min="4" max="6" width="13.125" bestFit="1" customWidth="1"/>
    <col min="7" max="7" width="10.75" bestFit="1" customWidth="1"/>
    <col min="8" max="8" width="10" bestFit="1" customWidth="1"/>
  </cols>
  <sheetData>
    <row r="2" spans="2:6">
      <c r="B2" s="48" t="s">
        <v>141</v>
      </c>
      <c r="C2" s="2"/>
      <c r="D2" s="48" t="s">
        <v>94</v>
      </c>
      <c r="E2" s="2"/>
      <c r="F2" s="2"/>
    </row>
    <row r="3" spans="2:6">
      <c r="B3" s="48" t="s">
        <v>140</v>
      </c>
      <c r="C3" s="48" t="s">
        <v>95</v>
      </c>
      <c r="D3" s="49" t="s">
        <v>96</v>
      </c>
      <c r="E3" s="49" t="s">
        <v>97</v>
      </c>
      <c r="F3" s="49" t="s">
        <v>99</v>
      </c>
    </row>
    <row r="4" spans="2:6">
      <c r="B4" s="2" t="s">
        <v>139</v>
      </c>
      <c r="C4" s="2"/>
      <c r="D4" s="22">
        <v>5940000</v>
      </c>
      <c r="E4" s="22" t="s">
        <v>142</v>
      </c>
      <c r="F4" s="22">
        <v>5940000</v>
      </c>
    </row>
    <row r="5" spans="2:6">
      <c r="B5" s="2" t="s">
        <v>209</v>
      </c>
      <c r="C5" s="2"/>
      <c r="D5" s="22" t="s">
        <v>142</v>
      </c>
      <c r="E5" s="22">
        <v>1680000</v>
      </c>
      <c r="F5" s="22">
        <v>1680000</v>
      </c>
    </row>
    <row r="6" spans="2:6">
      <c r="B6" s="2" t="s">
        <v>210</v>
      </c>
      <c r="C6" s="2"/>
      <c r="D6" s="22">
        <v>8400000</v>
      </c>
      <c r="E6" s="22">
        <v>1720000</v>
      </c>
      <c r="F6" s="22">
        <v>5060000</v>
      </c>
    </row>
    <row r="7" spans="2:6">
      <c r="B7" s="2" t="s">
        <v>211</v>
      </c>
      <c r="C7" s="2"/>
      <c r="D7" s="22">
        <v>3452000</v>
      </c>
      <c r="E7" s="22" t="s">
        <v>142</v>
      </c>
      <c r="F7" s="22">
        <v>3452000</v>
      </c>
    </row>
    <row r="8" spans="2:6">
      <c r="B8" s="2" t="s">
        <v>212</v>
      </c>
      <c r="C8" s="2"/>
      <c r="D8" s="22">
        <v>4568666.666666667</v>
      </c>
      <c r="E8" s="22">
        <v>1480000</v>
      </c>
      <c r="F8" s="22">
        <v>3333200</v>
      </c>
    </row>
    <row r="9" spans="2:6">
      <c r="B9" s="2" t="s">
        <v>213</v>
      </c>
      <c r="C9" s="2"/>
      <c r="D9" s="22">
        <v>2572666.6666666665</v>
      </c>
      <c r="E9" s="22">
        <v>1940000</v>
      </c>
      <c r="F9" s="22">
        <v>2414500</v>
      </c>
    </row>
    <row r="10" spans="2:6">
      <c r="B10" s="2" t="s">
        <v>214</v>
      </c>
      <c r="C10" s="2"/>
      <c r="D10" s="22">
        <v>1360000</v>
      </c>
      <c r="E10" s="22">
        <v>1153333.3333333333</v>
      </c>
      <c r="F10" s="22">
        <v>1205000</v>
      </c>
    </row>
    <row r="11" spans="2:6">
      <c r="B11" s="2" t="s">
        <v>215</v>
      </c>
      <c r="C11" s="2"/>
      <c r="D11" s="22">
        <v>6330000</v>
      </c>
      <c r="E11" s="22" t="s">
        <v>142</v>
      </c>
      <c r="F11" s="22">
        <v>6330000</v>
      </c>
    </row>
    <row r="12" spans="2:6">
      <c r="B12" s="2" t="s">
        <v>216</v>
      </c>
      <c r="C12" s="2"/>
      <c r="D12" s="22">
        <v>2319000</v>
      </c>
      <c r="E12" s="22" t="s">
        <v>142</v>
      </c>
      <c r="F12" s="22">
        <v>2319000</v>
      </c>
    </row>
    <row r="13" spans="2:6">
      <c r="B13" s="2" t="s">
        <v>99</v>
      </c>
      <c r="C13" s="2"/>
      <c r="D13" s="22">
        <v>3589952.3809523811</v>
      </c>
      <c r="E13" s="22">
        <v>1522222.2222222222</v>
      </c>
      <c r="F13" s="22">
        <v>2969633.3333333335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G18"/>
  <sheetViews>
    <sheetView workbookViewId="0"/>
  </sheetViews>
  <sheetFormatPr defaultRowHeight="16.5"/>
  <cols>
    <col min="3" max="5" width="10.375" bestFit="1" customWidth="1"/>
    <col min="6" max="6" width="14.125" bestFit="1" customWidth="1"/>
    <col min="7" max="7" width="12.625" bestFit="1" customWidth="1"/>
  </cols>
  <sheetData>
    <row r="2" spans="2:7">
      <c r="B2" s="10" t="s">
        <v>1</v>
      </c>
      <c r="C2" s="10" t="s">
        <v>3</v>
      </c>
      <c r="D2" s="10" t="s">
        <v>2</v>
      </c>
      <c r="E2" s="10" t="s">
        <v>4</v>
      </c>
      <c r="F2" s="10" t="s">
        <v>7</v>
      </c>
      <c r="G2" s="10" t="s">
        <v>6</v>
      </c>
    </row>
    <row r="3" spans="2:7">
      <c r="B3" s="50" t="s">
        <v>12</v>
      </c>
      <c r="C3" s="50" t="s">
        <v>14</v>
      </c>
      <c r="D3" s="51" t="s">
        <v>13</v>
      </c>
      <c r="E3" s="5">
        <v>118</v>
      </c>
      <c r="F3" s="51">
        <v>15</v>
      </c>
      <c r="G3" s="7">
        <v>693000000</v>
      </c>
    </row>
    <row r="4" spans="2:7">
      <c r="B4" s="50" t="s">
        <v>16</v>
      </c>
      <c r="C4" s="50" t="s">
        <v>14</v>
      </c>
      <c r="D4" s="51" t="s">
        <v>17</v>
      </c>
      <c r="E4" s="5">
        <v>60</v>
      </c>
      <c r="F4" s="51">
        <v>19</v>
      </c>
      <c r="G4" s="7">
        <v>730000000</v>
      </c>
    </row>
    <row r="5" spans="2:7">
      <c r="B5" s="50" t="s">
        <v>19</v>
      </c>
      <c r="C5" s="50" t="s">
        <v>14</v>
      </c>
      <c r="D5" s="51" t="s">
        <v>20</v>
      </c>
      <c r="E5" s="5">
        <v>76</v>
      </c>
      <c r="F5" s="51">
        <v>20</v>
      </c>
      <c r="G5" s="7">
        <v>470000000</v>
      </c>
    </row>
    <row r="6" spans="2:7">
      <c r="B6" s="50" t="s">
        <v>22</v>
      </c>
      <c r="C6" s="50" t="s">
        <v>14</v>
      </c>
      <c r="D6" s="51" t="s">
        <v>13</v>
      </c>
      <c r="E6" s="5">
        <v>59</v>
      </c>
      <c r="F6" s="51">
        <v>9</v>
      </c>
      <c r="G6" s="7">
        <v>560000000</v>
      </c>
    </row>
    <row r="7" spans="2:7">
      <c r="B7" s="50" t="s">
        <v>23</v>
      </c>
      <c r="C7" s="50" t="s">
        <v>25</v>
      </c>
      <c r="D7" s="51" t="s">
        <v>24</v>
      </c>
      <c r="E7" s="5">
        <v>60</v>
      </c>
      <c r="F7" s="51">
        <v>8</v>
      </c>
      <c r="G7" s="7">
        <v>220000000</v>
      </c>
    </row>
    <row r="8" spans="2:7">
      <c r="B8" s="50" t="s">
        <v>26</v>
      </c>
      <c r="C8" s="50" t="s">
        <v>14</v>
      </c>
      <c r="D8" s="51" t="s">
        <v>17</v>
      </c>
      <c r="E8" s="5">
        <v>84</v>
      </c>
      <c r="F8" s="51">
        <v>8</v>
      </c>
      <c r="G8" s="7">
        <v>529000000</v>
      </c>
    </row>
    <row r="9" spans="2:7">
      <c r="B9" s="50" t="s">
        <v>23</v>
      </c>
      <c r="C9" s="50" t="s">
        <v>14</v>
      </c>
      <c r="D9" s="51" t="s">
        <v>27</v>
      </c>
      <c r="E9" s="5">
        <v>112</v>
      </c>
      <c r="F9" s="51">
        <v>10</v>
      </c>
      <c r="G9" s="7">
        <v>610000000</v>
      </c>
    </row>
    <row r="10" spans="2:7">
      <c r="B10" s="50" t="s">
        <v>22</v>
      </c>
      <c r="C10" s="50" t="s">
        <v>14</v>
      </c>
      <c r="D10" s="51" t="s">
        <v>17</v>
      </c>
      <c r="E10" s="5">
        <v>85</v>
      </c>
      <c r="F10" s="51">
        <v>26</v>
      </c>
      <c r="G10" s="7">
        <v>710000000</v>
      </c>
    </row>
    <row r="11" spans="2:7">
      <c r="B11" s="50" t="s">
        <v>28</v>
      </c>
      <c r="C11" s="50" t="s">
        <v>25</v>
      </c>
      <c r="D11" s="51" t="s">
        <v>20</v>
      </c>
      <c r="E11" s="5">
        <v>60</v>
      </c>
      <c r="F11" s="51">
        <v>29</v>
      </c>
      <c r="G11" s="7">
        <v>490000000</v>
      </c>
    </row>
    <row r="12" spans="2:7">
      <c r="B12" s="50" t="s">
        <v>12</v>
      </c>
      <c r="C12" s="50" t="s">
        <v>14</v>
      </c>
      <c r="D12" s="51" t="s">
        <v>27</v>
      </c>
      <c r="E12" s="5">
        <v>112</v>
      </c>
      <c r="F12" s="51">
        <v>3</v>
      </c>
      <c r="G12" s="7">
        <v>990000000</v>
      </c>
    </row>
    <row r="13" spans="2:7">
      <c r="B13" s="50" t="s">
        <v>29</v>
      </c>
      <c r="C13" s="50" t="s">
        <v>25</v>
      </c>
      <c r="D13" s="51" t="s">
        <v>30</v>
      </c>
      <c r="E13" s="5">
        <v>85</v>
      </c>
      <c r="F13" s="51">
        <v>26</v>
      </c>
      <c r="G13" s="7">
        <v>540000000</v>
      </c>
    </row>
    <row r="14" spans="2:7">
      <c r="B14" s="50" t="s">
        <v>26</v>
      </c>
      <c r="C14" s="50" t="s">
        <v>14</v>
      </c>
      <c r="D14" s="51" t="s">
        <v>17</v>
      </c>
      <c r="E14" s="5">
        <v>101</v>
      </c>
      <c r="F14" s="51">
        <v>16</v>
      </c>
      <c r="G14" s="9">
        <v>421000000</v>
      </c>
    </row>
    <row r="15" spans="2:7">
      <c r="B15" s="50" t="s">
        <v>19</v>
      </c>
      <c r="C15" s="50" t="s">
        <v>14</v>
      </c>
      <c r="D15" s="51" t="s">
        <v>17</v>
      </c>
      <c r="E15" s="5">
        <v>85</v>
      </c>
      <c r="F15" s="51">
        <v>17</v>
      </c>
      <c r="G15" s="7">
        <v>690000000</v>
      </c>
    </row>
    <row r="16" spans="2:7">
      <c r="B16" s="50" t="s">
        <v>12</v>
      </c>
      <c r="C16" s="50" t="s">
        <v>25</v>
      </c>
      <c r="D16" s="51" t="s">
        <v>20</v>
      </c>
      <c r="E16" s="5">
        <v>85</v>
      </c>
      <c r="F16" s="51">
        <v>21</v>
      </c>
      <c r="G16" s="7">
        <v>280000000</v>
      </c>
    </row>
    <row r="17" spans="2:7">
      <c r="B17" s="50" t="s">
        <v>26</v>
      </c>
      <c r="C17" s="50" t="s">
        <v>25</v>
      </c>
      <c r="D17" s="51" t="s">
        <v>13</v>
      </c>
      <c r="E17" s="5">
        <v>60</v>
      </c>
      <c r="F17" s="51">
        <v>4</v>
      </c>
      <c r="G17" s="7">
        <v>430000000</v>
      </c>
    </row>
    <row r="18" spans="2:7">
      <c r="B18" s="50" t="s">
        <v>19</v>
      </c>
      <c r="C18" s="50" t="s">
        <v>14</v>
      </c>
      <c r="D18" s="51" t="s">
        <v>13</v>
      </c>
      <c r="E18" s="5">
        <v>75</v>
      </c>
      <c r="F18" s="51">
        <v>15</v>
      </c>
      <c r="G18" s="7">
        <v>680000000</v>
      </c>
    </row>
  </sheetData>
  <sortState xmlns:xlrd2="http://schemas.microsoft.com/office/spreadsheetml/2017/richdata2" columnSort="1" ref="B2:G18">
    <sortCondition ref="B2:G2" customList="지역명,거래종류,아파트명,전용면적,층수,거래가"/>
  </sortState>
  <phoneticPr fontId="2" type="noConversion"/>
  <dataValidations count="1">
    <dataValidation type="custom" allowBlank="1" showInputMessage="1" showErrorMessage="1" errorTitle="전용면적오류" error="3.3으로 나눈 몫이 38이하로 입력하세요." promptTitle="전용면적 38이하" prompt="최대125 면적까지 입력하세요." sqref="E3:E18" xr:uid="{00000000-0002-0000-0400-000000000000}">
      <formula1>QUOTIENT(E3,3.3)&lt;=38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4"/>
  <sheetViews>
    <sheetView workbookViewId="0">
      <selection sqref="A1:C1"/>
    </sheetView>
  </sheetViews>
  <sheetFormatPr defaultRowHeight="16.5"/>
  <cols>
    <col min="1" max="1" width="8.625" style="2"/>
  </cols>
  <sheetData>
    <row r="1" spans="1:3" ht="20.25">
      <c r="A1" s="60" t="s">
        <v>57</v>
      </c>
      <c r="B1" s="60"/>
      <c r="C1" s="60"/>
    </row>
    <row r="2" spans="1:3">
      <c r="A2" s="6" t="s">
        <v>58</v>
      </c>
      <c r="B2" s="6" t="s">
        <v>59</v>
      </c>
      <c r="C2" s="6" t="s">
        <v>60</v>
      </c>
    </row>
    <row r="3" spans="1:3">
      <c r="A3" s="6" t="s">
        <v>61</v>
      </c>
      <c r="B3" s="20">
        <v>46168.934000000001</v>
      </c>
      <c r="C3" s="20">
        <v>45153.389000000003</v>
      </c>
    </row>
    <row r="4" spans="1:3">
      <c r="A4" s="6" t="s">
        <v>62</v>
      </c>
      <c r="B4" s="20">
        <v>39481.803</v>
      </c>
      <c r="C4" s="20">
        <v>36651.436999999998</v>
      </c>
    </row>
    <row r="5" spans="1:3">
      <c r="A5" s="6" t="s">
        <v>63</v>
      </c>
      <c r="B5" s="20">
        <v>47003.205999999998</v>
      </c>
      <c r="C5" s="20">
        <v>41992.349000000002</v>
      </c>
    </row>
    <row r="6" spans="1:3">
      <c r="A6" s="6" t="s">
        <v>64</v>
      </c>
      <c r="B6" s="20">
        <v>48781.156000000003</v>
      </c>
      <c r="C6" s="20">
        <v>45047.163999999997</v>
      </c>
    </row>
    <row r="7" spans="1:3">
      <c r="A7" s="6" t="s">
        <v>65</v>
      </c>
      <c r="B7" s="20">
        <v>45703.947999999997</v>
      </c>
      <c r="C7" s="20">
        <v>43619.667000000001</v>
      </c>
    </row>
    <row r="8" spans="1:3">
      <c r="A8" s="6" t="s">
        <v>66</v>
      </c>
      <c r="B8" s="20">
        <v>44008.404000000002</v>
      </c>
      <c r="C8" s="20">
        <v>40104.811999999998</v>
      </c>
    </row>
    <row r="9" spans="1:3">
      <c r="A9" s="6" t="s">
        <v>67</v>
      </c>
      <c r="B9" s="20">
        <v>46078.220999999998</v>
      </c>
      <c r="C9" s="20">
        <v>43762.245000000003</v>
      </c>
    </row>
    <row r="10" spans="1:3">
      <c r="A10" s="6" t="s">
        <v>68</v>
      </c>
      <c r="B10" s="20">
        <v>44020.065000000002</v>
      </c>
      <c r="C10" s="20">
        <v>42457.25</v>
      </c>
    </row>
    <row r="11" spans="1:3">
      <c r="A11" s="6" t="s">
        <v>69</v>
      </c>
      <c r="B11" s="20">
        <v>44629.053</v>
      </c>
      <c r="C11" s="20">
        <v>38741.472999999998</v>
      </c>
    </row>
    <row r="12" spans="1:3">
      <c r="A12" s="6" t="s">
        <v>70</v>
      </c>
      <c r="B12" s="20">
        <v>46648.756000000001</v>
      </c>
      <c r="C12" s="20">
        <v>41396.517</v>
      </c>
    </row>
    <row r="13" spans="1:3">
      <c r="A13" s="6" t="s">
        <v>71</v>
      </c>
      <c r="B13" s="20">
        <v>44040.722000000002</v>
      </c>
      <c r="C13" s="20">
        <v>40729.214999999997</v>
      </c>
    </row>
    <row r="14" spans="1:3">
      <c r="A14" s="6" t="s">
        <v>72</v>
      </c>
      <c r="B14" s="20">
        <v>45668.341</v>
      </c>
      <c r="C14" s="20">
        <v>43687.43</v>
      </c>
    </row>
  </sheetData>
  <mergeCells count="1">
    <mergeCell ref="A1:C1"/>
  </mergeCells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5:M33"/>
  <sheetViews>
    <sheetView workbookViewId="0">
      <selection activeCell="E5" sqref="E5"/>
    </sheetView>
  </sheetViews>
  <sheetFormatPr defaultRowHeight="16.5"/>
  <cols>
    <col min="13" max="13" width="8.625" style="47"/>
  </cols>
  <sheetData>
    <row r="5" spans="2:13">
      <c r="B5" s="42" t="s">
        <v>100</v>
      </c>
      <c r="C5" s="43" t="s">
        <v>101</v>
      </c>
      <c r="D5" s="43" t="s">
        <v>102</v>
      </c>
      <c r="E5" s="53">
        <v>45719</v>
      </c>
      <c r="F5" s="53">
        <v>45726</v>
      </c>
      <c r="G5" s="53">
        <v>45733</v>
      </c>
      <c r="H5" s="53">
        <v>45740</v>
      </c>
      <c r="I5" s="53">
        <v>45747</v>
      </c>
      <c r="J5" s="53">
        <v>45754</v>
      </c>
      <c r="K5" s="53">
        <v>45761</v>
      </c>
      <c r="L5" s="53">
        <v>45768</v>
      </c>
      <c r="M5" s="44" t="s">
        <v>138</v>
      </c>
    </row>
    <row r="6" spans="2:13">
      <c r="B6" s="27">
        <v>1</v>
      </c>
      <c r="C6" s="28" t="s">
        <v>103</v>
      </c>
      <c r="D6" s="27" t="s">
        <v>104</v>
      </c>
      <c r="E6" s="45">
        <v>1</v>
      </c>
      <c r="F6" s="45">
        <v>1</v>
      </c>
      <c r="G6" s="45">
        <v>1</v>
      </c>
      <c r="H6" s="45">
        <v>1</v>
      </c>
      <c r="I6" s="45">
        <v>1</v>
      </c>
      <c r="J6" s="45">
        <v>1</v>
      </c>
      <c r="K6" s="45">
        <v>1</v>
      </c>
      <c r="L6" s="45">
        <v>1</v>
      </c>
      <c r="M6" s="20">
        <f>SUM(E6:L6)</f>
        <v>8</v>
      </c>
    </row>
    <row r="7" spans="2:13">
      <c r="B7" s="29">
        <v>1</v>
      </c>
      <c r="C7" s="30" t="s">
        <v>103</v>
      </c>
      <c r="D7" s="31" t="s">
        <v>105</v>
      </c>
      <c r="E7" s="45">
        <v>1</v>
      </c>
      <c r="F7" s="45">
        <v>1</v>
      </c>
      <c r="G7" s="45">
        <v>0</v>
      </c>
      <c r="H7" s="45">
        <v>1</v>
      </c>
      <c r="I7" s="45">
        <v>1</v>
      </c>
      <c r="J7" s="45">
        <v>1</v>
      </c>
      <c r="K7" s="45">
        <v>1</v>
      </c>
      <c r="L7" s="45">
        <v>1</v>
      </c>
      <c r="M7" s="20">
        <f t="shared" ref="M7:M33" si="0">SUM(E7:L7)</f>
        <v>7</v>
      </c>
    </row>
    <row r="8" spans="2:13">
      <c r="B8" s="27">
        <v>1</v>
      </c>
      <c r="C8" s="28" t="s">
        <v>103</v>
      </c>
      <c r="D8" s="27" t="s">
        <v>106</v>
      </c>
      <c r="E8" s="45">
        <v>0</v>
      </c>
      <c r="F8" s="45">
        <v>1</v>
      </c>
      <c r="G8" s="45">
        <v>1</v>
      </c>
      <c r="H8" s="45">
        <v>1</v>
      </c>
      <c r="I8" s="45">
        <v>1</v>
      </c>
      <c r="J8" s="45">
        <v>1</v>
      </c>
      <c r="K8" s="45">
        <v>1</v>
      </c>
      <c r="L8" s="45">
        <v>1</v>
      </c>
      <c r="M8" s="20">
        <f t="shared" si="0"/>
        <v>7</v>
      </c>
    </row>
    <row r="9" spans="2:13">
      <c r="B9" s="33">
        <v>1</v>
      </c>
      <c r="C9" s="32" t="s">
        <v>107</v>
      </c>
      <c r="D9" s="35" t="s">
        <v>108</v>
      </c>
      <c r="E9" s="45">
        <v>1</v>
      </c>
      <c r="F9" s="45">
        <v>1</v>
      </c>
      <c r="G9" s="45">
        <v>1</v>
      </c>
      <c r="H9" s="45">
        <v>1</v>
      </c>
      <c r="I9" s="45">
        <v>1</v>
      </c>
      <c r="J9" s="45">
        <v>1</v>
      </c>
      <c r="K9" s="45">
        <v>1</v>
      </c>
      <c r="L9" s="45">
        <v>1</v>
      </c>
      <c r="M9" s="20">
        <f t="shared" si="0"/>
        <v>8</v>
      </c>
    </row>
    <row r="10" spans="2:13">
      <c r="B10" s="33">
        <v>1</v>
      </c>
      <c r="C10" s="32" t="s">
        <v>107</v>
      </c>
      <c r="D10" s="33" t="s">
        <v>109</v>
      </c>
      <c r="E10" s="45">
        <v>0</v>
      </c>
      <c r="F10" s="45">
        <v>1</v>
      </c>
      <c r="G10" s="45">
        <v>1</v>
      </c>
      <c r="H10" s="45">
        <v>1</v>
      </c>
      <c r="I10" s="45">
        <v>1</v>
      </c>
      <c r="J10" s="45">
        <v>1</v>
      </c>
      <c r="K10" s="45">
        <v>1</v>
      </c>
      <c r="L10" s="45">
        <v>1</v>
      </c>
      <c r="M10" s="20">
        <f t="shared" si="0"/>
        <v>7</v>
      </c>
    </row>
    <row r="11" spans="2:13">
      <c r="B11" s="33">
        <v>1</v>
      </c>
      <c r="C11" s="32" t="s">
        <v>107</v>
      </c>
      <c r="D11" s="33" t="s">
        <v>110</v>
      </c>
      <c r="E11" s="45">
        <v>1</v>
      </c>
      <c r="F11" s="45">
        <v>1</v>
      </c>
      <c r="G11" s="45">
        <v>1</v>
      </c>
      <c r="H11" s="45">
        <v>1</v>
      </c>
      <c r="I11" s="45">
        <v>1</v>
      </c>
      <c r="J11" s="45">
        <v>1</v>
      </c>
      <c r="K11" s="45">
        <v>0</v>
      </c>
      <c r="L11" s="45">
        <v>0</v>
      </c>
      <c r="M11" s="20">
        <f t="shared" si="0"/>
        <v>6</v>
      </c>
    </row>
    <row r="12" spans="2:13">
      <c r="B12" s="32">
        <v>1</v>
      </c>
      <c r="C12" s="32" t="s">
        <v>107</v>
      </c>
      <c r="D12" s="33" t="s">
        <v>111</v>
      </c>
      <c r="E12" s="45">
        <v>0</v>
      </c>
      <c r="F12" s="45">
        <v>1</v>
      </c>
      <c r="G12" s="45">
        <v>1</v>
      </c>
      <c r="H12" s="45">
        <v>1</v>
      </c>
      <c r="I12" s="45">
        <v>0</v>
      </c>
      <c r="J12" s="45">
        <v>1</v>
      </c>
      <c r="K12" s="45">
        <v>1</v>
      </c>
      <c r="L12" s="45">
        <v>1</v>
      </c>
      <c r="M12" s="20">
        <f t="shared" si="0"/>
        <v>6</v>
      </c>
    </row>
    <row r="13" spans="2:13">
      <c r="B13" s="34">
        <v>1</v>
      </c>
      <c r="C13" s="34" t="s">
        <v>112</v>
      </c>
      <c r="D13" s="34" t="s">
        <v>113</v>
      </c>
      <c r="E13" s="46">
        <v>1</v>
      </c>
      <c r="F13" s="46">
        <v>1</v>
      </c>
      <c r="G13" s="46">
        <v>1</v>
      </c>
      <c r="H13" s="46">
        <v>1</v>
      </c>
      <c r="I13" s="46">
        <v>1</v>
      </c>
      <c r="J13" s="46">
        <v>1</v>
      </c>
      <c r="K13" s="46">
        <v>1</v>
      </c>
      <c r="L13" s="46">
        <v>1</v>
      </c>
      <c r="M13" s="20">
        <f t="shared" si="0"/>
        <v>8</v>
      </c>
    </row>
    <row r="14" spans="2:13">
      <c r="B14" s="34">
        <v>1</v>
      </c>
      <c r="C14" s="34" t="s">
        <v>112</v>
      </c>
      <c r="D14" s="34" t="s">
        <v>114</v>
      </c>
      <c r="E14" s="46">
        <v>1</v>
      </c>
      <c r="F14" s="46">
        <v>1</v>
      </c>
      <c r="G14" s="46">
        <v>1</v>
      </c>
      <c r="H14" s="46">
        <v>1</v>
      </c>
      <c r="I14" s="46">
        <v>1</v>
      </c>
      <c r="J14" s="46">
        <v>1</v>
      </c>
      <c r="K14" s="46">
        <v>1</v>
      </c>
      <c r="L14" s="46">
        <v>1</v>
      </c>
      <c r="M14" s="20">
        <f t="shared" si="0"/>
        <v>8</v>
      </c>
    </row>
    <row r="15" spans="2:13">
      <c r="B15" s="34">
        <v>1</v>
      </c>
      <c r="C15" s="34" t="s">
        <v>112</v>
      </c>
      <c r="D15" s="34" t="s">
        <v>115</v>
      </c>
      <c r="E15" s="46">
        <v>1</v>
      </c>
      <c r="F15" s="46">
        <v>1</v>
      </c>
      <c r="G15" s="46">
        <v>1</v>
      </c>
      <c r="H15" s="46">
        <v>0</v>
      </c>
      <c r="I15" s="46">
        <v>1</v>
      </c>
      <c r="J15" s="46">
        <v>0</v>
      </c>
      <c r="K15" s="46">
        <v>0</v>
      </c>
      <c r="L15" s="46">
        <v>0</v>
      </c>
      <c r="M15" s="20">
        <f t="shared" si="0"/>
        <v>4</v>
      </c>
    </row>
    <row r="16" spans="2:13">
      <c r="B16" s="32">
        <v>2</v>
      </c>
      <c r="C16" s="32" t="s">
        <v>116</v>
      </c>
      <c r="D16" s="33" t="s">
        <v>117</v>
      </c>
      <c r="E16" s="45">
        <v>1</v>
      </c>
      <c r="F16" s="45">
        <v>1</v>
      </c>
      <c r="G16" s="45">
        <v>1</v>
      </c>
      <c r="H16" s="45">
        <v>1</v>
      </c>
      <c r="I16" s="45">
        <v>1</v>
      </c>
      <c r="J16" s="45">
        <v>1</v>
      </c>
      <c r="K16" s="45">
        <v>1</v>
      </c>
      <c r="L16" s="45">
        <v>1</v>
      </c>
      <c r="M16" s="20">
        <f t="shared" si="0"/>
        <v>8</v>
      </c>
    </row>
    <row r="17" spans="2:13">
      <c r="B17" s="33">
        <v>2</v>
      </c>
      <c r="C17" s="32" t="s">
        <v>116</v>
      </c>
      <c r="D17" s="33" t="s">
        <v>118</v>
      </c>
      <c r="E17" s="45">
        <v>1</v>
      </c>
      <c r="F17" s="45">
        <v>1</v>
      </c>
      <c r="G17" s="45">
        <v>1</v>
      </c>
      <c r="H17" s="45">
        <v>1</v>
      </c>
      <c r="I17" s="45">
        <v>1</v>
      </c>
      <c r="J17" s="45"/>
      <c r="K17" s="45">
        <v>1</v>
      </c>
      <c r="L17" s="45">
        <v>1</v>
      </c>
      <c r="M17" s="20">
        <f t="shared" si="0"/>
        <v>7</v>
      </c>
    </row>
    <row r="18" spans="2:13">
      <c r="B18" s="40">
        <v>2</v>
      </c>
      <c r="C18" s="36" t="s">
        <v>119</v>
      </c>
      <c r="D18" s="27" t="s">
        <v>120</v>
      </c>
      <c r="E18" s="45">
        <v>1</v>
      </c>
      <c r="F18" s="45">
        <v>1</v>
      </c>
      <c r="G18" s="45">
        <v>1</v>
      </c>
      <c r="H18" s="45">
        <v>1</v>
      </c>
      <c r="I18" s="45">
        <v>1</v>
      </c>
      <c r="J18" s="45">
        <v>1</v>
      </c>
      <c r="K18" s="45">
        <v>1</v>
      </c>
      <c r="L18" s="45">
        <v>1</v>
      </c>
      <c r="M18" s="20">
        <f t="shared" si="0"/>
        <v>8</v>
      </c>
    </row>
    <row r="19" spans="2:13">
      <c r="B19" s="27">
        <v>2</v>
      </c>
      <c r="C19" s="36" t="s">
        <v>119</v>
      </c>
      <c r="D19" s="27" t="s">
        <v>121</v>
      </c>
      <c r="E19" s="45">
        <v>1</v>
      </c>
      <c r="F19" s="45">
        <v>1</v>
      </c>
      <c r="G19" s="45">
        <v>1</v>
      </c>
      <c r="H19" s="45">
        <v>1</v>
      </c>
      <c r="I19" s="45">
        <v>1</v>
      </c>
      <c r="J19" s="45">
        <v>1</v>
      </c>
      <c r="K19" s="45">
        <v>1</v>
      </c>
      <c r="L19" s="45">
        <v>1</v>
      </c>
      <c r="M19" s="20">
        <f t="shared" si="0"/>
        <v>8</v>
      </c>
    </row>
    <row r="20" spans="2:13">
      <c r="B20" s="27">
        <v>2</v>
      </c>
      <c r="C20" s="36" t="s">
        <v>119</v>
      </c>
      <c r="D20" s="27" t="s">
        <v>122</v>
      </c>
      <c r="E20" s="45">
        <v>1</v>
      </c>
      <c r="F20" s="45">
        <v>1</v>
      </c>
      <c r="G20" s="45">
        <v>1</v>
      </c>
      <c r="H20" s="45">
        <v>1</v>
      </c>
      <c r="I20" s="45">
        <v>1</v>
      </c>
      <c r="J20" s="45">
        <v>1</v>
      </c>
      <c r="K20" s="45">
        <v>1</v>
      </c>
      <c r="L20" s="45">
        <v>1</v>
      </c>
      <c r="M20" s="20">
        <f t="shared" si="0"/>
        <v>8</v>
      </c>
    </row>
    <row r="21" spans="2:13">
      <c r="B21" s="27">
        <v>2</v>
      </c>
      <c r="C21" s="36" t="s">
        <v>119</v>
      </c>
      <c r="D21" s="27" t="s">
        <v>123</v>
      </c>
      <c r="E21" s="45">
        <v>1</v>
      </c>
      <c r="F21" s="45">
        <v>1</v>
      </c>
      <c r="G21" s="45">
        <v>1</v>
      </c>
      <c r="H21" s="45">
        <v>1</v>
      </c>
      <c r="I21" s="45">
        <v>1</v>
      </c>
      <c r="J21" s="45"/>
      <c r="K21" s="45">
        <v>1</v>
      </c>
      <c r="L21" s="45">
        <v>1</v>
      </c>
      <c r="M21" s="20">
        <f t="shared" si="0"/>
        <v>7</v>
      </c>
    </row>
    <row r="22" spans="2:13">
      <c r="B22" s="37">
        <v>2</v>
      </c>
      <c r="C22" s="37" t="s">
        <v>124</v>
      </c>
      <c r="D22" s="34" t="s">
        <v>125</v>
      </c>
      <c r="E22" s="45">
        <v>1</v>
      </c>
      <c r="F22" s="45">
        <v>1</v>
      </c>
      <c r="G22" s="45">
        <v>1</v>
      </c>
      <c r="H22" s="45">
        <v>1</v>
      </c>
      <c r="I22" s="45">
        <v>1</v>
      </c>
      <c r="J22" s="45">
        <v>1</v>
      </c>
      <c r="K22" s="45">
        <v>1</v>
      </c>
      <c r="L22" s="45">
        <v>1</v>
      </c>
      <c r="M22" s="20">
        <f t="shared" si="0"/>
        <v>8</v>
      </c>
    </row>
    <row r="23" spans="2:13">
      <c r="B23" s="34">
        <v>2</v>
      </c>
      <c r="C23" s="37" t="s">
        <v>124</v>
      </c>
      <c r="D23" s="34" t="s">
        <v>126</v>
      </c>
      <c r="E23" s="45">
        <v>1</v>
      </c>
      <c r="F23" s="45">
        <v>1</v>
      </c>
      <c r="G23" s="45">
        <v>1</v>
      </c>
      <c r="H23" s="45">
        <v>1</v>
      </c>
      <c r="I23" s="45">
        <v>1</v>
      </c>
      <c r="J23" s="45">
        <v>1</v>
      </c>
      <c r="K23" s="45">
        <v>1</v>
      </c>
      <c r="L23" s="45">
        <v>1</v>
      </c>
      <c r="M23" s="20">
        <f t="shared" si="0"/>
        <v>8</v>
      </c>
    </row>
    <row r="24" spans="2:13">
      <c r="B24" s="33">
        <v>2</v>
      </c>
      <c r="C24" s="32" t="s">
        <v>124</v>
      </c>
      <c r="D24" s="33" t="s">
        <v>127</v>
      </c>
      <c r="E24" s="45">
        <v>1</v>
      </c>
      <c r="F24" s="45">
        <v>0</v>
      </c>
      <c r="G24" s="45">
        <v>1</v>
      </c>
      <c r="H24" s="45">
        <v>1</v>
      </c>
      <c r="I24" s="45">
        <v>1</v>
      </c>
      <c r="J24" s="45">
        <v>1</v>
      </c>
      <c r="K24" s="45">
        <v>1</v>
      </c>
      <c r="L24" s="45">
        <v>1</v>
      </c>
      <c r="M24" s="20">
        <f t="shared" si="0"/>
        <v>7</v>
      </c>
    </row>
    <row r="25" spans="2:13">
      <c r="B25" s="34">
        <v>2</v>
      </c>
      <c r="C25" s="37" t="s">
        <v>124</v>
      </c>
      <c r="D25" s="34" t="s">
        <v>128</v>
      </c>
      <c r="E25" s="45">
        <v>1</v>
      </c>
      <c r="F25" s="45">
        <v>1</v>
      </c>
      <c r="G25" s="45">
        <v>0</v>
      </c>
      <c r="H25" s="45">
        <v>1</v>
      </c>
      <c r="I25" s="45">
        <v>0</v>
      </c>
      <c r="J25" s="45">
        <v>0</v>
      </c>
      <c r="K25" s="45">
        <v>1</v>
      </c>
      <c r="L25" s="45">
        <v>1</v>
      </c>
      <c r="M25" s="20">
        <f t="shared" si="0"/>
        <v>5</v>
      </c>
    </row>
    <row r="26" spans="2:13">
      <c r="B26" s="34">
        <v>2</v>
      </c>
      <c r="C26" s="37" t="s">
        <v>124</v>
      </c>
      <c r="D26" s="34" t="s">
        <v>129</v>
      </c>
      <c r="E26" s="45">
        <v>0</v>
      </c>
      <c r="F26" s="45">
        <v>1</v>
      </c>
      <c r="G26" s="45">
        <v>1</v>
      </c>
      <c r="H26" s="45">
        <v>0</v>
      </c>
      <c r="I26" s="45">
        <v>1</v>
      </c>
      <c r="J26" s="45">
        <v>0</v>
      </c>
      <c r="K26" s="45">
        <v>1</v>
      </c>
      <c r="L26" s="45">
        <v>0</v>
      </c>
      <c r="M26" s="20">
        <f t="shared" si="0"/>
        <v>4</v>
      </c>
    </row>
    <row r="27" spans="2:13">
      <c r="B27" s="39">
        <v>2</v>
      </c>
      <c r="C27" s="39" t="s">
        <v>130</v>
      </c>
      <c r="D27" s="38" t="s">
        <v>131</v>
      </c>
      <c r="E27" s="45">
        <v>1</v>
      </c>
      <c r="F27" s="45">
        <v>1</v>
      </c>
      <c r="G27" s="45">
        <v>1</v>
      </c>
      <c r="H27" s="45">
        <v>1</v>
      </c>
      <c r="I27" s="45">
        <v>1</v>
      </c>
      <c r="J27" s="45">
        <v>1</v>
      </c>
      <c r="K27" s="45">
        <v>1</v>
      </c>
      <c r="L27" s="45">
        <v>1</v>
      </c>
      <c r="M27" s="20">
        <f t="shared" si="0"/>
        <v>8</v>
      </c>
    </row>
    <row r="28" spans="2:13">
      <c r="B28" s="38">
        <v>2</v>
      </c>
      <c r="C28" s="39" t="s">
        <v>130</v>
      </c>
      <c r="D28" s="38" t="s">
        <v>132</v>
      </c>
      <c r="E28" s="45">
        <v>1</v>
      </c>
      <c r="F28" s="45">
        <v>1</v>
      </c>
      <c r="G28" s="45">
        <v>1</v>
      </c>
      <c r="H28" s="45">
        <v>1</v>
      </c>
      <c r="I28" s="45">
        <v>1</v>
      </c>
      <c r="J28" s="45">
        <v>1</v>
      </c>
      <c r="K28" s="45">
        <v>1</v>
      </c>
      <c r="L28" s="45">
        <v>1</v>
      </c>
      <c r="M28" s="20">
        <f t="shared" si="0"/>
        <v>8</v>
      </c>
    </row>
    <row r="29" spans="2:13">
      <c r="B29" s="38">
        <v>2</v>
      </c>
      <c r="C29" s="39" t="s">
        <v>130</v>
      </c>
      <c r="D29" s="38" t="s">
        <v>133</v>
      </c>
      <c r="E29" s="45">
        <v>1</v>
      </c>
      <c r="F29" s="45">
        <v>1</v>
      </c>
      <c r="G29" s="45">
        <v>1</v>
      </c>
      <c r="H29" s="45">
        <v>1</v>
      </c>
      <c r="I29" s="45">
        <v>1</v>
      </c>
      <c r="J29" s="45">
        <v>1</v>
      </c>
      <c r="K29" s="45">
        <v>1</v>
      </c>
      <c r="L29" s="45">
        <v>1</v>
      </c>
      <c r="M29" s="20">
        <f t="shared" si="0"/>
        <v>8</v>
      </c>
    </row>
    <row r="30" spans="2:13">
      <c r="B30" s="38">
        <v>2</v>
      </c>
      <c r="C30" s="39" t="s">
        <v>130</v>
      </c>
      <c r="D30" s="38" t="s">
        <v>134</v>
      </c>
      <c r="E30" s="45">
        <v>1</v>
      </c>
      <c r="F30" s="45">
        <v>1</v>
      </c>
      <c r="G30" s="45">
        <v>1</v>
      </c>
      <c r="H30" s="45">
        <v>1</v>
      </c>
      <c r="I30" s="45">
        <v>1</v>
      </c>
      <c r="J30" s="45">
        <v>0</v>
      </c>
      <c r="K30" s="45">
        <v>1</v>
      </c>
      <c r="L30" s="45">
        <v>1</v>
      </c>
      <c r="M30" s="20">
        <f t="shared" si="0"/>
        <v>7</v>
      </c>
    </row>
    <row r="31" spans="2:13">
      <c r="B31" s="38">
        <v>2</v>
      </c>
      <c r="C31" s="39" t="s">
        <v>130</v>
      </c>
      <c r="D31" s="38" t="s">
        <v>135</v>
      </c>
      <c r="E31" s="45">
        <v>0</v>
      </c>
      <c r="F31" s="45">
        <v>1</v>
      </c>
      <c r="G31" s="45">
        <v>1</v>
      </c>
      <c r="H31" s="45">
        <v>1</v>
      </c>
      <c r="I31" s="45">
        <v>0</v>
      </c>
      <c r="J31" s="45">
        <v>1</v>
      </c>
      <c r="K31" s="45">
        <v>1</v>
      </c>
      <c r="L31" s="45">
        <v>1</v>
      </c>
      <c r="M31" s="20">
        <f t="shared" si="0"/>
        <v>6</v>
      </c>
    </row>
    <row r="32" spans="2:13">
      <c r="B32" s="26">
        <v>2</v>
      </c>
      <c r="C32" s="39" t="s">
        <v>130</v>
      </c>
      <c r="D32" s="41" t="s">
        <v>136</v>
      </c>
      <c r="E32" s="45">
        <v>0</v>
      </c>
      <c r="F32" s="45">
        <v>0</v>
      </c>
      <c r="G32" s="45">
        <v>1</v>
      </c>
      <c r="H32" s="45">
        <v>1</v>
      </c>
      <c r="I32" s="45">
        <v>1</v>
      </c>
      <c r="J32" s="45">
        <v>1</v>
      </c>
      <c r="K32" s="45">
        <v>1</v>
      </c>
      <c r="L32" s="45">
        <v>1</v>
      </c>
      <c r="M32" s="20">
        <f t="shared" si="0"/>
        <v>6</v>
      </c>
    </row>
    <row r="33" spans="2:13">
      <c r="B33" s="38">
        <v>2</v>
      </c>
      <c r="C33" s="39" t="s">
        <v>130</v>
      </c>
      <c r="D33" s="38" t="s">
        <v>137</v>
      </c>
      <c r="E33" s="45">
        <v>1</v>
      </c>
      <c r="F33" s="45">
        <v>1</v>
      </c>
      <c r="G33" s="45">
        <v>1</v>
      </c>
      <c r="H33" s="45">
        <v>1</v>
      </c>
      <c r="I33" s="45">
        <v>0</v>
      </c>
      <c r="J33" s="45">
        <v>1</v>
      </c>
      <c r="K33" s="45">
        <v>1</v>
      </c>
      <c r="L33" s="45">
        <v>1</v>
      </c>
      <c r="M33" s="20">
        <f t="shared" si="0"/>
        <v>7</v>
      </c>
    </row>
  </sheetData>
  <phoneticPr fontId="2" type="noConversion"/>
  <conditionalFormatting sqref="M6:M33">
    <cfRule type="iconSet" priority="1">
      <iconSet iconSet="5Quarters">
        <cfvo type="percent" val="0"/>
        <cfvo type="percent" val="20"/>
        <cfvo type="percent" val="40"/>
        <cfvo type="percent" val="70"/>
        <cfvo type="percent" val="90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I20"/>
  <sheetViews>
    <sheetView workbookViewId="0">
      <selection activeCell="D5" sqref="D5"/>
    </sheetView>
  </sheetViews>
  <sheetFormatPr defaultRowHeight="16.5"/>
  <cols>
    <col min="1" max="1" width="12.125" customWidth="1"/>
    <col min="2" max="2" width="10.875" customWidth="1"/>
    <col min="3" max="3" width="15.875" customWidth="1"/>
    <col min="4" max="4" width="14.375" customWidth="1"/>
    <col min="5" max="5" width="18.625" customWidth="1"/>
    <col min="6" max="6" width="16.375" customWidth="1"/>
    <col min="9" max="9" width="17" bestFit="1" customWidth="1"/>
  </cols>
  <sheetData>
    <row r="2" spans="1:9">
      <c r="A2" t="s">
        <v>85</v>
      </c>
    </row>
    <row r="3" spans="1:9">
      <c r="A3" s="6" t="s">
        <v>86</v>
      </c>
      <c r="B3" s="6" t="s">
        <v>73</v>
      </c>
      <c r="C3" s="6" t="s">
        <v>74</v>
      </c>
      <c r="D3" s="6" t="s">
        <v>75</v>
      </c>
      <c r="E3" s="6" t="s">
        <v>76</v>
      </c>
      <c r="F3" s="6" t="s">
        <v>56</v>
      </c>
      <c r="H3" s="6" t="s">
        <v>77</v>
      </c>
      <c r="I3" s="6" t="s">
        <v>79</v>
      </c>
    </row>
    <row r="4" spans="1:9">
      <c r="A4" s="23" t="s">
        <v>91</v>
      </c>
      <c r="B4" s="23" t="s">
        <v>82</v>
      </c>
      <c r="C4" s="23" t="s">
        <v>92</v>
      </c>
      <c r="D4" s="8">
        <v>45785</v>
      </c>
      <c r="E4" s="4">
        <v>36</v>
      </c>
      <c r="F4" s="24" t="s">
        <v>93</v>
      </c>
      <c r="H4" s="6" t="s">
        <v>78</v>
      </c>
      <c r="I4" s="6" t="s">
        <v>88</v>
      </c>
    </row>
    <row r="5" spans="1:9">
      <c r="A5" s="4"/>
      <c r="B5" s="4"/>
      <c r="C5" s="4"/>
      <c r="D5" s="8"/>
      <c r="E5" s="4"/>
      <c r="F5" s="4"/>
      <c r="H5" s="6" t="s">
        <v>81</v>
      </c>
      <c r="I5" s="6" t="s">
        <v>83</v>
      </c>
    </row>
    <row r="6" spans="1:9">
      <c r="A6" s="4"/>
      <c r="B6" s="4"/>
      <c r="C6" s="4"/>
      <c r="D6" s="4"/>
      <c r="E6" s="4"/>
      <c r="F6" s="4"/>
      <c r="H6" s="6" t="s">
        <v>82</v>
      </c>
      <c r="I6" s="6" t="s">
        <v>89</v>
      </c>
    </row>
    <row r="7" spans="1:9">
      <c r="A7" s="4"/>
      <c r="B7" s="4"/>
      <c r="C7" s="4"/>
      <c r="D7" s="4"/>
      <c r="E7" s="4"/>
      <c r="F7" s="4"/>
      <c r="H7" s="6" t="s">
        <v>80</v>
      </c>
      <c r="I7" s="6" t="s">
        <v>84</v>
      </c>
    </row>
    <row r="8" spans="1:9">
      <c r="A8" s="4"/>
      <c r="B8" s="4"/>
      <c r="C8" s="4"/>
      <c r="D8" s="4"/>
      <c r="E8" s="4"/>
      <c r="F8" s="4"/>
      <c r="H8" s="6" t="s">
        <v>87</v>
      </c>
      <c r="I8" s="6" t="s">
        <v>90</v>
      </c>
    </row>
    <row r="9" spans="1:9">
      <c r="A9" s="4"/>
      <c r="B9" s="4"/>
      <c r="C9" s="4"/>
      <c r="D9" s="4"/>
      <c r="E9" s="4"/>
      <c r="F9" s="4"/>
    </row>
    <row r="10" spans="1:9">
      <c r="A10" s="4"/>
      <c r="B10" s="4"/>
      <c r="C10" s="4"/>
      <c r="D10" s="4"/>
      <c r="E10" s="4"/>
      <c r="F10" s="4"/>
    </row>
    <row r="11" spans="1:9">
      <c r="A11" s="4"/>
      <c r="B11" s="4"/>
      <c r="C11" s="4"/>
      <c r="D11" s="4"/>
      <c r="E11" s="4"/>
      <c r="F11" s="4"/>
    </row>
    <row r="12" spans="1:9">
      <c r="A12" s="4"/>
      <c r="B12" s="4"/>
      <c r="C12" s="4"/>
      <c r="D12" s="4"/>
      <c r="E12" s="4"/>
      <c r="F12" s="4"/>
    </row>
    <row r="13" spans="1:9">
      <c r="A13" s="4"/>
      <c r="B13" s="4"/>
      <c r="C13" s="4"/>
      <c r="D13" s="4"/>
      <c r="E13" s="4"/>
      <c r="F13" s="4"/>
    </row>
    <row r="14" spans="1:9">
      <c r="A14" s="4"/>
      <c r="B14" s="4"/>
      <c r="C14" s="4"/>
      <c r="D14" s="4"/>
      <c r="E14" s="4"/>
      <c r="F14" s="4"/>
    </row>
    <row r="15" spans="1:9">
      <c r="A15" s="4"/>
      <c r="B15" s="4"/>
      <c r="C15" s="4"/>
      <c r="D15" s="4"/>
      <c r="E15" s="4"/>
      <c r="F15" s="4"/>
    </row>
    <row r="16" spans="1:9">
      <c r="A16" s="4"/>
      <c r="B16" s="4"/>
      <c r="C16" s="4"/>
      <c r="D16" s="4"/>
      <c r="E16" s="4"/>
      <c r="F16" s="4"/>
    </row>
    <row r="17" spans="1:6">
      <c r="A17" s="4"/>
      <c r="B17" s="4"/>
      <c r="C17" s="4"/>
      <c r="D17" s="4"/>
      <c r="E17" s="4"/>
      <c r="F17" s="4"/>
    </row>
    <row r="18" spans="1:6">
      <c r="A18" s="4"/>
      <c r="B18" s="4"/>
      <c r="C18" s="4"/>
      <c r="D18" s="4"/>
      <c r="E18" s="4"/>
      <c r="F18" s="4"/>
    </row>
    <row r="19" spans="1:6">
      <c r="A19" s="4"/>
      <c r="B19" s="4"/>
      <c r="C19" s="4"/>
      <c r="D19" s="4"/>
      <c r="E19" s="4"/>
      <c r="F19" s="4"/>
    </row>
    <row r="20" spans="1:6">
      <c r="A20" s="4"/>
      <c r="B20" s="4"/>
      <c r="C20" s="4"/>
      <c r="D20" s="4"/>
      <c r="E20" s="4"/>
      <c r="F20" s="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md대출등록">
          <controlPr defaultSize="0" autoLine="0" r:id="rId5">
            <anchor moveWithCells="1">
              <from>
                <xdr:col>5</xdr:col>
                <xdr:colOff>95250</xdr:colOff>
                <xdr:row>0</xdr:row>
                <xdr:rowOff>57150</xdr:rowOff>
              </from>
              <to>
                <xdr:col>5</xdr:col>
                <xdr:colOff>1181100</xdr:colOff>
                <xdr:row>1</xdr:row>
                <xdr:rowOff>200025</xdr:rowOff>
              </to>
            </anchor>
          </controlPr>
        </control>
      </mc:Choice>
      <mc:Fallback>
        <control shapeId="7169" r:id="rId4" name="cmd대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2022-04-30T09:10:04Z</cp:lastPrinted>
  <dcterms:created xsi:type="dcterms:W3CDTF">2020-06-07T13:37:33Z</dcterms:created>
  <dcterms:modified xsi:type="dcterms:W3CDTF">2023-10-15T06:31:00Z</dcterms:modified>
</cp:coreProperties>
</file>