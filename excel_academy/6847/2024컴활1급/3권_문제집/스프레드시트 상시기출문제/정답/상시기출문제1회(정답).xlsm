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8239A3E5-F4BB-49FD-8158-054F37622CD6}" xr6:coauthVersionLast="47" xr6:coauthVersionMax="47" xr10:uidLastSave="{00000000-0000-0000-0000-000000000000}"/>
  <bookViews>
    <workbookView xWindow="510" yWindow="2930" windowWidth="17780" windowHeight="15920" tabRatio="912" activeTab="1" xr2:uid="{00000000-000D-0000-FFFF-FFFF00000000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6" r:id="rId5"/>
    <sheet name="기타작업-2" sheetId="5" r:id="rId6"/>
    <sheet name="기타작업-3" sheetId="7" r:id="rId7"/>
  </sheets>
  <functionGroups builtInGroupCount="19"/>
  <definedNames>
    <definedName name="_xlnm._FilterDatabase" localSheetId="1" hidden="1">계산작업!$K$3:$K$26</definedName>
    <definedName name="_xlnm._FilterDatabase" localSheetId="0" hidden="1">기본작업!$A$2:$H$28</definedName>
    <definedName name="_xlnm.Criteria" localSheetId="0">기본작업!$A$31:$A$32</definedName>
    <definedName name="_xlnm.Extract" localSheetId="1">계산작업!$K$29</definedName>
    <definedName name="_xlnm.Extract" localSheetId="0">기본작업!$A$34:$E$34</definedName>
    <definedName name="_xlnm.Print_Area" localSheetId="0">기본작업!$A$2:$H$28</definedName>
  </definedNames>
  <calcPr calcId="19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5" i="2" a="1"/>
  <c r="H5" i="2"/>
  <c r="H6" i="2" a="1"/>
  <c r="H6" i="2"/>
  <c r="H7" i="2" a="1"/>
  <c r="H7" i="2"/>
  <c r="H8" i="2" a="1"/>
  <c r="H8" i="2" s="1"/>
  <c r="H9" i="2" a="1"/>
  <c r="H9" i="2"/>
  <c r="H10" i="2" a="1"/>
  <c r="H10" i="2"/>
  <c r="H11" i="2" a="1"/>
  <c r="H11" i="2"/>
  <c r="H12" i="2" a="1"/>
  <c r="H12" i="2"/>
  <c r="H13" i="2" a="1"/>
  <c r="H13" i="2"/>
  <c r="H14" i="2" a="1"/>
  <c r="H14" i="2" s="1"/>
  <c r="H15" i="2" a="1"/>
  <c r="H15" i="2"/>
  <c r="H16" i="2" a="1"/>
  <c r="H16" i="2"/>
  <c r="H17" i="2" a="1"/>
  <c r="H17" i="2"/>
  <c r="H18" i="2" a="1"/>
  <c r="H18" i="2" s="1"/>
  <c r="H19" i="2" a="1"/>
  <c r="H19" i="2"/>
  <c r="H20" i="2" a="1"/>
  <c r="H20" i="2" s="1"/>
  <c r="H21" i="2" a="1"/>
  <c r="H21" i="2" s="1"/>
  <c r="H22" i="2" a="1"/>
  <c r="H22" i="2" s="1"/>
  <c r="H23" i="2" a="1"/>
  <c r="H23" i="2"/>
  <c r="H24" i="2" a="1"/>
  <c r="H24" i="2" s="1"/>
  <c r="H25" i="2" a="1"/>
  <c r="H25" i="2"/>
  <c r="H26" i="2" a="1"/>
  <c r="H26" i="2"/>
  <c r="H3" i="2" a="1"/>
  <c r="H3" i="2" s="1"/>
  <c r="A32" i="1"/>
  <c r="G6" i="2"/>
  <c r="G7" i="2"/>
  <c r="G9" i="2"/>
  <c r="G10" i="2"/>
  <c r="G11" i="2"/>
  <c r="G12" i="2"/>
  <c r="G13" i="2"/>
  <c r="G4" i="2"/>
  <c r="G5" i="2"/>
  <c r="G8" i="2"/>
  <c r="G17" i="2"/>
  <c r="G14" i="2"/>
  <c r="G15" i="2"/>
  <c r="G16" i="2"/>
  <c r="G18" i="2"/>
  <c r="G19" i="2"/>
  <c r="G20" i="2"/>
  <c r="G21" i="2"/>
  <c r="G22" i="2"/>
  <c r="G23" i="2"/>
  <c r="G24" i="2"/>
  <c r="G25" i="2"/>
  <c r="G26" i="2"/>
  <c r="G3" i="2"/>
  <c r="H31" i="2" a="1"/>
  <c r="H31" i="2" s="1"/>
  <c r="I31" i="2" a="1"/>
  <c r="I31" i="2" s="1"/>
  <c r="H32" i="2" a="1"/>
  <c r="H32" i="2" s="1"/>
  <c r="I32" i="2" a="1"/>
  <c r="I32" i="2" s="1"/>
  <c r="H33" i="2" a="1"/>
  <c r="H33" i="2" s="1"/>
  <c r="I33" i="2" a="1"/>
  <c r="I33" i="2" s="1"/>
  <c r="G32" i="2" a="1"/>
  <c r="G32" i="2" s="1"/>
  <c r="G33" i="2" a="1"/>
  <c r="G33" i="2" s="1"/>
  <c r="G31" i="2" a="1"/>
  <c r="G31" i="2" s="1"/>
  <c r="C30" i="2" a="1"/>
  <c r="C30" i="2" s="1"/>
  <c r="D30" i="2" a="1"/>
  <c r="D30" i="2" s="1"/>
  <c r="C31" i="2" a="1"/>
  <c r="C31" i="2" s="1"/>
  <c r="D31" i="2" a="1"/>
  <c r="D31" i="2" s="1"/>
  <c r="C32" i="2" a="1"/>
  <c r="C32" i="2" s="1"/>
  <c r="D32" i="2" a="1"/>
  <c r="D32" i="2" s="1"/>
  <c r="B31" i="2" a="1"/>
  <c r="B31" i="2" s="1"/>
  <c r="B32" i="2" a="1"/>
  <c r="B32" i="2" s="1"/>
  <c r="B30" i="2" a="1"/>
  <c r="B30" i="2" s="1"/>
  <c r="I19" i="2" a="1"/>
  <c r="I13" i="2" a="1"/>
  <c r="I4" i="2" a="1"/>
  <c r="I11" i="2" a="1"/>
  <c r="I20" i="2" a="1"/>
  <c r="I18" i="2" a="1"/>
  <c r="I6" i="2" a="1"/>
  <c r="I24" i="2" a="1"/>
  <c r="I12" i="2" a="1"/>
  <c r="I7" i="2" a="1"/>
  <c r="I9" i="2" a="1"/>
  <c r="I16" i="2" a="1"/>
  <c r="I26" i="2" a="1"/>
  <c r="I3" i="2" a="1"/>
  <c r="I10" i="2" a="1"/>
  <c r="I8" i="2" a="1"/>
  <c r="I15" i="2" a="1"/>
  <c r="I14" i="2" a="1"/>
  <c r="I23" i="2" a="1"/>
  <c r="I21" i="2" a="1"/>
  <c r="I25" i="2" a="1"/>
  <c r="I5" i="2" a="1"/>
  <c r="I22" i="2" a="1"/>
  <c r="I17" i="2" a="1"/>
  <c r="I3" i="2" l="1"/>
  <c r="I23" i="2"/>
  <c r="I8" i="2"/>
  <c r="I22" i="2"/>
  <c r="I5" i="2"/>
  <c r="I21" i="2"/>
  <c r="I4" i="2"/>
  <c r="I20" i="2"/>
  <c r="I13" i="2"/>
  <c r="I19" i="2"/>
  <c r="I12" i="2"/>
  <c r="I18" i="2"/>
  <c r="I11" i="2"/>
  <c r="I16" i="2"/>
  <c r="I10" i="2"/>
  <c r="I26" i="2"/>
  <c r="I15" i="2"/>
  <c r="I9" i="2"/>
  <c r="I25" i="2"/>
  <c r="I14" i="2"/>
  <c r="I7" i="2"/>
  <c r="I24" i="2"/>
  <c r="I17" i="2"/>
  <c r="I6" i="2"/>
  <c r="B5" i="4" l="1"/>
  <c r="B9" i="4" s="1"/>
  <c r="E4" i="6" l="1"/>
  <c r="E5" i="6"/>
  <c r="E6" i="6"/>
  <c r="E7" i="6"/>
  <c r="E8" i="6"/>
  <c r="E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E1F6F-A988-478A-936E-AD7E136D1B06}" name="MS Access Database_Query" type="1" refreshedVersion="7" background="1">
    <dbPr connection="DSN=MS Access Database;DBQ=E:\영진(2024년)\1급\21버전1급\3권(상시시험)\새로운기출2회분\스프레드시트\보험현황.accdb;DefaultDir=E:\영진(2024년)\1급\21버전1급\3권(상시시험)\새로운기출2회분\스프레드시트;DriverId=25;FIL=MS Access;MaxBufferSize=2048;PageTimeout=5;" command="SELECT 보험종류.가입년월일, 보험종류.보험종류, 보험종류.월불입액, 보험종류.가입지점명, 보험종류.주민등록번호, 보험종류.보험코드, 보험종류.보장액_x000d__x000a_FROM 보험종류 보험종류"/>
  </connection>
  <connection id="2" xr16:uid="{6172FFF9-B347-4C3C-A303-29F7C0BC81CD}" name="MS Access Database_Query1" type="1" refreshedVersion="7" background="1">
    <dbPr connection="DSN=MS Access Database;DBQ=E:\영진(2024년)\1급\21버전1급\3권(상시시험)\새로운기출2회분\스프레드시트\보험.accdb;DefaultDir=E:\영진(2024년)\1급\21버전1급\3권(상시시험)\새로운기출2회분\스프레드시트;DriverId=25;FIL=MS Access;MaxBufferSize=2048;PageTimeout=5;" command="SELECT 보험종류.가입년월일, 보험종류.보험코드, 보험종류.보험종류, 보험종류.가입지점명, 보험종류.월불입액_x000d__x000a_FROM 보험종류 보험종류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<sst xmlns="http://schemas.openxmlformats.org/spreadsheetml/2006/main" count="331" uniqueCount="214">
  <si>
    <t>전기밥솥</t>
  </si>
  <si>
    <t>전동치솔</t>
  </si>
  <si>
    <t>면도기</t>
  </si>
  <si>
    <t>다리미</t>
  </si>
  <si>
    <t>총합계</t>
  </si>
  <si>
    <t>제품명</t>
    <phoneticPr fontId="1" type="noConversion"/>
  </si>
  <si>
    <t>지역상품권</t>
    <phoneticPr fontId="1" type="noConversion"/>
  </si>
  <si>
    <t>현금</t>
    <phoneticPr fontId="1" type="noConversion"/>
  </si>
  <si>
    <t>신용카드</t>
    <phoneticPr fontId="1" type="noConversion"/>
  </si>
  <si>
    <t>에어프라이어</t>
    <phoneticPr fontId="1" type="noConversion"/>
  </si>
  <si>
    <t>커피머신</t>
    <phoneticPr fontId="1" type="noConversion"/>
  </si>
  <si>
    <t>[표1]</t>
    <phoneticPr fontId="1" type="noConversion"/>
  </si>
  <si>
    <t>판매수량</t>
    <phoneticPr fontId="1" type="noConversion"/>
  </si>
  <si>
    <t>판매금액</t>
    <phoneticPr fontId="1" type="noConversion"/>
  </si>
  <si>
    <t>[표1] 지점별 제품 판매현황</t>
    <phoneticPr fontId="1" type="noConversion"/>
  </si>
  <si>
    <t>지점</t>
    <phoneticPr fontId="1" type="noConversion"/>
  </si>
  <si>
    <t>제품명</t>
    <phoneticPr fontId="1" type="noConversion"/>
  </si>
  <si>
    <t>제품명</t>
    <phoneticPr fontId="1" type="noConversion"/>
  </si>
  <si>
    <t>주문처</t>
    <phoneticPr fontId="4" type="noConversion"/>
  </si>
  <si>
    <t>물품코드</t>
    <phoneticPr fontId="4" type="noConversion"/>
  </si>
  <si>
    <t>판매단가</t>
    <phoneticPr fontId="4" type="noConversion"/>
  </si>
  <si>
    <t>주문수량</t>
    <phoneticPr fontId="4" type="noConversion"/>
  </si>
  <si>
    <t>인하대</t>
    <phoneticPr fontId="4" type="noConversion"/>
  </si>
  <si>
    <t>전주대</t>
    <phoneticPr fontId="4" type="noConversion"/>
  </si>
  <si>
    <t>군산대</t>
    <phoneticPr fontId="4" type="noConversion"/>
  </si>
  <si>
    <t>목포대</t>
    <phoneticPr fontId="4" type="noConversion"/>
  </si>
  <si>
    <t>부산대</t>
    <phoneticPr fontId="4" type="noConversion"/>
  </si>
  <si>
    <t>동아대</t>
    <phoneticPr fontId="4" type="noConversion"/>
  </si>
  <si>
    <t>서울대</t>
    <phoneticPr fontId="4" type="noConversion"/>
  </si>
  <si>
    <t>경상대</t>
    <phoneticPr fontId="4" type="noConversion"/>
  </si>
  <si>
    <t>울산대</t>
    <phoneticPr fontId="4" type="noConversion"/>
  </si>
  <si>
    <t>대원대</t>
    <phoneticPr fontId="4" type="noConversion"/>
  </si>
  <si>
    <t>세종대</t>
    <phoneticPr fontId="4" type="noConversion"/>
  </si>
  <si>
    <t>문화대</t>
    <phoneticPr fontId="4" type="noConversion"/>
  </si>
  <si>
    <t>남서울대</t>
    <phoneticPr fontId="4" type="noConversion"/>
  </si>
  <si>
    <t>명지대</t>
    <phoneticPr fontId="4" type="noConversion"/>
  </si>
  <si>
    <t>배제대</t>
    <phoneticPr fontId="4" type="noConversion"/>
  </si>
  <si>
    <t>인천대</t>
    <phoneticPr fontId="4" type="noConversion"/>
  </si>
  <si>
    <t>선문대</t>
    <phoneticPr fontId="4" type="noConversion"/>
  </si>
  <si>
    <t>호서대</t>
    <phoneticPr fontId="4" type="noConversion"/>
  </si>
  <si>
    <t>[표1]</t>
    <phoneticPr fontId="1" type="noConversion"/>
  </si>
  <si>
    <t>대출금액</t>
    <phoneticPr fontId="1" type="noConversion"/>
  </si>
  <si>
    <t>대출기간</t>
    <phoneticPr fontId="1" type="noConversion"/>
  </si>
  <si>
    <t>월납입액</t>
    <phoneticPr fontId="1" type="noConversion"/>
  </si>
  <si>
    <t>[표1]</t>
    <phoneticPr fontId="1" type="noConversion"/>
  </si>
  <si>
    <t>[표2]</t>
    <phoneticPr fontId="1" type="noConversion"/>
  </si>
  <si>
    <t>이자율</t>
    <phoneticPr fontId="1" type="noConversion"/>
  </si>
  <si>
    <t>강사번호</t>
    <phoneticPr fontId="1" type="noConversion"/>
  </si>
  <si>
    <t>T-002</t>
  </si>
  <si>
    <t>T-003</t>
  </si>
  <si>
    <t>T-004</t>
  </si>
  <si>
    <t>T-005</t>
  </si>
  <si>
    <t>T-006</t>
  </si>
  <si>
    <t>T-007</t>
  </si>
  <si>
    <t>T-008</t>
  </si>
  <si>
    <t>T-009</t>
  </si>
  <si>
    <t>T-010</t>
  </si>
  <si>
    <t>T-011</t>
  </si>
  <si>
    <t>T-012</t>
  </si>
  <si>
    <t>T-013</t>
  </si>
  <si>
    <t>T-014</t>
  </si>
  <si>
    <t>강사명</t>
    <phoneticPr fontId="1" type="noConversion"/>
  </si>
  <si>
    <t>장소영</t>
    <phoneticPr fontId="1" type="noConversion"/>
  </si>
  <si>
    <t>이훈덕</t>
    <phoneticPr fontId="1" type="noConversion"/>
  </si>
  <si>
    <t>최영조</t>
    <phoneticPr fontId="1" type="noConversion"/>
  </si>
  <si>
    <t>김상균</t>
    <phoneticPr fontId="1" type="noConversion"/>
  </si>
  <si>
    <t>황은주</t>
    <phoneticPr fontId="1" type="noConversion"/>
  </si>
  <si>
    <t>전구민</t>
    <phoneticPr fontId="1" type="noConversion"/>
  </si>
  <si>
    <t>김아연</t>
    <phoneticPr fontId="1" type="noConversion"/>
  </si>
  <si>
    <t>강주연</t>
    <phoneticPr fontId="1" type="noConversion"/>
  </si>
  <si>
    <t>김남우</t>
    <phoneticPr fontId="1" type="noConversion"/>
  </si>
  <si>
    <t>오연경</t>
    <phoneticPr fontId="1" type="noConversion"/>
  </si>
  <si>
    <t>유전수</t>
    <phoneticPr fontId="1" type="noConversion"/>
  </si>
  <si>
    <t>김환빈</t>
    <phoneticPr fontId="1" type="noConversion"/>
  </si>
  <si>
    <t>나이</t>
    <phoneticPr fontId="1" type="noConversion"/>
  </si>
  <si>
    <t>주소</t>
    <phoneticPr fontId="1" type="noConversion"/>
  </si>
  <si>
    <t>경기</t>
    <phoneticPr fontId="1" type="noConversion"/>
  </si>
  <si>
    <t>서울</t>
    <phoneticPr fontId="1" type="noConversion"/>
  </si>
  <si>
    <t>인천</t>
    <phoneticPr fontId="1" type="noConversion"/>
  </si>
  <si>
    <t>석사</t>
    <phoneticPr fontId="1" type="noConversion"/>
  </si>
  <si>
    <t>박사</t>
    <phoneticPr fontId="1" type="noConversion"/>
  </si>
  <si>
    <t>학사</t>
    <phoneticPr fontId="1" type="noConversion"/>
  </si>
  <si>
    <t>최종학력</t>
    <phoneticPr fontId="1" type="noConversion"/>
  </si>
  <si>
    <t>전화번호</t>
    <phoneticPr fontId="1" type="noConversion"/>
  </si>
  <si>
    <t>02-587-1570</t>
    <phoneticPr fontId="1" type="noConversion"/>
  </si>
  <si>
    <t>031-787-9578</t>
    <phoneticPr fontId="1" type="noConversion"/>
  </si>
  <si>
    <t>032-354-7897</t>
    <phoneticPr fontId="1" type="noConversion"/>
  </si>
  <si>
    <t>02-357-9520</t>
    <phoneticPr fontId="1" type="noConversion"/>
  </si>
  <si>
    <t>032-547-3687</t>
    <phoneticPr fontId="1" type="noConversion"/>
  </si>
  <si>
    <t>02-357-7531</t>
    <phoneticPr fontId="1" type="noConversion"/>
  </si>
  <si>
    <t>031-951-1597</t>
    <phoneticPr fontId="1" type="noConversion"/>
  </si>
  <si>
    <t>031-963-7410</t>
    <phoneticPr fontId="1" type="noConversion"/>
  </si>
  <si>
    <t>032-852-7463</t>
    <phoneticPr fontId="1" type="noConversion"/>
  </si>
  <si>
    <t>02-974-1234</t>
    <phoneticPr fontId="1" type="noConversion"/>
  </si>
  <si>
    <t>032-456-7890</t>
    <phoneticPr fontId="1" type="noConversion"/>
  </si>
  <si>
    <t>02-951-7530</t>
    <phoneticPr fontId="1" type="noConversion"/>
  </si>
  <si>
    <t>031-456-9874</t>
    <phoneticPr fontId="1" type="noConversion"/>
  </si>
  <si>
    <t>T-001</t>
    <phoneticPr fontId="1" type="noConversion"/>
  </si>
  <si>
    <t>김소주</t>
    <phoneticPr fontId="1" type="noConversion"/>
  </si>
  <si>
    <t>김진서</t>
    <phoneticPr fontId="1" type="noConversion"/>
  </si>
  <si>
    <t>강의평점</t>
    <phoneticPr fontId="1" type="noConversion"/>
  </si>
  <si>
    <t>강의일정</t>
    <phoneticPr fontId="1" type="noConversion"/>
  </si>
  <si>
    <t>T-015</t>
  </si>
  <si>
    <t>T-016</t>
  </si>
  <si>
    <t>T-017</t>
  </si>
  <si>
    <t>T-018</t>
  </si>
  <si>
    <t>T-019</t>
  </si>
  <si>
    <t>T-020</t>
  </si>
  <si>
    <t>T-021</t>
  </si>
  <si>
    <t>T-022</t>
  </si>
  <si>
    <t>T-023</t>
  </si>
  <si>
    <t>T-024</t>
  </si>
  <si>
    <t>T-025</t>
  </si>
  <si>
    <t>T-026</t>
  </si>
  <si>
    <t>김소영</t>
    <phoneticPr fontId="1" type="noConversion"/>
  </si>
  <si>
    <t>박유주</t>
    <phoneticPr fontId="1" type="noConversion"/>
  </si>
  <si>
    <t>강호균</t>
    <phoneticPr fontId="1" type="noConversion"/>
  </si>
  <si>
    <t>황호안</t>
    <phoneticPr fontId="1" type="noConversion"/>
  </si>
  <si>
    <t>박주연</t>
    <phoneticPr fontId="1" type="noConversion"/>
  </si>
  <si>
    <t>이주연</t>
    <phoneticPr fontId="1" type="noConversion"/>
  </si>
  <si>
    <t>유호준</t>
    <phoneticPr fontId="1" type="noConversion"/>
  </si>
  <si>
    <t>임상준</t>
    <phoneticPr fontId="1" type="noConversion"/>
  </si>
  <si>
    <t>강유주</t>
    <phoneticPr fontId="1" type="noConversion"/>
  </si>
  <si>
    <t>전미옥</t>
    <phoneticPr fontId="1" type="noConversion"/>
  </si>
  <si>
    <t>위소연</t>
    <phoneticPr fontId="1" type="noConversion"/>
  </si>
  <si>
    <t>김조변</t>
    <phoneticPr fontId="1" type="noConversion"/>
  </si>
  <si>
    <t>02-222-5781</t>
    <phoneticPr fontId="1" type="noConversion"/>
  </si>
  <si>
    <t>031-874-9641</t>
    <phoneticPr fontId="1" type="noConversion"/>
  </si>
  <si>
    <t>02-784-8745</t>
    <phoneticPr fontId="1" type="noConversion"/>
  </si>
  <si>
    <t>032-954-8745</t>
    <phoneticPr fontId="1" type="noConversion"/>
  </si>
  <si>
    <t>02-587-9634</t>
    <phoneticPr fontId="1" type="noConversion"/>
  </si>
  <si>
    <t>031-754-9678</t>
    <phoneticPr fontId="1" type="noConversion"/>
  </si>
  <si>
    <t>02-456-7890</t>
    <phoneticPr fontId="1" type="noConversion"/>
  </si>
  <si>
    <t>032-874-9687</t>
    <phoneticPr fontId="1" type="noConversion"/>
  </si>
  <si>
    <t>02-487-9612</t>
    <phoneticPr fontId="1" type="noConversion"/>
  </si>
  <si>
    <t>032-478-9654</t>
    <phoneticPr fontId="1" type="noConversion"/>
  </si>
  <si>
    <t>032-745-8541</t>
    <phoneticPr fontId="1" type="noConversion"/>
  </si>
  <si>
    <t>02-368-9421</t>
    <phoneticPr fontId="1" type="noConversion"/>
  </si>
  <si>
    <t>고객번호</t>
    <phoneticPr fontId="1" type="noConversion"/>
  </si>
  <si>
    <t>대출일</t>
    <phoneticPr fontId="1" type="noConversion"/>
  </si>
  <si>
    <t>비고</t>
    <phoneticPr fontId="1" type="noConversion"/>
  </si>
  <si>
    <t>[표4]</t>
    <phoneticPr fontId="1" type="noConversion"/>
  </si>
  <si>
    <t>대출형태</t>
    <phoneticPr fontId="1" type="noConversion"/>
  </si>
  <si>
    <t>신용</t>
    <phoneticPr fontId="1" type="noConversion"/>
  </si>
  <si>
    <t>담보</t>
    <phoneticPr fontId="1" type="noConversion"/>
  </si>
  <si>
    <t>[표3]</t>
    <phoneticPr fontId="1" type="noConversion"/>
  </si>
  <si>
    <t>대출년도</t>
    <phoneticPr fontId="1" type="noConversion"/>
  </si>
  <si>
    <t>대출종류</t>
    <phoneticPr fontId="1" type="noConversion"/>
  </si>
  <si>
    <t>기간</t>
    <phoneticPr fontId="1" type="noConversion"/>
  </si>
  <si>
    <t>수수료</t>
    <phoneticPr fontId="1" type="noConversion"/>
  </si>
  <si>
    <t>등급</t>
    <phoneticPr fontId="1" type="noConversion"/>
  </si>
  <si>
    <t>모바일신용</t>
    <phoneticPr fontId="1" type="noConversion"/>
  </si>
  <si>
    <t>직장인신용</t>
    <phoneticPr fontId="1" type="noConversion"/>
  </si>
  <si>
    <t>u-보금</t>
    <phoneticPr fontId="1" type="noConversion"/>
  </si>
  <si>
    <t>아낌e보금</t>
    <phoneticPr fontId="1" type="noConversion"/>
  </si>
  <si>
    <t>t-보금</t>
    <phoneticPr fontId="1" type="noConversion"/>
  </si>
  <si>
    <t>주택담보</t>
    <phoneticPr fontId="1" type="noConversion"/>
  </si>
  <si>
    <t>적금담보</t>
    <phoneticPr fontId="1" type="noConversion"/>
  </si>
  <si>
    <t>전세금담보</t>
    <phoneticPr fontId="1" type="noConversion"/>
  </si>
  <si>
    <t>프리미엄</t>
    <phoneticPr fontId="1" type="noConversion"/>
  </si>
  <si>
    <t>골드</t>
    <phoneticPr fontId="1" type="noConversion"/>
  </si>
  <si>
    <t>로얄</t>
    <phoneticPr fontId="1" type="noConversion"/>
  </si>
  <si>
    <t>MVP</t>
    <phoneticPr fontId="1" type="noConversion"/>
  </si>
  <si>
    <t>일반신용</t>
    <phoneticPr fontId="1" type="noConversion"/>
  </si>
  <si>
    <t>보금</t>
    <phoneticPr fontId="1" type="noConversion"/>
  </si>
  <si>
    <t>신혼부부</t>
    <phoneticPr fontId="1" type="noConversion"/>
  </si>
  <si>
    <t>청년</t>
    <phoneticPr fontId="1" type="noConversion"/>
  </si>
  <si>
    <t>자영업자</t>
    <phoneticPr fontId="1" type="noConversion"/>
  </si>
  <si>
    <t>M</t>
    <phoneticPr fontId="1" type="noConversion"/>
  </si>
  <si>
    <t>Y</t>
    <phoneticPr fontId="1" type="noConversion"/>
  </si>
  <si>
    <t>O</t>
    <phoneticPr fontId="1" type="noConversion"/>
  </si>
  <si>
    <t>CRY-021</t>
    <phoneticPr fontId="1" type="noConversion"/>
  </si>
  <si>
    <t>CRY-048</t>
    <phoneticPr fontId="1" type="noConversion"/>
  </si>
  <si>
    <t>CRM-023</t>
    <phoneticPr fontId="1" type="noConversion"/>
  </si>
  <si>
    <t>CRM-002</t>
    <phoneticPr fontId="1" type="noConversion"/>
  </si>
  <si>
    <t>CRY-091</t>
    <phoneticPr fontId="1" type="noConversion"/>
  </si>
  <si>
    <t>CRO-034</t>
    <phoneticPr fontId="1" type="noConversion"/>
  </si>
  <si>
    <t>CRM-042</t>
    <phoneticPr fontId="1" type="noConversion"/>
  </si>
  <si>
    <t>CRO-071</t>
    <phoneticPr fontId="1" type="noConversion"/>
  </si>
  <si>
    <t>CRO-084</t>
    <phoneticPr fontId="1" type="noConversion"/>
  </si>
  <si>
    <t>CRO-029</t>
    <phoneticPr fontId="1" type="noConversion"/>
  </si>
  <si>
    <t>CRY-064</t>
    <phoneticPr fontId="1" type="noConversion"/>
  </si>
  <si>
    <t>CRO-032</t>
    <phoneticPr fontId="1" type="noConversion"/>
  </si>
  <si>
    <t>CRY-074</t>
    <phoneticPr fontId="1" type="noConversion"/>
  </si>
  <si>
    <t>CRM-054</t>
    <phoneticPr fontId="1" type="noConversion"/>
  </si>
  <si>
    <t>CRM-038</t>
    <phoneticPr fontId="1" type="noConversion"/>
  </si>
  <si>
    <t>CRY-052</t>
    <phoneticPr fontId="1" type="noConversion"/>
  </si>
  <si>
    <t>CRM-074</t>
    <phoneticPr fontId="1" type="noConversion"/>
  </si>
  <si>
    <t>CRY-086</t>
    <phoneticPr fontId="1" type="noConversion"/>
  </si>
  <si>
    <t>CRO-097</t>
    <phoneticPr fontId="1" type="noConversion"/>
  </si>
  <si>
    <t>CRM-021</t>
    <phoneticPr fontId="1" type="noConversion"/>
  </si>
  <si>
    <t>CRO-004</t>
    <phoneticPr fontId="1" type="noConversion"/>
  </si>
  <si>
    <t>CRM-006</t>
    <phoneticPr fontId="1" type="noConversion"/>
  </si>
  <si>
    <t>CRO-014</t>
    <phoneticPr fontId="1" type="noConversion"/>
  </si>
  <si>
    <t>조건</t>
    <phoneticPr fontId="1" type="noConversion"/>
  </si>
  <si>
    <t>서초점</t>
  </si>
  <si>
    <t>커피머신</t>
  </si>
  <si>
    <t>가입지점명</t>
  </si>
  <si>
    <t>(모두)</t>
  </si>
  <si>
    <t>2사분기</t>
  </si>
  <si>
    <t>3사분기</t>
  </si>
  <si>
    <t>4사분기</t>
  </si>
  <si>
    <t>1사분기</t>
  </si>
  <si>
    <t>건강보험</t>
  </si>
  <si>
    <t>변액보험</t>
  </si>
  <si>
    <t>상해보험</t>
  </si>
  <si>
    <t>연금보험</t>
  </si>
  <si>
    <t>저축성보험</t>
  </si>
  <si>
    <t>보험종류</t>
  </si>
  <si>
    <t>가입년월일</t>
  </si>
  <si>
    <t>개수 : 보험코드</t>
  </si>
  <si>
    <t>4사분기 요약</t>
  </si>
  <si>
    <t>평균 : 월불입액</t>
  </si>
  <si>
    <t>전동칫솔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</si>
</sst>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General&quot;개&quot;&quot;월&quot;"/>
    <numFmt numFmtId="178" formatCode="0&quot;개월&quot;"/>
    <numFmt numFmtId="179" formatCode="0&quot;위&quot;"/>
    <numFmt numFmtId="180" formatCode="0&quot;년&quot;"/>
    <numFmt numFmtId="181" formatCode="General&quot;이상&quot;"/>
    <numFmt numFmtId="182" formatCode="General&quot;미만&quot;"/>
    <numFmt numFmtId="183" formatCode="[Blue][&gt;=100]0;[Magenta][&lt;=50]&quot;♣&quot;* 0;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바탕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3" fillId="0" borderId="0" xfId="0" applyFont="1" applyFill="1">
      <alignment vertical="center"/>
    </xf>
    <xf numFmtId="41" fontId="3" fillId="0" borderId="1" xfId="1" applyFont="1" applyFill="1" applyBorder="1" applyAlignment="1"/>
    <xf numFmtId="0" fontId="3" fillId="0" borderId="1" xfId="0" applyFont="1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0" fillId="0" borderId="1" xfId="0" applyBorder="1" applyAlignment="1"/>
    <xf numFmtId="0" fontId="0" fillId="0" borderId="1" xfId="0" quotePrefix="1" applyBorder="1" applyAlignment="1"/>
    <xf numFmtId="42" fontId="0" fillId="0" borderId="1" xfId="2" applyFont="1" applyBorder="1" applyAlignment="1"/>
    <xf numFmtId="0" fontId="0" fillId="0" borderId="1" xfId="0" applyBorder="1" applyAlignment="1">
      <alignment horizont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6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41" fontId="0" fillId="0" borderId="1" xfId="1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>
      <alignment vertical="center"/>
    </xf>
    <xf numFmtId="179" fontId="0" fillId="2" borderId="1" xfId="0" applyNumberFormat="1" applyFill="1" applyBorder="1" applyAlignment="1">
      <alignment horizontal="center" vertical="center"/>
    </xf>
    <xf numFmtId="179" fontId="0" fillId="2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183" fontId="0" fillId="0" borderId="1" xfId="0" quotePrefix="1" applyNumberFormat="1" applyBorder="1" applyAlignment="1"/>
    <xf numFmtId="183" fontId="0" fillId="0" borderId="1" xfId="0" applyNumberFormat="1" applyBorder="1" applyAlignment="1"/>
    <xf numFmtId="3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 val="0"/>
        <i/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제품별 매출현황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지역상품권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'기타작업-1'!$A$3:$A$7</c:f>
              <c:strCache>
                <c:ptCount val="5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</c:strCache>
            </c:strRef>
          </c:cat>
          <c:val>
            <c:numRef>
              <c:f>'기타작업-1'!$B$3:$B$7</c:f>
              <c:numCache>
                <c:formatCode>_(* #,##0_);_(* \(#,##0\);_(* "-"_);_(@_)</c:formatCode>
                <c:ptCount val="5"/>
                <c:pt idx="0">
                  <c:v>1070000</c:v>
                </c:pt>
                <c:pt idx="1">
                  <c:v>760000</c:v>
                </c:pt>
                <c:pt idx="2">
                  <c:v>1730000</c:v>
                </c:pt>
                <c:pt idx="3">
                  <c:v>860000</c:v>
                </c:pt>
                <c:pt idx="4">
                  <c:v>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A-48BF-A2F6-22A51D80CF17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</c:strCache>
            </c:strRef>
          </c:cat>
          <c:val>
            <c:numRef>
              <c:f>'기타작업-1'!$C$3:$C$7</c:f>
              <c:numCache>
                <c:formatCode>_(* #,##0_);_(* \(#,##0\);_(* "-"_);_(@_)</c:formatCode>
                <c:ptCount val="5"/>
                <c:pt idx="0">
                  <c:v>1240000</c:v>
                </c:pt>
                <c:pt idx="1">
                  <c:v>680000</c:v>
                </c:pt>
                <c:pt idx="2">
                  <c:v>1544000</c:v>
                </c:pt>
                <c:pt idx="3">
                  <c:v>1180000</c:v>
                </c:pt>
                <c:pt idx="4">
                  <c:v>1140000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A-48BF-A2F6-22A51D80CF17}"/>
            </c:ext>
          </c:extLst>
        </c:ser>
        <c:ser>
          <c:idx val="2"/>
          <c:order val="2"/>
          <c:tx>
            <c:strRef>
              <c:f>'기타작업-1'!$D$2</c:f>
              <c:strCache>
                <c:ptCount val="1"/>
                <c:pt idx="0">
                  <c:v>신용카드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전기밥솥</c:v>
                </c:pt>
                <c:pt idx="1">
                  <c:v>커피머신</c:v>
                </c:pt>
                <c:pt idx="2">
                  <c:v>에어프라이어</c:v>
                </c:pt>
                <c:pt idx="3">
                  <c:v>다리미</c:v>
                </c:pt>
                <c:pt idx="4">
                  <c:v>면도기</c:v>
                </c:pt>
              </c:strCache>
            </c:strRef>
          </c:cat>
          <c:val>
            <c:numRef>
              <c:f>'기타작업-1'!$D$3:$D$7</c:f>
              <c:numCache>
                <c:formatCode>_(* #,##0_);_(* \(#,##0\);_(* "-"_);_(@_)</c:formatCode>
                <c:ptCount val="5"/>
                <c:pt idx="0">
                  <c:v>1440000</c:v>
                </c:pt>
                <c:pt idx="1">
                  <c:v>1453000</c:v>
                </c:pt>
                <c:pt idx="2">
                  <c:v>1296000</c:v>
                </c:pt>
                <c:pt idx="3">
                  <c:v>895000</c:v>
                </c:pt>
                <c:pt idx="4">
                  <c:v>339600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DA-48BF-A2F6-22A51D80C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0614975"/>
        <c:axId val="1870609983"/>
      </c:barChart>
      <c:catAx>
        <c:axId val="1870614975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0609983"/>
        <c:crosses val="autoZero"/>
        <c:auto val="1"/>
        <c:lblAlgn val="ctr"/>
        <c:lblOffset val="100"/>
        <c:noMultiLvlLbl val="0"/>
      </c:catAx>
      <c:valAx>
        <c:axId val="1870609983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0614975"/>
        <c:crosses val="autoZero"/>
        <c:crossBetween val="between"/>
        <c:majorUnit val="300000"/>
      </c:val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448050" y="2159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48050" y="8636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209550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cmd판매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6.786477430556" backgroundQuery="1" createdVersion="7" refreshedVersion="7" minRefreshableVersion="3" recordCount="33" xr:uid="{20345CC8-7789-4B9D-BB7D-AC734A9F07C2}">
  <cacheSource type="external" connectionId="2"/>
  <cacheFields count="5">
    <cacheField name="가입년월일" numFmtId="0" sqlType="11">
      <sharedItems containsSemiMixedTypes="0" containsNonDate="0" containsDate="1" containsString="0" minDate="2001-06-19T00:00:00" maxDate="2024-10-22T00:00:00" count="33">
        <d v="2001-12-22T00:00:00"/>
        <d v="2004-03-21T00:00:00"/>
        <d v="2009-03-21T00:00:00"/>
        <d v="2008-05-21T00:00:00"/>
        <d v="2010-09-21T00:00:00"/>
        <d v="2024-10-21T00:00:00"/>
        <d v="2010-11-21T00:00:00"/>
        <d v="2016-11-21T00:00:00"/>
        <d v="2008-12-21T00:00:00"/>
        <d v="2004-05-23T00:00:00"/>
        <d v="2019-06-23T00:00:00"/>
        <d v="2010-08-23T00:00:00"/>
        <d v="2007-09-23T00:00:00"/>
        <d v="2014-11-23T00:00:00"/>
        <d v="2009-12-23T00:00:00"/>
        <d v="2017-04-12T00:00:00"/>
        <d v="2021-09-12T00:00:00"/>
        <d v="2022-12-15T00:00:00"/>
        <d v="2015-03-04T00:00:00"/>
        <d v="2015-04-19T00:00:00"/>
        <d v="2015-11-29T00:00:00"/>
        <d v="2011-12-04T00:00:00"/>
        <d v="2005-12-26T00:00:00"/>
        <d v="2002-04-19T00:00:00"/>
        <d v="2022-11-23T00:00:00"/>
        <d v="2004-01-11T00:00:00"/>
        <d v="2021-02-21T00:00:00"/>
        <d v="2023-08-22T00:00:00"/>
        <d v="2009-12-15T00:00:00"/>
        <d v="2014-02-20T00:00:00"/>
        <d v="2022-01-21T00:00:00"/>
        <d v="2001-06-19T00:00:00"/>
        <d v="2001-08-22T00:00:00"/>
      </sharedItems>
      <fieldGroup base="0">
        <rangePr groupBy="quarters" startDate="2001-06-19T00:00:00" endDate="2024-10-22T00:00:00"/>
        <groupItems count="6">
          <s v="&lt;2001-06-19"/>
          <s v="1사분기"/>
          <s v="2사분기"/>
          <s v="3사분기"/>
          <s v="4사분기"/>
          <s v="&gt;2024-10-22"/>
        </groupItems>
      </fieldGroup>
    </cacheField>
    <cacheField name="보험코드" numFmtId="0" sqlType="-9">
      <sharedItems count="5">
        <s v="H001"/>
        <s v="J001"/>
        <s v="S001"/>
        <s v="Y001"/>
        <s v="V001"/>
      </sharedItems>
    </cacheField>
    <cacheField name="보험종류" numFmtId="0" sqlType="-9">
      <sharedItems count="5">
        <s v="건강보험"/>
        <s v="상해보험"/>
        <s v="저축성보험"/>
        <s v="연금보험"/>
        <s v="변액보험"/>
      </sharedItems>
    </cacheField>
    <cacheField name="가입지점명" numFmtId="0" sqlType="-9">
      <sharedItems count="5">
        <s v="서울"/>
        <s v="충청"/>
        <s v="호남"/>
        <s v="강원"/>
        <s v="영남"/>
      </sharedItems>
    </cacheField>
    <cacheField name="월불입액" numFmtId="0" sqlType="8">
      <sharedItems containsSemiMixedTypes="0" containsString="0" containsNumber="1" containsInteger="1" minValue="10000" maxValue="1000000" count="30">
        <n v="120000"/>
        <n v="80000"/>
        <n v="105000"/>
        <n v="35000"/>
        <n v="180000"/>
        <n v="75000"/>
        <n v="30000"/>
        <n v="1000000"/>
        <n v="50000"/>
        <n v="10000"/>
        <n v="40000"/>
        <n v="520000"/>
        <n v="400000"/>
        <n v="325000"/>
        <n v="140000"/>
        <n v="52500"/>
        <n v="78000"/>
        <n v="240000"/>
        <n v="320000"/>
        <n v="700000"/>
        <n v="500000"/>
        <n v="85000"/>
        <n v="200000"/>
        <n v="220000"/>
        <n v="350000"/>
        <n v="250000"/>
        <n v="340000"/>
        <n v="380000"/>
        <n v="20000"/>
        <n v="21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1"/>
    <x v="1"/>
    <x v="1"/>
  </r>
  <r>
    <x v="2"/>
    <x v="2"/>
    <x v="2"/>
    <x v="2"/>
    <x v="2"/>
  </r>
  <r>
    <x v="3"/>
    <x v="0"/>
    <x v="0"/>
    <x v="3"/>
    <x v="3"/>
  </r>
  <r>
    <x v="4"/>
    <x v="3"/>
    <x v="3"/>
    <x v="2"/>
    <x v="4"/>
  </r>
  <r>
    <x v="5"/>
    <x v="1"/>
    <x v="1"/>
    <x v="4"/>
    <x v="5"/>
  </r>
  <r>
    <x v="6"/>
    <x v="2"/>
    <x v="2"/>
    <x v="3"/>
    <x v="6"/>
  </r>
  <r>
    <x v="7"/>
    <x v="2"/>
    <x v="2"/>
    <x v="0"/>
    <x v="7"/>
  </r>
  <r>
    <x v="8"/>
    <x v="1"/>
    <x v="1"/>
    <x v="0"/>
    <x v="3"/>
  </r>
  <r>
    <x v="9"/>
    <x v="0"/>
    <x v="0"/>
    <x v="2"/>
    <x v="8"/>
  </r>
  <r>
    <x v="10"/>
    <x v="1"/>
    <x v="1"/>
    <x v="2"/>
    <x v="9"/>
  </r>
  <r>
    <x v="11"/>
    <x v="3"/>
    <x v="3"/>
    <x v="3"/>
    <x v="10"/>
  </r>
  <r>
    <x v="12"/>
    <x v="3"/>
    <x v="3"/>
    <x v="0"/>
    <x v="11"/>
  </r>
  <r>
    <x v="13"/>
    <x v="2"/>
    <x v="2"/>
    <x v="1"/>
    <x v="12"/>
  </r>
  <r>
    <x v="14"/>
    <x v="0"/>
    <x v="0"/>
    <x v="1"/>
    <x v="13"/>
  </r>
  <r>
    <x v="15"/>
    <x v="3"/>
    <x v="3"/>
    <x v="2"/>
    <x v="14"/>
  </r>
  <r>
    <x v="16"/>
    <x v="2"/>
    <x v="2"/>
    <x v="3"/>
    <x v="15"/>
  </r>
  <r>
    <x v="17"/>
    <x v="0"/>
    <x v="0"/>
    <x v="4"/>
    <x v="16"/>
  </r>
  <r>
    <x v="18"/>
    <x v="3"/>
    <x v="3"/>
    <x v="4"/>
    <x v="17"/>
  </r>
  <r>
    <x v="19"/>
    <x v="4"/>
    <x v="4"/>
    <x v="2"/>
    <x v="18"/>
  </r>
  <r>
    <x v="20"/>
    <x v="4"/>
    <x v="4"/>
    <x v="4"/>
    <x v="19"/>
  </r>
  <r>
    <x v="21"/>
    <x v="3"/>
    <x v="3"/>
    <x v="1"/>
    <x v="20"/>
  </r>
  <r>
    <x v="22"/>
    <x v="4"/>
    <x v="4"/>
    <x v="4"/>
    <x v="21"/>
  </r>
  <r>
    <x v="23"/>
    <x v="4"/>
    <x v="4"/>
    <x v="0"/>
    <x v="22"/>
  </r>
  <r>
    <x v="24"/>
    <x v="4"/>
    <x v="4"/>
    <x v="1"/>
    <x v="23"/>
  </r>
  <r>
    <x v="25"/>
    <x v="4"/>
    <x v="4"/>
    <x v="3"/>
    <x v="24"/>
  </r>
  <r>
    <x v="26"/>
    <x v="4"/>
    <x v="4"/>
    <x v="0"/>
    <x v="25"/>
  </r>
  <r>
    <x v="27"/>
    <x v="4"/>
    <x v="4"/>
    <x v="1"/>
    <x v="0"/>
  </r>
  <r>
    <x v="28"/>
    <x v="4"/>
    <x v="4"/>
    <x v="3"/>
    <x v="26"/>
  </r>
  <r>
    <x v="29"/>
    <x v="3"/>
    <x v="3"/>
    <x v="4"/>
    <x v="27"/>
  </r>
  <r>
    <x v="30"/>
    <x v="4"/>
    <x v="4"/>
    <x v="2"/>
    <x v="17"/>
  </r>
  <r>
    <x v="31"/>
    <x v="1"/>
    <x v="1"/>
    <x v="3"/>
    <x v="28"/>
  </r>
  <r>
    <x v="32"/>
    <x v="2"/>
    <x v="2"/>
    <x v="4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650351-63B3-4760-B57E-39B483C5AD1B}" name="피벗 테이블2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5:D15" firstHeaderRow="0" firstDataRow="1" firstDataCol="2" rowPageCount="1" colPageCount="1"/>
  <pivotFields count="5">
    <pivotField axis="axisRow" compact="0" outline="0" showAll="0">
      <items count="7">
        <item x="0"/>
        <item sd="0" x="1"/>
        <item sd="0" x="2"/>
        <item sd="0" x="3"/>
        <item x="4"/>
        <item x="5"/>
        <item t="default"/>
      </items>
    </pivotField>
    <pivotField dataField="1" compact="0" outline="0" showAll="0"/>
    <pivotField axis="axisRow" compact="0" outline="0" showAll="0">
      <items count="6">
        <item x="0"/>
        <item x="4"/>
        <item x="1"/>
        <item x="3"/>
        <item x="2"/>
        <item t="default"/>
      </items>
    </pivotField>
    <pivotField axis="axisPage" compact="0" outline="0" showAll="0">
      <items count="6">
        <item x="3"/>
        <item x="0"/>
        <item x="4"/>
        <item x="1"/>
        <item x="2"/>
        <item t="default"/>
      </items>
    </pivotField>
    <pivotField dataField="1" compact="0" outline="0" showAll="0"/>
  </pivotFields>
  <rowFields count="2">
    <field x="0"/>
    <field x="2"/>
  </rowFields>
  <rowItems count="10">
    <i>
      <x v="1"/>
    </i>
    <i>
      <x v="2"/>
    </i>
    <i>
      <x v="3"/>
    </i>
    <i>
      <x v="4"/>
      <x/>
    </i>
    <i r="1">
      <x v="1"/>
    </i>
    <i r="1">
      <x v="2"/>
    </i>
    <i r="1">
      <x v="3"/>
    </i>
    <i r="1">
      <x v="4"/>
    </i>
    <i t="default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개수 : 보험코드" fld="1" subtotal="count" baseField="0" baseItem="0"/>
    <dataField name="평균 : 월불입액" fld="4" subtotal="average" baseField="0" baseItem="1" numFmtId="41"/>
  </dataFields>
  <pivotTableStyleInfo name="PivotStyleLight14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"/>
  <sheetViews>
    <sheetView workbookViewId="0"/>
  </sheetViews>
  <sheetFormatPr defaultRowHeight="17" x14ac:dyDescent="0.45"/>
  <cols>
    <col min="5" max="5" width="12.9140625" bestFit="1" customWidth="1"/>
    <col min="8" max="8" width="10.75" bestFit="1" customWidth="1"/>
  </cols>
  <sheetData>
    <row r="1" spans="1:9" x14ac:dyDescent="0.45">
      <c r="A1" t="s">
        <v>11</v>
      </c>
    </row>
    <row r="2" spans="1:9" x14ac:dyDescent="0.45">
      <c r="A2" t="s">
        <v>47</v>
      </c>
      <c r="B2" t="s">
        <v>61</v>
      </c>
      <c r="C2" t="s">
        <v>74</v>
      </c>
      <c r="D2" t="s">
        <v>75</v>
      </c>
      <c r="E2" t="s">
        <v>83</v>
      </c>
      <c r="F2" t="s">
        <v>100</v>
      </c>
      <c r="G2" t="s">
        <v>82</v>
      </c>
      <c r="H2" t="s">
        <v>101</v>
      </c>
    </row>
    <row r="3" spans="1:9" x14ac:dyDescent="0.45">
      <c r="A3" t="s">
        <v>97</v>
      </c>
      <c r="B3" t="s">
        <v>62</v>
      </c>
      <c r="C3" s="17">
        <v>33</v>
      </c>
      <c r="D3" t="s">
        <v>77</v>
      </c>
      <c r="E3" t="s">
        <v>84</v>
      </c>
      <c r="F3" s="18">
        <v>89</v>
      </c>
      <c r="G3" s="17" t="s">
        <v>79</v>
      </c>
      <c r="H3" s="19">
        <v>45905</v>
      </c>
    </row>
    <row r="4" spans="1:9" x14ac:dyDescent="0.45">
      <c r="A4" t="s">
        <v>48</v>
      </c>
      <c r="B4" t="s">
        <v>63</v>
      </c>
      <c r="C4" s="17">
        <v>33</v>
      </c>
      <c r="D4" t="s">
        <v>76</v>
      </c>
      <c r="E4" t="s">
        <v>85</v>
      </c>
      <c r="F4" s="18">
        <v>93</v>
      </c>
      <c r="G4" s="17" t="s">
        <v>80</v>
      </c>
      <c r="H4" s="19">
        <v>45416</v>
      </c>
    </row>
    <row r="5" spans="1:9" x14ac:dyDescent="0.45">
      <c r="A5" t="s">
        <v>49</v>
      </c>
      <c r="B5" t="s">
        <v>64</v>
      </c>
      <c r="C5" s="17">
        <v>43</v>
      </c>
      <c r="D5" t="s">
        <v>78</v>
      </c>
      <c r="E5" t="s">
        <v>86</v>
      </c>
      <c r="F5" s="18">
        <v>81</v>
      </c>
      <c r="G5" s="18" t="s">
        <v>81</v>
      </c>
      <c r="H5" s="19">
        <v>45940</v>
      </c>
    </row>
    <row r="6" spans="1:9" x14ac:dyDescent="0.45">
      <c r="A6" t="s">
        <v>50</v>
      </c>
      <c r="B6" t="s">
        <v>65</v>
      </c>
      <c r="C6" s="17">
        <v>43</v>
      </c>
      <c r="D6" t="s">
        <v>77</v>
      </c>
      <c r="E6" t="s">
        <v>87</v>
      </c>
      <c r="F6" s="18">
        <v>85</v>
      </c>
      <c r="G6" s="18" t="s">
        <v>81</v>
      </c>
      <c r="H6" s="19">
        <v>45481</v>
      </c>
    </row>
    <row r="7" spans="1:9" x14ac:dyDescent="0.45">
      <c r="A7" t="s">
        <v>51</v>
      </c>
      <c r="B7" t="s">
        <v>66</v>
      </c>
      <c r="C7" s="17">
        <v>35</v>
      </c>
      <c r="D7" t="s">
        <v>78</v>
      </c>
      <c r="E7" t="s">
        <v>88</v>
      </c>
      <c r="F7" s="18">
        <v>95</v>
      </c>
      <c r="G7" s="17" t="s">
        <v>79</v>
      </c>
      <c r="H7" s="19">
        <v>45815</v>
      </c>
    </row>
    <row r="8" spans="1:9" x14ac:dyDescent="0.45">
      <c r="A8" t="s">
        <v>52</v>
      </c>
      <c r="B8" t="s">
        <v>98</v>
      </c>
      <c r="C8" s="17">
        <v>30</v>
      </c>
      <c r="D8" t="s">
        <v>77</v>
      </c>
      <c r="E8" s="16" t="s">
        <v>89</v>
      </c>
      <c r="F8" s="18">
        <v>98</v>
      </c>
      <c r="G8" s="18" t="s">
        <v>81</v>
      </c>
      <c r="H8" s="19">
        <v>45909</v>
      </c>
      <c r="I8" s="16"/>
    </row>
    <row r="9" spans="1:9" x14ac:dyDescent="0.45">
      <c r="A9" t="s">
        <v>53</v>
      </c>
      <c r="B9" t="s">
        <v>67</v>
      </c>
      <c r="C9" s="17">
        <v>48</v>
      </c>
      <c r="D9" t="s">
        <v>76</v>
      </c>
      <c r="E9" t="s">
        <v>90</v>
      </c>
      <c r="F9" s="18">
        <v>70</v>
      </c>
      <c r="G9" s="17" t="s">
        <v>80</v>
      </c>
      <c r="H9" s="19">
        <v>45513</v>
      </c>
    </row>
    <row r="10" spans="1:9" x14ac:dyDescent="0.45">
      <c r="A10" t="s">
        <v>54</v>
      </c>
      <c r="B10" t="s">
        <v>68</v>
      </c>
      <c r="C10" s="17">
        <v>46</v>
      </c>
      <c r="D10" t="s">
        <v>76</v>
      </c>
      <c r="E10" t="s">
        <v>91</v>
      </c>
      <c r="F10" s="18">
        <v>94</v>
      </c>
      <c r="G10" s="18" t="s">
        <v>81</v>
      </c>
      <c r="H10" s="19">
        <v>46337</v>
      </c>
    </row>
    <row r="11" spans="1:9" x14ac:dyDescent="0.45">
      <c r="A11" t="s">
        <v>55</v>
      </c>
      <c r="B11" t="s">
        <v>69</v>
      </c>
      <c r="C11" s="17">
        <v>43</v>
      </c>
      <c r="D11" t="s">
        <v>78</v>
      </c>
      <c r="E11" t="s">
        <v>92</v>
      </c>
      <c r="F11" s="18">
        <v>91</v>
      </c>
      <c r="G11" s="17" t="s">
        <v>79</v>
      </c>
      <c r="H11" s="19">
        <v>46357</v>
      </c>
    </row>
    <row r="12" spans="1:9" x14ac:dyDescent="0.45">
      <c r="A12" t="s">
        <v>56</v>
      </c>
      <c r="B12" t="s">
        <v>70</v>
      </c>
      <c r="C12" s="17">
        <v>38</v>
      </c>
      <c r="D12" t="s">
        <v>77</v>
      </c>
      <c r="E12" t="s">
        <v>93</v>
      </c>
      <c r="F12" s="18">
        <v>90</v>
      </c>
      <c r="G12" s="18" t="s">
        <v>81</v>
      </c>
      <c r="H12" s="19">
        <v>45939</v>
      </c>
    </row>
    <row r="13" spans="1:9" x14ac:dyDescent="0.45">
      <c r="A13" t="s">
        <v>57</v>
      </c>
      <c r="B13" t="s">
        <v>71</v>
      </c>
      <c r="C13" s="17">
        <v>49</v>
      </c>
      <c r="D13" t="s">
        <v>78</v>
      </c>
      <c r="E13" t="s">
        <v>94</v>
      </c>
      <c r="F13" s="18">
        <v>89</v>
      </c>
      <c r="G13" s="17" t="s">
        <v>80</v>
      </c>
      <c r="H13" s="19">
        <v>45605</v>
      </c>
    </row>
    <row r="14" spans="1:9" x14ac:dyDescent="0.45">
      <c r="A14" t="s">
        <v>58</v>
      </c>
      <c r="B14" t="s">
        <v>99</v>
      </c>
      <c r="C14" s="17">
        <v>40</v>
      </c>
      <c r="D14" t="s">
        <v>76</v>
      </c>
      <c r="E14" t="s">
        <v>91</v>
      </c>
      <c r="F14" s="18">
        <v>88</v>
      </c>
      <c r="G14" s="18" t="s">
        <v>81</v>
      </c>
      <c r="H14" s="19">
        <v>46086</v>
      </c>
    </row>
    <row r="15" spans="1:9" x14ac:dyDescent="0.45">
      <c r="A15" t="s">
        <v>59</v>
      </c>
      <c r="B15" t="s">
        <v>72</v>
      </c>
      <c r="C15" s="17">
        <v>36</v>
      </c>
      <c r="D15" t="s">
        <v>77</v>
      </c>
      <c r="E15" t="s">
        <v>95</v>
      </c>
      <c r="F15" s="18">
        <v>87</v>
      </c>
      <c r="G15" s="17" t="s">
        <v>79</v>
      </c>
      <c r="H15" s="19">
        <v>45772</v>
      </c>
    </row>
    <row r="16" spans="1:9" x14ac:dyDescent="0.45">
      <c r="A16" t="s">
        <v>60</v>
      </c>
      <c r="B16" t="s">
        <v>73</v>
      </c>
      <c r="C16" s="17">
        <v>34</v>
      </c>
      <c r="D16" t="s">
        <v>76</v>
      </c>
      <c r="E16" t="s">
        <v>96</v>
      </c>
      <c r="F16" s="18">
        <v>92</v>
      </c>
      <c r="G16" s="17" t="s">
        <v>80</v>
      </c>
      <c r="H16" s="19">
        <v>45710</v>
      </c>
    </row>
    <row r="17" spans="1:8" x14ac:dyDescent="0.45">
      <c r="A17" t="s">
        <v>102</v>
      </c>
      <c r="B17" t="s">
        <v>114</v>
      </c>
      <c r="C17" s="17">
        <v>35</v>
      </c>
      <c r="D17" t="s">
        <v>77</v>
      </c>
      <c r="E17" t="s">
        <v>126</v>
      </c>
      <c r="F17" s="18">
        <v>81</v>
      </c>
      <c r="G17" s="20" t="s">
        <v>79</v>
      </c>
      <c r="H17" s="19">
        <v>45751</v>
      </c>
    </row>
    <row r="18" spans="1:8" x14ac:dyDescent="0.45">
      <c r="A18" t="s">
        <v>103</v>
      </c>
      <c r="B18" t="s">
        <v>115</v>
      </c>
      <c r="C18" s="17">
        <v>31</v>
      </c>
      <c r="D18" t="s">
        <v>76</v>
      </c>
      <c r="E18" t="s">
        <v>127</v>
      </c>
      <c r="F18" s="18">
        <v>80</v>
      </c>
      <c r="G18" s="20" t="s">
        <v>80</v>
      </c>
      <c r="H18" s="19">
        <v>46241</v>
      </c>
    </row>
    <row r="19" spans="1:8" x14ac:dyDescent="0.45">
      <c r="A19" t="s">
        <v>104</v>
      </c>
      <c r="B19" t="s">
        <v>116</v>
      </c>
      <c r="C19" s="17">
        <v>30</v>
      </c>
      <c r="D19" t="s">
        <v>77</v>
      </c>
      <c r="E19" t="s">
        <v>128</v>
      </c>
      <c r="F19" s="18">
        <v>79</v>
      </c>
      <c r="G19" s="20" t="s">
        <v>81</v>
      </c>
      <c r="H19" s="19">
        <v>45753</v>
      </c>
    </row>
    <row r="20" spans="1:8" x14ac:dyDescent="0.45">
      <c r="A20" t="s">
        <v>105</v>
      </c>
      <c r="B20" t="s">
        <v>117</v>
      </c>
      <c r="C20" s="17">
        <v>28</v>
      </c>
      <c r="D20" t="s">
        <v>78</v>
      </c>
      <c r="E20" t="s">
        <v>129</v>
      </c>
      <c r="F20" s="18">
        <v>78</v>
      </c>
      <c r="G20" s="20" t="s">
        <v>79</v>
      </c>
      <c r="H20" s="19">
        <v>45485</v>
      </c>
    </row>
    <row r="21" spans="1:8" x14ac:dyDescent="0.45">
      <c r="A21" t="s">
        <v>106</v>
      </c>
      <c r="B21" t="s">
        <v>118</v>
      </c>
      <c r="C21" s="17">
        <v>32</v>
      </c>
      <c r="D21" t="s">
        <v>77</v>
      </c>
      <c r="E21" t="s">
        <v>130</v>
      </c>
      <c r="F21" s="18">
        <v>92</v>
      </c>
      <c r="G21" s="20" t="s">
        <v>81</v>
      </c>
      <c r="H21" s="19">
        <v>46141</v>
      </c>
    </row>
    <row r="22" spans="1:8" x14ac:dyDescent="0.45">
      <c r="A22" t="s">
        <v>107</v>
      </c>
      <c r="B22" t="s">
        <v>119</v>
      </c>
      <c r="C22" s="17">
        <v>33</v>
      </c>
      <c r="D22" t="s">
        <v>76</v>
      </c>
      <c r="E22" t="s">
        <v>131</v>
      </c>
      <c r="F22" s="18">
        <v>93</v>
      </c>
      <c r="G22" s="20" t="s">
        <v>81</v>
      </c>
      <c r="H22" s="19">
        <v>45815</v>
      </c>
    </row>
    <row r="23" spans="1:8" x14ac:dyDescent="0.45">
      <c r="A23" t="s">
        <v>108</v>
      </c>
      <c r="B23" t="s">
        <v>120</v>
      </c>
      <c r="C23" s="17">
        <v>34</v>
      </c>
      <c r="D23" t="s">
        <v>77</v>
      </c>
      <c r="E23" t="s">
        <v>132</v>
      </c>
      <c r="F23" s="18">
        <v>95</v>
      </c>
      <c r="G23" s="20" t="s">
        <v>80</v>
      </c>
      <c r="H23" s="19">
        <v>46289</v>
      </c>
    </row>
    <row r="24" spans="1:8" x14ac:dyDescent="0.45">
      <c r="A24" t="s">
        <v>109</v>
      </c>
      <c r="B24" t="s">
        <v>121</v>
      </c>
      <c r="C24" s="17">
        <v>35</v>
      </c>
      <c r="D24" t="s">
        <v>78</v>
      </c>
      <c r="E24" t="s">
        <v>133</v>
      </c>
      <c r="F24" s="18">
        <v>94</v>
      </c>
      <c r="G24" s="20" t="s">
        <v>80</v>
      </c>
      <c r="H24" s="19">
        <v>45944</v>
      </c>
    </row>
    <row r="25" spans="1:8" x14ac:dyDescent="0.45">
      <c r="A25" t="s">
        <v>110</v>
      </c>
      <c r="B25" t="s">
        <v>122</v>
      </c>
      <c r="C25" s="17">
        <v>30</v>
      </c>
      <c r="D25" t="s">
        <v>77</v>
      </c>
      <c r="E25" t="s">
        <v>134</v>
      </c>
      <c r="F25" s="18">
        <v>97</v>
      </c>
      <c r="G25" s="20" t="s">
        <v>79</v>
      </c>
      <c r="H25" s="19">
        <v>46283</v>
      </c>
    </row>
    <row r="26" spans="1:8" x14ac:dyDescent="0.45">
      <c r="A26" t="s">
        <v>111</v>
      </c>
      <c r="B26" t="s">
        <v>123</v>
      </c>
      <c r="C26" s="17">
        <v>29</v>
      </c>
      <c r="D26" t="s">
        <v>78</v>
      </c>
      <c r="E26" t="s">
        <v>135</v>
      </c>
      <c r="F26" s="18">
        <v>94</v>
      </c>
      <c r="G26" s="20" t="s">
        <v>79</v>
      </c>
      <c r="H26" s="19">
        <v>45579</v>
      </c>
    </row>
    <row r="27" spans="1:8" x14ac:dyDescent="0.45">
      <c r="A27" t="s">
        <v>112</v>
      </c>
      <c r="B27" t="s">
        <v>124</v>
      </c>
      <c r="C27" s="17">
        <v>36</v>
      </c>
      <c r="D27" t="s">
        <v>78</v>
      </c>
      <c r="E27" t="s">
        <v>136</v>
      </c>
      <c r="F27" s="18">
        <v>84</v>
      </c>
      <c r="G27" s="20" t="s">
        <v>80</v>
      </c>
      <c r="H27" s="19">
        <v>45844</v>
      </c>
    </row>
    <row r="28" spans="1:8" x14ac:dyDescent="0.45">
      <c r="A28" t="s">
        <v>113</v>
      </c>
      <c r="B28" t="s">
        <v>125</v>
      </c>
      <c r="C28" s="17">
        <v>37</v>
      </c>
      <c r="D28" t="s">
        <v>77</v>
      </c>
      <c r="E28" t="s">
        <v>137</v>
      </c>
      <c r="F28" s="18">
        <v>75</v>
      </c>
      <c r="G28" s="20" t="s">
        <v>81</v>
      </c>
      <c r="H28" s="19">
        <v>46157</v>
      </c>
    </row>
    <row r="31" spans="1:8" x14ac:dyDescent="0.45">
      <c r="A31" t="s">
        <v>194</v>
      </c>
    </row>
    <row r="32" spans="1:8" x14ac:dyDescent="0.45">
      <c r="A32" t="b">
        <f>AND(F3&gt;=LARGE($F$3:$F$28,5),YEAR(H3)&gt;=2025)</f>
        <v>0</v>
      </c>
    </row>
    <row r="34" spans="1:5" x14ac:dyDescent="0.45">
      <c r="A34" t="s">
        <v>61</v>
      </c>
      <c r="B34" t="s">
        <v>74</v>
      </c>
      <c r="C34" t="s">
        <v>75</v>
      </c>
      <c r="D34" t="s">
        <v>100</v>
      </c>
      <c r="E34" t="s">
        <v>101</v>
      </c>
    </row>
    <row r="35" spans="1:5" x14ac:dyDescent="0.45">
      <c r="A35" t="s">
        <v>66</v>
      </c>
      <c r="B35" s="17">
        <v>35</v>
      </c>
      <c r="C35" t="s">
        <v>78</v>
      </c>
      <c r="D35" s="18">
        <v>95</v>
      </c>
      <c r="E35" s="19">
        <v>45815</v>
      </c>
    </row>
    <row r="36" spans="1:5" x14ac:dyDescent="0.45">
      <c r="A36" t="s">
        <v>98</v>
      </c>
      <c r="B36" s="17">
        <v>30</v>
      </c>
      <c r="C36" t="s">
        <v>77</v>
      </c>
      <c r="D36" s="18">
        <v>98</v>
      </c>
      <c r="E36" s="19">
        <v>45909</v>
      </c>
    </row>
    <row r="37" spans="1:5" x14ac:dyDescent="0.45">
      <c r="A37" t="s">
        <v>68</v>
      </c>
      <c r="B37" s="17">
        <v>46</v>
      </c>
      <c r="C37" t="s">
        <v>76</v>
      </c>
      <c r="D37" s="18">
        <v>94</v>
      </c>
      <c r="E37" s="19">
        <v>46337</v>
      </c>
    </row>
    <row r="38" spans="1:5" x14ac:dyDescent="0.45">
      <c r="A38" t="s">
        <v>120</v>
      </c>
      <c r="B38" s="17">
        <v>34</v>
      </c>
      <c r="C38" t="s">
        <v>77</v>
      </c>
      <c r="D38" s="18">
        <v>95</v>
      </c>
      <c r="E38" s="19">
        <v>46289</v>
      </c>
    </row>
    <row r="39" spans="1:5" x14ac:dyDescent="0.45">
      <c r="A39" t="s">
        <v>121</v>
      </c>
      <c r="B39" s="17">
        <v>35</v>
      </c>
      <c r="C39" t="s">
        <v>78</v>
      </c>
      <c r="D39" s="18">
        <v>94</v>
      </c>
      <c r="E39" s="19">
        <v>45944</v>
      </c>
    </row>
    <row r="40" spans="1:5" x14ac:dyDescent="0.45">
      <c r="A40" t="s">
        <v>122</v>
      </c>
      <c r="B40" s="17">
        <v>30</v>
      </c>
      <c r="C40" t="s">
        <v>77</v>
      </c>
      <c r="D40" s="18">
        <v>97</v>
      </c>
      <c r="E40" s="19">
        <v>46283</v>
      </c>
    </row>
  </sheetData>
  <phoneticPr fontId="1" type="noConversion"/>
  <conditionalFormatting sqref="A3:H28">
    <cfRule type="expression" dxfId="0" priority="1">
      <formula>AND(OR($D3="서울",$D3="경기"),LEFT($B3,1)="김")</formula>
    </cfRule>
  </conditionalFormatting>
  <printOptions horizontalCentered="1" verticalCentered="1"/>
  <pageMargins left="0.70866141732283472" right="0.70866141732283472" top="0.19685039370078741" bottom="0.19685039370078741" header="0.19685039370078741" footer="0.19685039370078741"/>
  <pageSetup paperSize="9" scale="120" orientation="landscape" r:id="rId1"/>
  <headerFooter>
    <oddFooter>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0"/>
  <sheetViews>
    <sheetView tabSelected="1" workbookViewId="0">
      <selection activeCell="G31" sqref="G31"/>
    </sheetView>
  </sheetViews>
  <sheetFormatPr defaultRowHeight="17" x14ac:dyDescent="0.45"/>
  <cols>
    <col min="1" max="1" width="10.5" customWidth="1"/>
    <col min="2" max="2" width="11.6640625" bestFit="1" customWidth="1"/>
    <col min="3" max="3" width="13.6640625" customWidth="1"/>
    <col min="4" max="4" width="13.5" style="23" customWidth="1"/>
    <col min="5" max="5" width="9.9140625" customWidth="1"/>
    <col min="6" max="6" width="14.58203125" style="22" customWidth="1"/>
    <col min="7" max="7" width="12.75" customWidth="1"/>
    <col min="8" max="8" width="13.58203125" customWidth="1"/>
    <col min="9" max="9" width="11.33203125" customWidth="1"/>
  </cols>
  <sheetData>
    <row r="1" spans="1:9" x14ac:dyDescent="0.45">
      <c r="A1" t="s">
        <v>11</v>
      </c>
    </row>
    <row r="2" spans="1:9" x14ac:dyDescent="0.45">
      <c r="A2" s="21" t="s">
        <v>138</v>
      </c>
      <c r="B2" s="21" t="s">
        <v>150</v>
      </c>
      <c r="C2" s="21" t="s">
        <v>147</v>
      </c>
      <c r="D2" s="24" t="s">
        <v>41</v>
      </c>
      <c r="E2" s="21" t="s">
        <v>148</v>
      </c>
      <c r="F2" s="21" t="s">
        <v>139</v>
      </c>
      <c r="G2" s="31" t="s">
        <v>43</v>
      </c>
      <c r="H2" s="31" t="s">
        <v>149</v>
      </c>
      <c r="I2" s="31" t="s">
        <v>140</v>
      </c>
    </row>
    <row r="3" spans="1:9" x14ac:dyDescent="0.45">
      <c r="A3" s="10" t="s">
        <v>171</v>
      </c>
      <c r="B3" s="10" t="s">
        <v>159</v>
      </c>
      <c r="C3" s="10" t="s">
        <v>151</v>
      </c>
      <c r="D3" s="12">
        <v>4000000</v>
      </c>
      <c r="E3" s="25">
        <v>24</v>
      </c>
      <c r="F3" s="26">
        <v>45414</v>
      </c>
      <c r="G3" s="13">
        <f>PMT(IF(OR(B3="프리미엄",B3="골드"),5%,3%)/12,E3,-D3)</f>
        <v>175485.55893627377</v>
      </c>
      <c r="H3" s="36" cm="1">
        <f t="array" ref="H3">_xlfn.IFS(E3&lt;24,10000,E3&lt;48,15000,E3&gt;=48,20000)+VLOOKUP(B3,$A$37:$D$40,MATCH(D3,$B$35:$D$35,1)+1,FALSE)</f>
        <v>65000</v>
      </c>
      <c r="I3" s="21" t="str" cm="1">
        <f t="array" ref="I3">fn비고(D3,B3)</f>
        <v/>
      </c>
    </row>
    <row r="4" spans="1:9" x14ac:dyDescent="0.45">
      <c r="A4" s="10" t="s">
        <v>178</v>
      </c>
      <c r="B4" s="10" t="s">
        <v>160</v>
      </c>
      <c r="C4" s="10" t="s">
        <v>158</v>
      </c>
      <c r="D4" s="12">
        <v>10000000</v>
      </c>
      <c r="E4" s="25">
        <v>40</v>
      </c>
      <c r="F4" s="26">
        <v>45551</v>
      </c>
      <c r="G4" s="13">
        <f>PMT(IF(OR(B4="프리미엄",B4="골드"),5%,3%)/12,E4,-D4)</f>
        <v>271931.04106117174</v>
      </c>
      <c r="H4" s="36" cm="1">
        <f t="array" ref="H4">_xlfn.IFS(E4&lt;24,10000,E4&lt;48,15000,E4&gt;=48,20000)+VLOOKUP(B4,$A$37:$D$40,MATCH(D4,$B$35:$D$35,1)+1,FALSE)</f>
        <v>45000</v>
      </c>
      <c r="I4" s="21" t="str" cm="1">
        <f t="array" ref="I4">fn비고(D4,B4)</f>
        <v>♣</v>
      </c>
    </row>
    <row r="5" spans="1:9" x14ac:dyDescent="0.45">
      <c r="A5" s="10" t="s">
        <v>179</v>
      </c>
      <c r="B5" s="10" t="s">
        <v>162</v>
      </c>
      <c r="C5" s="10" t="s">
        <v>163</v>
      </c>
      <c r="D5" s="12">
        <v>15000000</v>
      </c>
      <c r="E5" s="25">
        <v>24</v>
      </c>
      <c r="F5" s="26">
        <v>45584</v>
      </c>
      <c r="G5" s="13">
        <f>PMT(IF(OR(B5="프리미엄",B5="골드"),5%,3%)/12,E5,-D5)</f>
        <v>644718.1796933416</v>
      </c>
      <c r="H5" s="36" cm="1">
        <f t="array" ref="H5">_xlfn.IFS(E5&lt;24,10000,E5&lt;48,15000,E5&gt;=48,20000)+VLOOKUP(B5,$A$37:$D$40,MATCH(D5,$B$35:$D$35,1)+1,FALSE)</f>
        <v>25000</v>
      </c>
      <c r="I5" s="21" t="str" cm="1">
        <f t="array" ref="I5">fn비고(D5,B5)</f>
        <v>◈</v>
      </c>
    </row>
    <row r="6" spans="1:9" x14ac:dyDescent="0.45">
      <c r="A6" s="10" t="s">
        <v>172</v>
      </c>
      <c r="B6" s="10" t="s">
        <v>160</v>
      </c>
      <c r="C6" s="10" t="s">
        <v>152</v>
      </c>
      <c r="D6" s="12">
        <v>6000000</v>
      </c>
      <c r="E6" s="25">
        <v>36</v>
      </c>
      <c r="F6" s="26">
        <v>45316</v>
      </c>
      <c r="G6" s="13">
        <f t="shared" ref="G6:G26" si="0">PMT(IF(OR(B6="프리미엄",B6="골드"),5%,3%)/12,E6,-D6)</f>
        <v>179825.38262799286</v>
      </c>
      <c r="H6" s="36" cm="1">
        <f t="array" ref="H6">_xlfn.IFS(E6&lt;24,10000,E6&lt;48,15000,E6&gt;=48,20000)+VLOOKUP(B6,$A$37:$D$40,MATCH(D6,$B$35:$D$35,1)+1,FALSE)</f>
        <v>50000</v>
      </c>
      <c r="I6" s="21" t="str" cm="1">
        <f t="array" ref="I6">fn비고(D6,B6)</f>
        <v/>
      </c>
    </row>
    <row r="7" spans="1:9" x14ac:dyDescent="0.45">
      <c r="A7" s="10" t="s">
        <v>173</v>
      </c>
      <c r="B7" s="10" t="s">
        <v>161</v>
      </c>
      <c r="C7" s="10" t="s">
        <v>151</v>
      </c>
      <c r="D7" s="12">
        <v>5000000</v>
      </c>
      <c r="E7" s="25">
        <v>30</v>
      </c>
      <c r="F7" s="26">
        <v>46073</v>
      </c>
      <c r="G7" s="13">
        <f t="shared" si="0"/>
        <v>173202.93351312762</v>
      </c>
      <c r="H7" s="36" cm="1">
        <f t="array" ref="H7">_xlfn.IFS(E7&lt;24,10000,E7&lt;48,15000,E7&gt;=48,20000)+VLOOKUP(B7,$A$37:$D$40,MATCH(D7,$B$35:$D$35,1)+1,FALSE)</f>
        <v>40000</v>
      </c>
      <c r="I7" s="21" t="str" cm="1">
        <f t="array" ref="I7">fn비고(D7,B7)</f>
        <v/>
      </c>
    </row>
    <row r="8" spans="1:9" x14ac:dyDescent="0.45">
      <c r="A8" s="10" t="s">
        <v>180</v>
      </c>
      <c r="B8" s="10" t="s">
        <v>162</v>
      </c>
      <c r="C8" s="10" t="s">
        <v>151</v>
      </c>
      <c r="D8" s="12">
        <v>13000000</v>
      </c>
      <c r="E8" s="25">
        <v>18</v>
      </c>
      <c r="F8" s="26">
        <v>46158</v>
      </c>
      <c r="G8" s="13">
        <f>PMT(IF(OR(B8="프리미엄",B8="골드"),5%,3%)/12,E8,-D8)</f>
        <v>739496.34312402306</v>
      </c>
      <c r="H8" s="36" cm="1">
        <f t="array" ref="H8">_xlfn.IFS(E8&lt;24,10000,E8&lt;48,15000,E8&gt;=48,20000)+VLOOKUP(B8,$A$37:$D$40,MATCH(D8,$B$35:$D$35,1)+1,FALSE)</f>
        <v>20000</v>
      </c>
      <c r="I8" s="21" t="str" cm="1">
        <f t="array" ref="I8">fn비고(D8,B8)</f>
        <v>◈</v>
      </c>
    </row>
    <row r="9" spans="1:9" x14ac:dyDescent="0.45">
      <c r="A9" s="10" t="s">
        <v>174</v>
      </c>
      <c r="B9" s="10" t="s">
        <v>159</v>
      </c>
      <c r="C9" s="10" t="s">
        <v>153</v>
      </c>
      <c r="D9" s="12">
        <v>2900000</v>
      </c>
      <c r="E9" s="25">
        <v>48</v>
      </c>
      <c r="F9" s="26">
        <v>45720</v>
      </c>
      <c r="G9" s="13">
        <f t="shared" si="0"/>
        <v>66784.951354874909</v>
      </c>
      <c r="H9" s="36" cm="1">
        <f t="array" ref="H9">_xlfn.IFS(E9&lt;24,10000,E9&lt;48,15000,E9&gt;=48,20000)+VLOOKUP(B9,$A$37:$D$40,MATCH(D9,$B$35:$D$35,1)+1,FALSE)</f>
        <v>70000</v>
      </c>
      <c r="I9" s="21" t="str" cm="1">
        <f t="array" ref="I9">fn비고(D9,B9)</f>
        <v/>
      </c>
    </row>
    <row r="10" spans="1:9" x14ac:dyDescent="0.45">
      <c r="A10" s="10" t="s">
        <v>175</v>
      </c>
      <c r="B10" s="10" t="s">
        <v>159</v>
      </c>
      <c r="C10" s="10" t="s">
        <v>154</v>
      </c>
      <c r="D10" s="12">
        <v>2500000</v>
      </c>
      <c r="E10" s="25">
        <v>56</v>
      </c>
      <c r="F10" s="26">
        <v>45605</v>
      </c>
      <c r="G10" s="13">
        <f t="shared" si="0"/>
        <v>50146.075055241941</v>
      </c>
      <c r="H10" s="36" cm="1">
        <f t="array" ref="H10">_xlfn.IFS(E10&lt;24,10000,E10&lt;48,15000,E10&gt;=48,20000)+VLOOKUP(B10,$A$37:$D$40,MATCH(D10,$B$35:$D$35,1)+1,FALSE)</f>
        <v>70000</v>
      </c>
      <c r="I10" s="21" t="str" cm="1">
        <f t="array" ref="I10">fn비고(D10,B10)</f>
        <v/>
      </c>
    </row>
    <row r="11" spans="1:9" x14ac:dyDescent="0.45">
      <c r="A11" s="10" t="s">
        <v>171</v>
      </c>
      <c r="B11" s="10" t="s">
        <v>159</v>
      </c>
      <c r="C11" s="10" t="s">
        <v>155</v>
      </c>
      <c r="D11" s="12">
        <v>3500000</v>
      </c>
      <c r="E11" s="25">
        <v>50</v>
      </c>
      <c r="F11" s="26">
        <v>45857</v>
      </c>
      <c r="G11" s="13">
        <f t="shared" si="0"/>
        <v>77689.873982859193</v>
      </c>
      <c r="H11" s="36" cm="1">
        <f t="array" ref="H11">_xlfn.IFS(E11&lt;24,10000,E11&lt;48,15000,E11&gt;=48,20000)+VLOOKUP(B11,$A$37:$D$40,MATCH(D11,$B$35:$D$35,1)+1,FALSE)</f>
        <v>70000</v>
      </c>
      <c r="I11" s="21" t="str" cm="1">
        <f t="array" ref="I11">fn비고(D11,B11)</f>
        <v/>
      </c>
    </row>
    <row r="12" spans="1:9" x14ac:dyDescent="0.45">
      <c r="A12" s="10" t="s">
        <v>176</v>
      </c>
      <c r="B12" s="10" t="s">
        <v>159</v>
      </c>
      <c r="C12" s="10" t="s">
        <v>156</v>
      </c>
      <c r="D12" s="12">
        <v>9000000</v>
      </c>
      <c r="E12" s="25">
        <v>48</v>
      </c>
      <c r="F12" s="26">
        <v>45815</v>
      </c>
      <c r="G12" s="13">
        <f t="shared" si="0"/>
        <v>207263.64213581866</v>
      </c>
      <c r="H12" s="36" cm="1">
        <f t="array" ref="H12">_xlfn.IFS(E12&lt;24,10000,E12&lt;48,15000,E12&gt;=48,20000)+VLOOKUP(B12,$A$37:$D$40,MATCH(D12,$B$35:$D$35,1)+1,FALSE)</f>
        <v>65000</v>
      </c>
      <c r="I12" s="21" t="str" cm="1">
        <f t="array" ref="I12">fn비고(D12,B12)</f>
        <v/>
      </c>
    </row>
    <row r="13" spans="1:9" x14ac:dyDescent="0.45">
      <c r="A13" s="10" t="s">
        <v>177</v>
      </c>
      <c r="B13" s="10" t="s">
        <v>160</v>
      </c>
      <c r="C13" s="10" t="s">
        <v>157</v>
      </c>
      <c r="D13" s="12">
        <v>11000000</v>
      </c>
      <c r="E13" s="25">
        <v>36</v>
      </c>
      <c r="F13" s="26">
        <v>45993</v>
      </c>
      <c r="G13" s="13">
        <f t="shared" si="0"/>
        <v>329679.86815132026</v>
      </c>
      <c r="H13" s="36" cm="1">
        <f t="array" ref="H13">_xlfn.IFS(E13&lt;24,10000,E13&lt;48,15000,E13&gt;=48,20000)+VLOOKUP(B13,$A$37:$D$40,MATCH(D13,$B$35:$D$35,1)+1,FALSE)</f>
        <v>45000</v>
      </c>
      <c r="I13" s="21" t="str" cm="1">
        <f t="array" ref="I13">fn비고(D13,B13)</f>
        <v>♣</v>
      </c>
    </row>
    <row r="14" spans="1:9" x14ac:dyDescent="0.45">
      <c r="A14" s="10" t="s">
        <v>182</v>
      </c>
      <c r="B14" s="10" t="s">
        <v>162</v>
      </c>
      <c r="C14" s="10" t="s">
        <v>156</v>
      </c>
      <c r="D14" s="12">
        <v>12000000</v>
      </c>
      <c r="E14" s="25">
        <v>24</v>
      </c>
      <c r="F14" s="26">
        <v>45903</v>
      </c>
      <c r="G14" s="13">
        <f t="shared" si="0"/>
        <v>515774.54375467321</v>
      </c>
      <c r="H14" s="36" cm="1">
        <f t="array" ref="H14">_xlfn.IFS(E14&lt;24,10000,E14&lt;48,15000,E14&gt;=48,20000)+VLOOKUP(B14,$A$37:$D$40,MATCH(D14,$B$35:$D$35,1)+1,FALSE)</f>
        <v>25000</v>
      </c>
      <c r="I14" s="21" t="str" cm="1">
        <f t="array" ref="I14">fn비고(D14,B14)</f>
        <v>◈</v>
      </c>
    </row>
    <row r="15" spans="1:9" x14ac:dyDescent="0.45">
      <c r="A15" s="10" t="s">
        <v>183</v>
      </c>
      <c r="B15" s="10" t="s">
        <v>161</v>
      </c>
      <c r="C15" s="10" t="s">
        <v>157</v>
      </c>
      <c r="D15" s="12">
        <v>7500000</v>
      </c>
      <c r="E15" s="25">
        <v>18</v>
      </c>
      <c r="F15" s="26">
        <v>46115</v>
      </c>
      <c r="G15" s="13">
        <f t="shared" si="0"/>
        <v>426632.50564847485</v>
      </c>
      <c r="H15" s="36" cm="1">
        <f t="array" ref="H15">_xlfn.IFS(E15&lt;24,10000,E15&lt;48,15000,E15&gt;=48,20000)+VLOOKUP(B15,$A$37:$D$40,MATCH(D15,$B$35:$D$35,1)+1,FALSE)</f>
        <v>35000</v>
      </c>
      <c r="I15" s="21" t="str" cm="1">
        <f t="array" ref="I15">fn비고(D15,B15)</f>
        <v/>
      </c>
    </row>
    <row r="16" spans="1:9" x14ac:dyDescent="0.45">
      <c r="A16" s="10" t="s">
        <v>184</v>
      </c>
      <c r="B16" s="10" t="s">
        <v>160</v>
      </c>
      <c r="C16" s="10" t="s">
        <v>158</v>
      </c>
      <c r="D16" s="12">
        <v>6500000</v>
      </c>
      <c r="E16" s="25">
        <v>24</v>
      </c>
      <c r="F16" s="26">
        <v>45330</v>
      </c>
      <c r="G16" s="13">
        <f t="shared" si="0"/>
        <v>285164.0332714449</v>
      </c>
      <c r="H16" s="36" cm="1">
        <f t="array" ref="H16">_xlfn.IFS(E16&lt;24,10000,E16&lt;48,15000,E16&gt;=48,20000)+VLOOKUP(B16,$A$37:$D$40,MATCH(D16,$B$35:$D$35,1)+1,FALSE)</f>
        <v>50000</v>
      </c>
      <c r="I16" s="21" t="str" cm="1">
        <f t="array" ref="I16">fn비고(D16,B16)</f>
        <v/>
      </c>
    </row>
    <row r="17" spans="1:9" x14ac:dyDescent="0.45">
      <c r="A17" s="10" t="s">
        <v>181</v>
      </c>
      <c r="B17" s="10" t="s">
        <v>161</v>
      </c>
      <c r="C17" s="10" t="s">
        <v>152</v>
      </c>
      <c r="D17" s="12">
        <v>8000000</v>
      </c>
      <c r="E17" s="25">
        <v>15</v>
      </c>
      <c r="F17" s="26">
        <v>45512</v>
      </c>
      <c r="G17" s="13">
        <f>PMT(IF(OR(B17="프리미엄",B17="골드"),5%,3%)/12,E17,-D17)</f>
        <v>544062.14311454247</v>
      </c>
      <c r="H17" s="36" cm="1">
        <f t="array" ref="H17">_xlfn.IFS(E17&lt;24,10000,E17&lt;48,15000,E17&gt;=48,20000)+VLOOKUP(B17,$A$37:$D$40,MATCH(D17,$B$35:$D$35,1)+1,FALSE)</f>
        <v>35000</v>
      </c>
      <c r="I17" s="21" t="str" cm="1">
        <f t="array" ref="I17">fn비고(D17,B17)</f>
        <v>♣</v>
      </c>
    </row>
    <row r="18" spans="1:9" x14ac:dyDescent="0.45">
      <c r="A18" s="10" t="s">
        <v>185</v>
      </c>
      <c r="B18" s="10" t="s">
        <v>159</v>
      </c>
      <c r="C18" s="10" t="s">
        <v>155</v>
      </c>
      <c r="D18" s="12">
        <v>2500000</v>
      </c>
      <c r="E18" s="25">
        <v>30</v>
      </c>
      <c r="F18" s="26">
        <v>45671</v>
      </c>
      <c r="G18" s="13">
        <f t="shared" si="0"/>
        <v>88823.410908441307</v>
      </c>
      <c r="H18" s="36" cm="1">
        <f t="array" ref="H18">_xlfn.IFS(E18&lt;24,10000,E18&lt;48,15000,E18&gt;=48,20000)+VLOOKUP(B18,$A$37:$D$40,MATCH(D18,$B$35:$D$35,1)+1,FALSE)</f>
        <v>65000</v>
      </c>
      <c r="I18" s="21" t="str" cm="1">
        <f t="array" ref="I18">fn비고(D18,B18)</f>
        <v/>
      </c>
    </row>
    <row r="19" spans="1:9" x14ac:dyDescent="0.45">
      <c r="A19" s="10" t="s">
        <v>186</v>
      </c>
      <c r="B19" s="10" t="s">
        <v>159</v>
      </c>
      <c r="C19" s="10" t="s">
        <v>154</v>
      </c>
      <c r="D19" s="12">
        <v>1800000</v>
      </c>
      <c r="E19" s="25">
        <v>18</v>
      </c>
      <c r="F19" s="26">
        <v>46296</v>
      </c>
      <c r="G19" s="13">
        <f t="shared" si="0"/>
        <v>104004.96220557908</v>
      </c>
      <c r="H19" s="36" cm="1">
        <f t="array" ref="H19">_xlfn.IFS(E19&lt;24,10000,E19&lt;48,15000,E19&gt;=48,20000)+VLOOKUP(B19,$A$37:$D$40,MATCH(D19,$B$35:$D$35,1)+1,FALSE)</f>
        <v>60000</v>
      </c>
      <c r="I19" s="21" t="str" cm="1">
        <f t="array" ref="I19">fn비고(D19,B19)</f>
        <v/>
      </c>
    </row>
    <row r="20" spans="1:9" x14ac:dyDescent="0.45">
      <c r="A20" s="10" t="s">
        <v>187</v>
      </c>
      <c r="B20" s="10" t="s">
        <v>159</v>
      </c>
      <c r="C20" s="10" t="s">
        <v>153</v>
      </c>
      <c r="D20" s="12">
        <v>4500000</v>
      </c>
      <c r="E20" s="25">
        <v>48</v>
      </c>
      <c r="F20" s="26">
        <v>45825</v>
      </c>
      <c r="G20" s="13">
        <f t="shared" si="0"/>
        <v>103631.82106790933</v>
      </c>
      <c r="H20" s="36" cm="1">
        <f t="array" ref="H20">_xlfn.IFS(E20&lt;24,10000,E20&lt;48,15000,E20&gt;=48,20000)+VLOOKUP(B20,$A$37:$D$40,MATCH(D20,$B$35:$D$35,1)+1,FALSE)</f>
        <v>70000</v>
      </c>
      <c r="I20" s="21" t="str" cm="1">
        <f t="array" ref="I20">fn비고(D20,B20)</f>
        <v/>
      </c>
    </row>
    <row r="21" spans="1:9" x14ac:dyDescent="0.45">
      <c r="A21" s="10" t="s">
        <v>188</v>
      </c>
      <c r="B21" s="10" t="s">
        <v>161</v>
      </c>
      <c r="C21" s="27" t="s">
        <v>152</v>
      </c>
      <c r="D21" s="12">
        <v>8700000</v>
      </c>
      <c r="E21" s="25">
        <v>36</v>
      </c>
      <c r="F21" s="26">
        <v>45539</v>
      </c>
      <c r="G21" s="13">
        <f t="shared" si="0"/>
        <v>253006.52378667527</v>
      </c>
      <c r="H21" s="36" cm="1">
        <f t="array" ref="H21">_xlfn.IFS(E21&lt;24,10000,E21&lt;48,15000,E21&gt;=48,20000)+VLOOKUP(B21,$A$37:$D$40,MATCH(D21,$B$35:$D$35,1)+1,FALSE)</f>
        <v>40000</v>
      </c>
      <c r="I21" s="21" t="str" cm="1">
        <f t="array" ref="I21">fn비고(D21,B21)</f>
        <v>♣</v>
      </c>
    </row>
    <row r="22" spans="1:9" x14ac:dyDescent="0.45">
      <c r="A22" s="10" t="s">
        <v>189</v>
      </c>
      <c r="B22" s="10" t="s">
        <v>162</v>
      </c>
      <c r="C22" s="27" t="s">
        <v>163</v>
      </c>
      <c r="D22" s="12">
        <v>11500000</v>
      </c>
      <c r="E22" s="25">
        <v>48</v>
      </c>
      <c r="F22" s="26">
        <v>45756</v>
      </c>
      <c r="G22" s="13">
        <f t="shared" si="0"/>
        <v>254544.76037708239</v>
      </c>
      <c r="H22" s="36" cm="1">
        <f t="array" ref="H22">_xlfn.IFS(E22&lt;24,10000,E22&lt;48,15000,E22&gt;=48,20000)+VLOOKUP(B22,$A$37:$D$40,MATCH(D22,$B$35:$D$35,1)+1,FALSE)</f>
        <v>30000</v>
      </c>
      <c r="I22" s="21" t="str" cm="1">
        <f t="array" ref="I22">fn비고(D22,B22)</f>
        <v>◈</v>
      </c>
    </row>
    <row r="23" spans="1:9" x14ac:dyDescent="0.45">
      <c r="A23" s="10" t="s">
        <v>190</v>
      </c>
      <c r="B23" s="10" t="s">
        <v>160</v>
      </c>
      <c r="C23" s="27" t="s">
        <v>151</v>
      </c>
      <c r="D23" s="12">
        <v>7800000</v>
      </c>
      <c r="E23" s="25">
        <v>30</v>
      </c>
      <c r="F23" s="26">
        <v>46253</v>
      </c>
      <c r="G23" s="13">
        <f t="shared" si="0"/>
        <v>277129.04203433683</v>
      </c>
      <c r="H23" s="36" cm="1">
        <f t="array" ref="H23">_xlfn.IFS(E23&lt;24,10000,E23&lt;48,15000,E23&gt;=48,20000)+VLOOKUP(B23,$A$37:$D$40,MATCH(D23,$B$35:$D$35,1)+1,FALSE)</f>
        <v>50000</v>
      </c>
      <c r="I23" s="21" t="str" cm="1">
        <f t="array" ref="I23">fn비고(D23,B23)</f>
        <v/>
      </c>
    </row>
    <row r="24" spans="1:9" x14ac:dyDescent="0.45">
      <c r="A24" s="10" t="s">
        <v>191</v>
      </c>
      <c r="B24" s="10" t="s">
        <v>161</v>
      </c>
      <c r="C24" s="27" t="s">
        <v>157</v>
      </c>
      <c r="D24" s="12">
        <v>8200000</v>
      </c>
      <c r="E24" s="25">
        <v>40</v>
      </c>
      <c r="F24" s="26">
        <v>45568</v>
      </c>
      <c r="G24" s="13">
        <f t="shared" si="0"/>
        <v>215676.73515029595</v>
      </c>
      <c r="H24" s="36" cm="1">
        <f t="array" ref="H24">_xlfn.IFS(E24&lt;24,10000,E24&lt;48,15000,E24&gt;=48,20000)+VLOOKUP(B24,$A$37:$D$40,MATCH(D24,$B$35:$D$35,1)+1,FALSE)</f>
        <v>40000</v>
      </c>
      <c r="I24" s="21" t="str" cm="1">
        <f t="array" ref="I24">fn비고(D24,B24)</f>
        <v>♣</v>
      </c>
    </row>
    <row r="25" spans="1:9" x14ac:dyDescent="0.45">
      <c r="A25" s="10" t="s">
        <v>192</v>
      </c>
      <c r="B25" s="10" t="s">
        <v>159</v>
      </c>
      <c r="C25" s="27" t="s">
        <v>153</v>
      </c>
      <c r="D25" s="12">
        <v>2800000</v>
      </c>
      <c r="E25" s="25">
        <v>15</v>
      </c>
      <c r="F25" s="26">
        <v>45844</v>
      </c>
      <c r="G25" s="13">
        <f t="shared" si="0"/>
        <v>192949.25310529713</v>
      </c>
      <c r="H25" s="36" cm="1">
        <f t="array" ref="H25">_xlfn.IFS(E25&lt;24,10000,E25&lt;48,15000,E25&gt;=48,20000)+VLOOKUP(B25,$A$37:$D$40,MATCH(D25,$B$35:$D$35,1)+1,FALSE)</f>
        <v>60000</v>
      </c>
      <c r="I25" s="21" t="str" cm="1">
        <f t="array" ref="I25">fn비고(D25,B25)</f>
        <v/>
      </c>
    </row>
    <row r="26" spans="1:9" x14ac:dyDescent="0.45">
      <c r="A26" s="10" t="s">
        <v>193</v>
      </c>
      <c r="B26" s="10" t="s">
        <v>160</v>
      </c>
      <c r="C26" s="27" t="s">
        <v>156</v>
      </c>
      <c r="D26" s="12">
        <v>7200000</v>
      </c>
      <c r="E26" s="25">
        <v>36</v>
      </c>
      <c r="F26" s="26">
        <v>46306</v>
      </c>
      <c r="G26" s="13">
        <f t="shared" si="0"/>
        <v>215790.45915359142</v>
      </c>
      <c r="H26" s="36" cm="1">
        <f t="array" ref="H26">_xlfn.IFS(E26&lt;24,10000,E26&lt;48,15000,E26&gt;=48,20000)+VLOOKUP(B26,$A$37:$D$40,MATCH(D26,$B$35:$D$35,1)+1,FALSE)</f>
        <v>50000</v>
      </c>
      <c r="I26" s="21" t="str" cm="1">
        <f t="array" ref="I26">fn비고(D26,B26)</f>
        <v/>
      </c>
    </row>
    <row r="28" spans="1:9" x14ac:dyDescent="0.45">
      <c r="A28" t="s">
        <v>45</v>
      </c>
      <c r="F28" s="30" t="s">
        <v>145</v>
      </c>
    </row>
    <row r="29" spans="1:9" x14ac:dyDescent="0.45">
      <c r="A29" s="21" t="s">
        <v>142</v>
      </c>
      <c r="B29" s="28">
        <v>1</v>
      </c>
      <c r="C29" s="28">
        <v>2</v>
      </c>
      <c r="D29" s="29">
        <v>3</v>
      </c>
      <c r="F29" s="45" t="s">
        <v>146</v>
      </c>
      <c r="G29" s="31" t="s">
        <v>165</v>
      </c>
      <c r="H29" s="31" t="s">
        <v>166</v>
      </c>
      <c r="I29" s="31" t="s">
        <v>167</v>
      </c>
    </row>
    <row r="30" spans="1:9" x14ac:dyDescent="0.45">
      <c r="A30" s="21" t="s">
        <v>143</v>
      </c>
      <c r="B30" s="12">
        <f t="array" ref="B30">LARGE((RIGHT($C$3:$C$26,2)=$A30)*$D$3:$D$26,B$29)</f>
        <v>15000000</v>
      </c>
      <c r="C30" s="12">
        <f t="array" ref="C30">LARGE((RIGHT($C$3:$C$26,2)=$A30)*$D$3:$D$26,C$29)</f>
        <v>13000000</v>
      </c>
      <c r="D30" s="12">
        <f t="array" ref="D30">LARGE((RIGHT($C$3:$C$26,2)=$A30)*$D$3:$D$26,D$29)</f>
        <v>11500000</v>
      </c>
      <c r="F30" s="46"/>
      <c r="G30" s="21" t="s">
        <v>168</v>
      </c>
      <c r="H30" s="21" t="s">
        <v>169</v>
      </c>
      <c r="I30" s="21" t="s">
        <v>170</v>
      </c>
    </row>
    <row r="31" spans="1:9" x14ac:dyDescent="0.45">
      <c r="A31" s="21" t="s">
        <v>164</v>
      </c>
      <c r="B31" s="12">
        <f t="array" ref="B31">LARGE((RIGHT($C$3:$C$26,2)=$A31)*$D$3:$D$26,B$29)</f>
        <v>4500000</v>
      </c>
      <c r="C31" s="12">
        <f t="array" ref="C31">LARGE((RIGHT($C$3:$C$26,2)=$A31)*$D$3:$D$26,C$29)</f>
        <v>3500000</v>
      </c>
      <c r="D31" s="12">
        <f t="array" ref="D31">LARGE((RIGHT($C$3:$C$26,2)=$A31)*$D$3:$D$26,D$29)</f>
        <v>2900000</v>
      </c>
      <c r="F31" s="32">
        <v>2024</v>
      </c>
      <c r="G31" s="10">
        <f t="array" ref="G31">COUNT(IF((MID($A$3:$A$26,3,1)=G$30)*(YEAR($F$3:$F$26)=$F31),1))</f>
        <v>1</v>
      </c>
      <c r="H31" s="10">
        <f t="array" ref="H31">COUNT(IF((MID($A$3:$A$26,3,1)=H$30)*(YEAR($F$3:$F$26)=$F31),1))</f>
        <v>5</v>
      </c>
      <c r="I31" s="10">
        <f t="array" ref="I31">COUNT(IF((MID($A$3:$A$26,3,1)=I$30)*(YEAR($F$3:$F$26)=$F31),1))</f>
        <v>3</v>
      </c>
    </row>
    <row r="32" spans="1:9" x14ac:dyDescent="0.45">
      <c r="A32" s="21" t="s">
        <v>144</v>
      </c>
      <c r="B32" s="12">
        <f t="array" ref="B32">LARGE((RIGHT($C$3:$C$26,2)=$A32)*$D$3:$D$26,B$29)</f>
        <v>12000000</v>
      </c>
      <c r="C32" s="12">
        <f t="array" ref="C32">LARGE((RIGHT($C$3:$C$26,2)=$A32)*$D$3:$D$26,C$29)</f>
        <v>11000000</v>
      </c>
      <c r="D32" s="12">
        <f t="array" ref="D32">LARGE((RIGHT($C$3:$C$26,2)=$A32)*$D$3:$D$26,D$29)</f>
        <v>10000000</v>
      </c>
      <c r="F32" s="32">
        <v>2025</v>
      </c>
      <c r="G32" s="10">
        <f t="array" ref="G32">COUNT(IF((MID($A$3:$A$26,3,1)=G$30)*(YEAR($F$3:$F$26)=$F32),1))</f>
        <v>5</v>
      </c>
      <c r="H32" s="10">
        <f t="array" ref="H32">COUNT(IF((MID($A$3:$A$26,3,1)=H$30)*(YEAR($F$3:$F$26)=$F32),1))</f>
        <v>1</v>
      </c>
      <c r="I32" s="10">
        <f t="array" ref="I32">COUNT(IF((MID($A$3:$A$26,3,1)=I$30)*(YEAR($F$3:$F$26)=$F32),1))</f>
        <v>3</v>
      </c>
    </row>
    <row r="33" spans="1:9" x14ac:dyDescent="0.45">
      <c r="F33" s="32">
        <v>2026</v>
      </c>
      <c r="G33" s="10">
        <f t="array" ref="G33">COUNT(IF((MID($A$3:$A$26,3,1)=G$30)*(YEAR($F$3:$F$26)=$F33),1))</f>
        <v>2</v>
      </c>
      <c r="H33" s="10">
        <f t="array" ref="H33">COUNT(IF((MID($A$3:$A$26,3,1)=H$30)*(YEAR($F$3:$F$26)=$F33),1))</f>
        <v>2</v>
      </c>
      <c r="I33" s="10">
        <f t="array" ref="I33">COUNT(IF((MID($A$3:$A$26,3,1)=I$30)*(YEAR($F$3:$F$26)=$F33),1))</f>
        <v>2</v>
      </c>
    </row>
    <row r="34" spans="1:9" x14ac:dyDescent="0.45">
      <c r="A34" s="42" t="s">
        <v>141</v>
      </c>
    </row>
    <row r="35" spans="1:9" x14ac:dyDescent="0.45">
      <c r="A35" s="45" t="s">
        <v>150</v>
      </c>
      <c r="B35" s="34">
        <v>0</v>
      </c>
      <c r="C35" s="34">
        <v>5000000</v>
      </c>
      <c r="D35" s="34">
        <v>10000000</v>
      </c>
    </row>
    <row r="36" spans="1:9" x14ac:dyDescent="0.45">
      <c r="A36" s="46"/>
      <c r="B36" s="35">
        <v>5000000</v>
      </c>
      <c r="C36" s="35">
        <v>10000000</v>
      </c>
      <c r="D36" s="12"/>
    </row>
    <row r="37" spans="1:9" x14ac:dyDescent="0.45">
      <c r="A37" s="33" t="s">
        <v>159</v>
      </c>
      <c r="B37" s="12">
        <v>50000</v>
      </c>
      <c r="C37" s="12">
        <v>45000</v>
      </c>
      <c r="D37" s="12">
        <v>40000</v>
      </c>
    </row>
    <row r="38" spans="1:9" x14ac:dyDescent="0.45">
      <c r="A38" s="33" t="s">
        <v>160</v>
      </c>
      <c r="B38" s="12">
        <v>40000</v>
      </c>
      <c r="C38" s="12">
        <v>35000</v>
      </c>
      <c r="D38" s="12">
        <v>30000</v>
      </c>
    </row>
    <row r="39" spans="1:9" x14ac:dyDescent="0.45">
      <c r="A39" s="33" t="s">
        <v>161</v>
      </c>
      <c r="B39" s="12">
        <v>30000</v>
      </c>
      <c r="C39" s="12">
        <v>25000</v>
      </c>
      <c r="D39" s="12">
        <v>20000</v>
      </c>
    </row>
    <row r="40" spans="1:9" x14ac:dyDescent="0.45">
      <c r="A40" s="33" t="s">
        <v>162</v>
      </c>
      <c r="B40" s="12">
        <v>20000</v>
      </c>
      <c r="C40" s="12">
        <v>15000</v>
      </c>
      <c r="D40" s="12">
        <v>10000</v>
      </c>
    </row>
  </sheetData>
  <mergeCells count="2">
    <mergeCell ref="A35:A36"/>
    <mergeCell ref="F29:F3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D15"/>
  <sheetViews>
    <sheetView workbookViewId="0"/>
  </sheetViews>
  <sheetFormatPr defaultRowHeight="17" x14ac:dyDescent="0.45"/>
  <cols>
    <col min="1" max="1" width="12.6640625" bestFit="1" customWidth="1"/>
    <col min="2" max="2" width="10.75" bestFit="1" customWidth="1"/>
    <col min="3" max="6" width="14.5" bestFit="1" customWidth="1"/>
  </cols>
  <sheetData>
    <row r="3" spans="1:4" x14ac:dyDescent="0.45">
      <c r="A3" s="43" t="s">
        <v>197</v>
      </c>
      <c r="B3" t="s">
        <v>198</v>
      </c>
    </row>
    <row r="5" spans="1:4" x14ac:dyDescent="0.45">
      <c r="A5" s="43" t="s">
        <v>209</v>
      </c>
      <c r="B5" s="43" t="s">
        <v>208</v>
      </c>
      <c r="C5" t="s">
        <v>210</v>
      </c>
      <c r="D5" t="s">
        <v>212</v>
      </c>
    </row>
    <row r="6" spans="1:4" x14ac:dyDescent="0.45">
      <c r="A6" t="s">
        <v>202</v>
      </c>
      <c r="C6" s="18">
        <v>7</v>
      </c>
      <c r="D6" s="44">
        <v>235000</v>
      </c>
    </row>
    <row r="7" spans="1:4" x14ac:dyDescent="0.45">
      <c r="A7" t="s">
        <v>199</v>
      </c>
      <c r="C7" s="18">
        <v>7</v>
      </c>
      <c r="D7" s="44">
        <v>110714.28571428571</v>
      </c>
    </row>
    <row r="8" spans="1:4" x14ac:dyDescent="0.45">
      <c r="A8" t="s">
        <v>200</v>
      </c>
      <c r="C8" s="18">
        <v>6</v>
      </c>
      <c r="D8" s="44">
        <v>187083.33333333334</v>
      </c>
    </row>
    <row r="9" spans="1:4" x14ac:dyDescent="0.45">
      <c r="A9" t="s">
        <v>201</v>
      </c>
      <c r="B9" t="s">
        <v>203</v>
      </c>
      <c r="C9" s="18">
        <v>3</v>
      </c>
      <c r="D9" s="44">
        <v>174333.33333333334</v>
      </c>
    </row>
    <row r="10" spans="1:4" x14ac:dyDescent="0.45">
      <c r="B10" t="s">
        <v>204</v>
      </c>
      <c r="C10" s="18">
        <v>4</v>
      </c>
      <c r="D10" s="44">
        <v>336250</v>
      </c>
    </row>
    <row r="11" spans="1:4" x14ac:dyDescent="0.45">
      <c r="B11" t="s">
        <v>205</v>
      </c>
      <c r="C11" s="18">
        <v>2</v>
      </c>
      <c r="D11" s="44">
        <v>55000</v>
      </c>
    </row>
    <row r="12" spans="1:4" x14ac:dyDescent="0.45">
      <c r="B12" t="s">
        <v>206</v>
      </c>
      <c r="C12" s="18">
        <v>1</v>
      </c>
      <c r="D12" s="44">
        <v>500000</v>
      </c>
    </row>
    <row r="13" spans="1:4" x14ac:dyDescent="0.45">
      <c r="B13" t="s">
        <v>207</v>
      </c>
      <c r="C13" s="18">
        <v>3</v>
      </c>
      <c r="D13" s="44">
        <v>476666.66666666669</v>
      </c>
    </row>
    <row r="14" spans="1:4" x14ac:dyDescent="0.45">
      <c r="A14" t="s">
        <v>211</v>
      </c>
      <c r="C14" s="18">
        <v>13</v>
      </c>
      <c r="D14" s="44">
        <v>300615.38461538462</v>
      </c>
    </row>
    <row r="15" spans="1:4" x14ac:dyDescent="0.45">
      <c r="A15" t="s">
        <v>4</v>
      </c>
      <c r="C15" s="18">
        <v>33</v>
      </c>
      <c r="D15" s="44">
        <v>225772.72727272726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6"/>
  <sheetViews>
    <sheetView workbookViewId="0"/>
  </sheetViews>
  <sheetFormatPr defaultRowHeight="17" x14ac:dyDescent="0.45"/>
  <cols>
    <col min="2" max="2" width="13.4140625" customWidth="1"/>
    <col min="3" max="8" width="12.58203125" customWidth="1"/>
  </cols>
  <sheetData>
    <row r="1" spans="1:8" x14ac:dyDescent="0.45">
      <c r="A1" t="s">
        <v>44</v>
      </c>
    </row>
    <row r="2" spans="1:8" x14ac:dyDescent="0.45">
      <c r="A2" s="10" t="s">
        <v>46</v>
      </c>
      <c r="B2" s="11">
        <v>4.4999999999999998E-2</v>
      </c>
    </row>
    <row r="3" spans="1:8" x14ac:dyDescent="0.45">
      <c r="A3" s="10" t="s">
        <v>42</v>
      </c>
      <c r="B3" s="15">
        <v>60</v>
      </c>
    </row>
    <row r="4" spans="1:8" x14ac:dyDescent="0.45">
      <c r="A4" s="10" t="s">
        <v>41</v>
      </c>
      <c r="B4" s="12">
        <v>-50000000</v>
      </c>
    </row>
    <row r="5" spans="1:8" x14ac:dyDescent="0.45">
      <c r="A5" s="10" t="s">
        <v>43</v>
      </c>
      <c r="B5" s="13">
        <f>PMT(B2/12,B3,B4)</f>
        <v>932150.96207583253</v>
      </c>
    </row>
    <row r="8" spans="1:8" x14ac:dyDescent="0.45">
      <c r="A8" t="s">
        <v>45</v>
      </c>
      <c r="C8" s="47"/>
      <c r="D8" s="47"/>
      <c r="E8" s="47"/>
      <c r="F8" s="47"/>
      <c r="G8" s="47"/>
      <c r="H8" s="47"/>
    </row>
    <row r="9" spans="1:8" ht="17" customHeight="1" x14ac:dyDescent="0.45">
      <c r="B9" s="13">
        <f>B5</f>
        <v>932150.96207583253</v>
      </c>
      <c r="C9" s="15">
        <v>12</v>
      </c>
      <c r="D9" s="15">
        <v>24</v>
      </c>
      <c r="E9" s="15">
        <v>36</v>
      </c>
      <c r="F9" s="15">
        <v>48</v>
      </c>
      <c r="G9" s="15">
        <v>60</v>
      </c>
      <c r="H9" s="15">
        <v>72</v>
      </c>
    </row>
    <row r="10" spans="1:8" x14ac:dyDescent="0.45">
      <c r="A10" s="48" t="s">
        <v>46</v>
      </c>
      <c r="B10" s="14">
        <v>0.03</v>
      </c>
      <c r="C10" s="37">
        <f t="dataTable" ref="C10:H16" dt2D="1" dtr="1" r1="B3" r2="B2"/>
        <v>4234684.9379244475</v>
      </c>
      <c r="D10" s="37">
        <v>2149060.5989778051</v>
      </c>
      <c r="E10" s="37">
        <v>1454060.4815326165</v>
      </c>
      <c r="F10" s="37">
        <v>1106716.3494655758</v>
      </c>
      <c r="G10" s="37">
        <v>898434.5332031569</v>
      </c>
      <c r="H10" s="37">
        <v>759683.79097193701</v>
      </c>
    </row>
    <row r="11" spans="1:8" x14ac:dyDescent="0.45">
      <c r="A11" s="48"/>
      <c r="B11" s="14">
        <v>3.5000000000000003E-2</v>
      </c>
      <c r="C11" s="37">
        <v>4246081.4922033874</v>
      </c>
      <c r="D11" s="37">
        <v>2160136.1067871754</v>
      </c>
      <c r="E11" s="37">
        <v>1465103.9863455405</v>
      </c>
      <c r="F11" s="37">
        <v>1117800.0525848509</v>
      </c>
      <c r="G11" s="37">
        <v>909587.24851281999</v>
      </c>
      <c r="H11" s="37">
        <v>770919.85412592266</v>
      </c>
    </row>
    <row r="12" spans="1:8" x14ac:dyDescent="0.45">
      <c r="A12" s="48"/>
      <c r="B12" s="14">
        <v>0.04</v>
      </c>
      <c r="C12" s="37">
        <v>4257495.2097778963</v>
      </c>
      <c r="D12" s="37">
        <v>2171246.1085387026</v>
      </c>
      <c r="E12" s="37">
        <v>1476199.2503421842</v>
      </c>
      <c r="F12" s="37">
        <v>1128952.732084499</v>
      </c>
      <c r="G12" s="37">
        <v>920826.10276331764</v>
      </c>
      <c r="H12" s="37">
        <v>782259.1536271252</v>
      </c>
    </row>
    <row r="13" spans="1:8" x14ac:dyDescent="0.45">
      <c r="A13" s="48"/>
      <c r="B13" s="14">
        <v>4.4999999999999998E-2</v>
      </c>
      <c r="C13" s="37">
        <v>4268926.0793186026</v>
      </c>
      <c r="D13" s="37">
        <v>2182390.5776041718</v>
      </c>
      <c r="E13" s="37">
        <v>1487346.2239187788</v>
      </c>
      <c r="F13" s="37">
        <v>1140174.3038715629</v>
      </c>
      <c r="G13" s="37">
        <v>932150.96207583253</v>
      </c>
      <c r="H13" s="37">
        <v>793701.48678530753</v>
      </c>
    </row>
    <row r="14" spans="1:8" x14ac:dyDescent="0.45">
      <c r="A14" s="48"/>
      <c r="B14" s="14">
        <v>0.05</v>
      </c>
      <c r="C14" s="37">
        <v>4280374.0894233566</v>
      </c>
      <c r="D14" s="37">
        <v>2193569.4867034219</v>
      </c>
      <c r="E14" s="37">
        <v>1498544.8552332739</v>
      </c>
      <c r="F14" s="37">
        <v>1151464.6785323259</v>
      </c>
      <c r="G14" s="37">
        <v>943561.68220054684</v>
      </c>
      <c r="H14" s="37">
        <v>805246.63307254645</v>
      </c>
    </row>
    <row r="15" spans="1:8" x14ac:dyDescent="0.45">
      <c r="A15" s="48"/>
      <c r="B15" s="14">
        <v>5.5E-2</v>
      </c>
      <c r="C15" s="37">
        <v>4291839.2286174791</v>
      </c>
      <c r="D15" s="37">
        <v>2204782.8079068302</v>
      </c>
      <c r="E15" s="37">
        <v>1509795.0902155142</v>
      </c>
      <c r="F15" s="37">
        <v>1162823.7613621596</v>
      </c>
      <c r="G15" s="37">
        <v>955058.10858911206</v>
      </c>
      <c r="H15" s="37">
        <v>816894.35427806689</v>
      </c>
    </row>
    <row r="16" spans="1:8" x14ac:dyDescent="0.45">
      <c r="A16" s="48"/>
      <c r="B16" s="14">
        <v>0.06</v>
      </c>
      <c r="C16" s="37">
        <v>4303321.4853540324</v>
      </c>
      <c r="D16" s="37">
        <v>2216030.5126378448</v>
      </c>
      <c r="E16" s="37">
        <v>1521096.8725777555</v>
      </c>
      <c r="F16" s="37">
        <v>1174251.452396781</v>
      </c>
      <c r="G16" s="37">
        <v>966640.07647139567</v>
      </c>
      <c r="H16" s="37">
        <v>828644.39467361011</v>
      </c>
    </row>
  </sheetData>
  <mergeCells count="2">
    <mergeCell ref="C8:H8"/>
    <mergeCell ref="A10:A16"/>
  </mergeCells>
  <phoneticPr fontId="1" type="noConversion"/>
  <dataValidations count="1">
    <dataValidation type="custom" allowBlank="1" showInputMessage="1" showErrorMessage="1" errorTitle="입력오류" error="12의 배수만 입력하세요." sqref="C9:H9" xr:uid="{D48D1C1A-A454-4D02-A49E-6C829A14E587}">
      <formula1>MOD(C9,12)=0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8"/>
  <sheetViews>
    <sheetView workbookViewId="0"/>
  </sheetViews>
  <sheetFormatPr defaultRowHeight="17" x14ac:dyDescent="0.45"/>
  <cols>
    <col min="1" max="1" width="15.1640625" style="1" customWidth="1"/>
    <col min="2" max="2" width="11.6640625" style="1" bestFit="1" customWidth="1"/>
    <col min="3" max="3" width="10.58203125" style="1" bestFit="1" customWidth="1"/>
    <col min="4" max="5" width="11.6640625" style="1" bestFit="1" customWidth="1"/>
    <col min="6" max="16384" width="8.6640625" style="1"/>
  </cols>
  <sheetData>
    <row r="1" spans="1:5" x14ac:dyDescent="0.45">
      <c r="A1" s="1" t="s">
        <v>11</v>
      </c>
    </row>
    <row r="2" spans="1:5" x14ac:dyDescent="0.45">
      <c r="A2" s="3" t="s">
        <v>5</v>
      </c>
      <c r="B2" s="3" t="s">
        <v>6</v>
      </c>
      <c r="C2" s="3" t="s">
        <v>7</v>
      </c>
      <c r="D2" s="3" t="s">
        <v>8</v>
      </c>
      <c r="E2" s="3" t="s">
        <v>4</v>
      </c>
    </row>
    <row r="3" spans="1:5" x14ac:dyDescent="0.45">
      <c r="A3" s="3" t="s">
        <v>0</v>
      </c>
      <c r="B3" s="2">
        <v>1070000</v>
      </c>
      <c r="C3" s="2">
        <v>1240000</v>
      </c>
      <c r="D3" s="2">
        <v>1440000</v>
      </c>
      <c r="E3" s="2">
        <f>SUM(B3:D3)</f>
        <v>3750000</v>
      </c>
    </row>
    <row r="4" spans="1:5" x14ac:dyDescent="0.45">
      <c r="A4" s="3" t="s">
        <v>10</v>
      </c>
      <c r="B4" s="2">
        <v>760000</v>
      </c>
      <c r="C4" s="2">
        <v>680000</v>
      </c>
      <c r="D4" s="2">
        <v>1453000</v>
      </c>
      <c r="E4" s="2">
        <f t="shared" ref="E4:E8" si="0">SUM(B4:D4)</f>
        <v>2893000</v>
      </c>
    </row>
    <row r="5" spans="1:5" x14ac:dyDescent="0.45">
      <c r="A5" s="3" t="s">
        <v>9</v>
      </c>
      <c r="B5" s="2">
        <v>1730000</v>
      </c>
      <c r="C5" s="2">
        <v>1544000</v>
      </c>
      <c r="D5" s="2">
        <v>1296000</v>
      </c>
      <c r="E5" s="2">
        <f t="shared" si="0"/>
        <v>4570000</v>
      </c>
    </row>
    <row r="6" spans="1:5" x14ac:dyDescent="0.45">
      <c r="A6" s="3" t="s">
        <v>3</v>
      </c>
      <c r="B6" s="2">
        <v>860000</v>
      </c>
      <c r="C6" s="2">
        <v>1180000</v>
      </c>
      <c r="D6" s="2">
        <v>895000</v>
      </c>
      <c r="E6" s="2">
        <f t="shared" si="0"/>
        <v>2935000</v>
      </c>
    </row>
    <row r="7" spans="1:5" x14ac:dyDescent="0.45">
      <c r="A7" s="3" t="s">
        <v>2</v>
      </c>
      <c r="B7" s="2">
        <v>950000</v>
      </c>
      <c r="C7" s="2">
        <v>1140000</v>
      </c>
      <c r="D7" s="2">
        <v>339600</v>
      </c>
      <c r="E7" s="2">
        <f t="shared" si="0"/>
        <v>2429600</v>
      </c>
    </row>
    <row r="8" spans="1:5" x14ac:dyDescent="0.45">
      <c r="A8" s="3" t="s">
        <v>213</v>
      </c>
      <c r="B8" s="2">
        <v>1460000</v>
      </c>
      <c r="C8" s="2">
        <v>872000</v>
      </c>
      <c r="D8" s="2">
        <v>681600</v>
      </c>
      <c r="E8" s="2">
        <f t="shared" si="0"/>
        <v>3013600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0"/>
  <sheetViews>
    <sheetView workbookViewId="0">
      <selection activeCell="D10" sqref="D10"/>
    </sheetView>
  </sheetViews>
  <sheetFormatPr defaultRowHeight="17" x14ac:dyDescent="0.45"/>
  <cols>
    <col min="3" max="3" width="10.58203125" customWidth="1"/>
  </cols>
  <sheetData>
    <row r="1" spans="1:4" x14ac:dyDescent="0.45">
      <c r="A1" t="s">
        <v>40</v>
      </c>
    </row>
    <row r="2" spans="1:4" x14ac:dyDescent="0.45">
      <c r="A2" s="9" t="s">
        <v>18</v>
      </c>
      <c r="B2" s="9" t="s">
        <v>19</v>
      </c>
      <c r="C2" s="9" t="s">
        <v>20</v>
      </c>
      <c r="D2" s="9" t="s">
        <v>21</v>
      </c>
    </row>
    <row r="3" spans="1:4" x14ac:dyDescent="0.45">
      <c r="A3" s="6" t="s">
        <v>22</v>
      </c>
      <c r="B3" s="7">
        <v>1101</v>
      </c>
      <c r="C3" s="8">
        <v>12000</v>
      </c>
      <c r="D3" s="38">
        <v>100</v>
      </c>
    </row>
    <row r="4" spans="1:4" x14ac:dyDescent="0.45">
      <c r="A4" s="6" t="s">
        <v>23</v>
      </c>
      <c r="B4" s="7">
        <v>3105</v>
      </c>
      <c r="C4" s="8">
        <v>10000</v>
      </c>
      <c r="D4" s="38">
        <v>150</v>
      </c>
    </row>
    <row r="5" spans="1:4" x14ac:dyDescent="0.45">
      <c r="A5" s="6" t="s">
        <v>24</v>
      </c>
      <c r="B5" s="7">
        <v>3111</v>
      </c>
      <c r="C5" s="8">
        <v>22000</v>
      </c>
      <c r="D5" s="38">
        <v>120</v>
      </c>
    </row>
    <row r="6" spans="1:4" x14ac:dyDescent="0.45">
      <c r="A6" s="6" t="s">
        <v>25</v>
      </c>
      <c r="B6" s="7">
        <v>5133</v>
      </c>
      <c r="C6" s="8">
        <v>23000</v>
      </c>
      <c r="D6" s="38">
        <v>40</v>
      </c>
    </row>
    <row r="7" spans="1:4" x14ac:dyDescent="0.45">
      <c r="A7" s="6" t="s">
        <v>26</v>
      </c>
      <c r="B7" s="7">
        <v>2142</v>
      </c>
      <c r="C7" s="8">
        <v>19000</v>
      </c>
      <c r="D7" s="38">
        <v>100</v>
      </c>
    </row>
    <row r="8" spans="1:4" x14ac:dyDescent="0.45">
      <c r="A8" s="6" t="s">
        <v>27</v>
      </c>
      <c r="B8" s="7">
        <v>4165</v>
      </c>
      <c r="C8" s="8">
        <v>17000</v>
      </c>
      <c r="D8" s="38">
        <v>120</v>
      </c>
    </row>
    <row r="9" spans="1:4" x14ac:dyDescent="0.45">
      <c r="A9" s="6" t="s">
        <v>28</v>
      </c>
      <c r="B9" s="7">
        <v>1109</v>
      </c>
      <c r="C9" s="8">
        <v>19000</v>
      </c>
      <c r="D9" s="38">
        <v>20</v>
      </c>
    </row>
    <row r="10" spans="1:4" x14ac:dyDescent="0.45">
      <c r="A10" s="6" t="s">
        <v>29</v>
      </c>
      <c r="B10" s="7">
        <v>5147</v>
      </c>
      <c r="C10" s="8">
        <v>18000</v>
      </c>
      <c r="D10" s="38">
        <v>50</v>
      </c>
    </row>
    <row r="11" spans="1:4" x14ac:dyDescent="0.45">
      <c r="A11" s="6" t="s">
        <v>30</v>
      </c>
      <c r="B11" s="7">
        <v>3127</v>
      </c>
      <c r="C11" s="8">
        <v>20000</v>
      </c>
      <c r="D11" s="38">
        <v>90</v>
      </c>
    </row>
    <row r="12" spans="1:4" x14ac:dyDescent="0.45">
      <c r="A12" s="6" t="s">
        <v>31</v>
      </c>
      <c r="B12" s="7">
        <v>2130</v>
      </c>
      <c r="C12" s="8">
        <v>21000</v>
      </c>
      <c r="D12" s="38">
        <v>130</v>
      </c>
    </row>
    <row r="13" spans="1:4" x14ac:dyDescent="0.45">
      <c r="A13" s="6" t="s">
        <v>32</v>
      </c>
      <c r="B13" s="7">
        <v>1101</v>
      </c>
      <c r="C13" s="8">
        <v>12000</v>
      </c>
      <c r="D13" s="39">
        <v>50</v>
      </c>
    </row>
    <row r="14" spans="1:4" x14ac:dyDescent="0.45">
      <c r="A14" s="6" t="s">
        <v>33</v>
      </c>
      <c r="B14" s="7">
        <v>2140</v>
      </c>
      <c r="C14" s="8">
        <v>15000</v>
      </c>
      <c r="D14" s="39">
        <v>20</v>
      </c>
    </row>
    <row r="15" spans="1:4" x14ac:dyDescent="0.45">
      <c r="A15" s="6" t="s">
        <v>34</v>
      </c>
      <c r="B15" s="7">
        <v>2122</v>
      </c>
      <c r="C15" s="8">
        <v>20000</v>
      </c>
      <c r="D15" s="39">
        <v>100</v>
      </c>
    </row>
    <row r="16" spans="1:4" x14ac:dyDescent="0.45">
      <c r="A16" s="6" t="s">
        <v>35</v>
      </c>
      <c r="B16" s="7">
        <v>3105</v>
      </c>
      <c r="C16" s="8">
        <v>10000</v>
      </c>
      <c r="D16" s="39">
        <v>200</v>
      </c>
    </row>
    <row r="17" spans="1:4" x14ac:dyDescent="0.45">
      <c r="A17" s="6" t="s">
        <v>36</v>
      </c>
      <c r="B17" s="7">
        <v>3111</v>
      </c>
      <c r="C17" s="8">
        <v>22000</v>
      </c>
      <c r="D17" s="39">
        <v>170</v>
      </c>
    </row>
    <row r="18" spans="1:4" x14ac:dyDescent="0.45">
      <c r="A18" s="6" t="s">
        <v>37</v>
      </c>
      <c r="B18" s="7">
        <v>5133</v>
      </c>
      <c r="C18" s="8">
        <v>23000</v>
      </c>
      <c r="D18" s="39">
        <v>90</v>
      </c>
    </row>
    <row r="19" spans="1:4" x14ac:dyDescent="0.45">
      <c r="A19" s="6" t="s">
        <v>38</v>
      </c>
      <c r="B19" s="7">
        <v>2142</v>
      </c>
      <c r="C19" s="8">
        <v>19000</v>
      </c>
      <c r="D19" s="39">
        <v>80</v>
      </c>
    </row>
    <row r="20" spans="1:4" x14ac:dyDescent="0.45">
      <c r="A20" s="6" t="s">
        <v>39</v>
      </c>
      <c r="B20" s="7">
        <v>4165</v>
      </c>
      <c r="C20" s="8">
        <v>17000</v>
      </c>
      <c r="D20" s="39">
        <v>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"/>
  <sheetViews>
    <sheetView workbookViewId="0"/>
  </sheetViews>
  <sheetFormatPr defaultRowHeight="17" x14ac:dyDescent="0.45"/>
  <cols>
    <col min="9" max="9" width="12.33203125" bestFit="1" customWidth="1"/>
  </cols>
  <sheetData>
    <row r="1" spans="1:9" x14ac:dyDescent="0.45">
      <c r="A1" s="41" t="s">
        <v>14</v>
      </c>
    </row>
    <row r="2" spans="1:9" x14ac:dyDescent="0.45">
      <c r="A2" t="s">
        <v>15</v>
      </c>
      <c r="B2" t="s">
        <v>16</v>
      </c>
      <c r="C2" t="s">
        <v>12</v>
      </c>
      <c r="D2" t="s">
        <v>13</v>
      </c>
    </row>
    <row r="3" spans="1:9" x14ac:dyDescent="0.45">
      <c r="A3" t="s">
        <v>195</v>
      </c>
      <c r="B3" t="s">
        <v>196</v>
      </c>
      <c r="C3">
        <v>5</v>
      </c>
      <c r="D3" s="40">
        <v>1500000</v>
      </c>
    </row>
    <row r="4" spans="1:9" x14ac:dyDescent="0.45">
      <c r="I4" s="4" t="s">
        <v>17</v>
      </c>
    </row>
    <row r="5" spans="1:9" x14ac:dyDescent="0.45">
      <c r="I5" s="5" t="s">
        <v>0</v>
      </c>
    </row>
    <row r="6" spans="1:9" x14ac:dyDescent="0.45">
      <c r="I6" s="5" t="s">
        <v>10</v>
      </c>
    </row>
    <row r="7" spans="1:9" x14ac:dyDescent="0.45">
      <c r="I7" s="5" t="s">
        <v>9</v>
      </c>
    </row>
    <row r="8" spans="1:9" x14ac:dyDescent="0.45">
      <c r="I8" s="5" t="s">
        <v>3</v>
      </c>
    </row>
    <row r="9" spans="1:9" x14ac:dyDescent="0.45">
      <c r="I9" s="5" t="s">
        <v>2</v>
      </c>
    </row>
    <row r="10" spans="1:9" x14ac:dyDescent="0.45">
      <c r="I10" s="5" t="s">
        <v>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판매등록">
          <controlPr defaultSize="0" autoLine="0" r:id="rId4">
            <anchor moveWithCells="1">
              <from>
                <xdr:col>5</xdr:col>
                <xdr:colOff>0</xdr:colOff>
                <xdr:row>0</xdr:row>
                <xdr:rowOff>209550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계산작업!Extract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2023-04-29T07:45:44Z</cp:lastPrinted>
  <dcterms:created xsi:type="dcterms:W3CDTF">2023-02-18T09:21:08Z</dcterms:created>
  <dcterms:modified xsi:type="dcterms:W3CDTF">2023-07-12T14:11:05Z</dcterms:modified>
</cp:coreProperties>
</file>