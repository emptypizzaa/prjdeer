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SWITCH함수\"/>
    </mc:Choice>
  </mc:AlternateContent>
  <xr:revisionPtr revIDLastSave="0" documentId="8_{82D389D4-242E-4109-9FB1-31D747D4D58C}" xr6:coauthVersionLast="47" xr6:coauthVersionMax="47" xr10:uidLastSave="{00000000-0000-0000-0000-000000000000}"/>
  <bookViews>
    <workbookView xWindow="18240" yWindow="0" windowWidth="20160" windowHeight="8625" tabRatio="889" activeTab="2" xr2:uid="{00000000-000D-0000-FFFF-FFFF00000000}"/>
  </bookViews>
  <sheets>
    <sheet name="기본작업-1" sheetId="2" r:id="rId1"/>
    <sheet name="기본작업-2" sheetId="3" r:id="rId2"/>
    <sheet name="계산작업" sheetId="8" r:id="rId3"/>
    <sheet name="분석작업-1" sheetId="12" r:id="rId4"/>
    <sheet name="분석작업-2" sheetId="11" r:id="rId5"/>
    <sheet name="기타작업-1" sheetId="6" r:id="rId6"/>
    <sheet name="기타작업-2" sheetId="5" r:id="rId7"/>
    <sheet name="기타작업-3" sheetId="7" r:id="rId8"/>
  </sheets>
  <functionGroups builtInGroupCount="19"/>
  <definedNames>
    <definedName name="_xlnm._FilterDatabase" localSheetId="0" hidden="1">'기본작업-1'!$A$2:$G$32</definedName>
    <definedName name="_xlnm.Criteria" localSheetId="0">'기본작업-1'!$A$34:$A$35</definedName>
    <definedName name="_xlnm.Extract" localSheetId="0">'기본작업-1'!$A$37:$G$37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8" l="1" a="1"/>
  <c r="I3" i="8" s="1"/>
  <c r="I4" i="8" a="1"/>
  <c r="I4" i="8" s="1"/>
  <c r="I5" i="8" a="1"/>
  <c r="I5" i="8"/>
  <c r="I6" i="8" a="1"/>
  <c r="I6" i="8"/>
  <c r="I7" i="8" a="1"/>
  <c r="I7" i="8"/>
  <c r="I8" i="8" a="1"/>
  <c r="I8" i="8"/>
  <c r="I9" i="8" a="1"/>
  <c r="I9" i="8" s="1"/>
  <c r="I10" i="8" a="1"/>
  <c r="I10" i="8" s="1"/>
  <c r="I11" i="8" a="1"/>
  <c r="I11" i="8"/>
  <c r="I12" i="8" a="1"/>
  <c r="I12" i="8" s="1"/>
  <c r="I13" i="8" a="1"/>
  <c r="I13" i="8"/>
  <c r="I14" i="8" a="1"/>
  <c r="I14" i="8" s="1"/>
  <c r="I15" i="8" a="1"/>
  <c r="I15" i="8" s="1"/>
  <c r="I16" i="8" a="1"/>
  <c r="I16" i="8"/>
  <c r="I17" i="8" a="1"/>
  <c r="I17" i="8"/>
  <c r="I18" i="8" a="1"/>
  <c r="I18" i="8" s="1"/>
  <c r="I19" i="8" a="1"/>
  <c r="I19" i="8" s="1"/>
  <c r="I20" i="8" a="1"/>
  <c r="I20" i="8"/>
  <c r="I21" i="8" a="1"/>
  <c r="I21" i="8" s="1"/>
  <c r="I22" i="8" a="1"/>
  <c r="I22" i="8"/>
  <c r="I23" i="8" a="1"/>
  <c r="I23" i="8"/>
  <c r="C13" i="11"/>
  <c r="H4" i="8" a="1"/>
  <c r="H14" i="8" a="1"/>
  <c r="H5" i="8" a="1"/>
  <c r="H15" i="8" a="1"/>
  <c r="H6" i="8" a="1"/>
  <c r="H16" i="8" a="1"/>
  <c r="H7" i="8" a="1"/>
  <c r="H17" i="8" a="1"/>
  <c r="H8" i="8" a="1"/>
  <c r="H18" i="8" a="1"/>
  <c r="H9" i="8" a="1"/>
  <c r="H19" i="8" a="1"/>
  <c r="H10" i="8" a="1"/>
  <c r="H20" i="8" a="1"/>
  <c r="H11" i="8" a="1"/>
  <c r="H21" i="8" a="1"/>
  <c r="H12" i="8" a="1"/>
  <c r="H22" i="8" a="1"/>
  <c r="H13" i="8" a="1"/>
  <c r="H23" i="8" a="1"/>
  <c r="H3" i="8" a="1"/>
  <c r="H23" i="8" l="1"/>
  <c r="H13" i="8"/>
  <c r="H22" i="8"/>
  <c r="H12" i="8"/>
  <c r="H21" i="8"/>
  <c r="H11" i="8"/>
  <c r="H20" i="8"/>
  <c r="H10" i="8"/>
  <c r="H19" i="8"/>
  <c r="H9" i="8"/>
  <c r="H18" i="8"/>
  <c r="H8" i="8"/>
  <c r="H17" i="8"/>
  <c r="H7" i="8"/>
  <c r="H16" i="8"/>
  <c r="H6" i="8"/>
  <c r="H15" i="8"/>
  <c r="H5" i="8"/>
  <c r="H14" i="8"/>
  <c r="H4" i="8"/>
  <c r="H3" i="8"/>
  <c r="C31" i="8" a="1"/>
  <c r="C31" i="8" s="1"/>
  <c r="C32" i="8" a="1"/>
  <c r="C32" i="8" s="1"/>
  <c r="C33" i="8" a="1"/>
  <c r="C33" i="8" s="1"/>
  <c r="B32" i="8" a="1"/>
  <c r="B32" i="8" s="1"/>
  <c r="B33" i="8" a="1"/>
  <c r="B33" i="8" s="1"/>
  <c r="B31" i="8" a="1"/>
  <c r="B31" i="8" s="1"/>
  <c r="E31" i="8" l="1" a="1"/>
  <c r="E31" i="8" s="1"/>
  <c r="F31" i="8" a="1"/>
  <c r="F31" i="8" s="1"/>
  <c r="G31" i="8" a="1"/>
  <c r="G31" i="8" s="1"/>
  <c r="E32" i="8" a="1"/>
  <c r="E32" i="8" s="1"/>
  <c r="F32" i="8" a="1"/>
  <c r="F32" i="8" s="1"/>
  <c r="G32" i="8" a="1"/>
  <c r="G32" i="8" s="1"/>
  <c r="E33" i="8" a="1"/>
  <c r="E33" i="8" s="1"/>
  <c r="F33" i="8" a="1"/>
  <c r="F33" i="8" s="1"/>
  <c r="G33" i="8" a="1"/>
  <c r="G33" i="8" s="1"/>
  <c r="D32" i="8" a="1"/>
  <c r="D32" i="8" s="1"/>
  <c r="D33" i="8" a="1"/>
  <c r="D33" i="8" s="1"/>
  <c r="D31" i="8" a="1"/>
  <c r="D31" i="8" s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3" i="8"/>
  <c r="A35" i="2"/>
  <c r="C7" i="6" l="1"/>
  <c r="C4" i="6"/>
  <c r="C10" i="5"/>
  <c r="C11" i="5" s="1"/>
  <c r="G10" i="3"/>
  <c r="G9" i="3"/>
  <c r="G8" i="3"/>
  <c r="G7" i="3"/>
  <c r="G6" i="3"/>
  <c r="G5" i="3"/>
  <c r="G4" i="3"/>
  <c r="G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E3FF69-81FC-4EC9-9DB8-F172034AF34A}" name="MS Access Database_Query" type="1" refreshedVersion="7" background="1">
    <dbPr connection="DSN=MS Access Database;DBQ=E:\영진(2024년)\1급\24년1급실기\3권_문제집\스프레드시트 상시시험문제\DVD목록.accdb;DefaultDir=E:\영진(2024년)\1급\24년1급실기\3권_문제집\스프레드시트 상시시험문제;DriverId=25;FIL=MS Access;MaxBufferSize=2048;PageTimeout=5;" command="SELECT DVD목록.제작년도, DVD목록.장르, DVD목록.입고일자, DVD목록.타이틀명, DVD목록.시간_x000d__x000a_FROM DVD목록 DVD목록"/>
  </connection>
  <connection id="2" xr16:uid="{00000000-0015-0000-FFFF-FFFF00000000}" name="MS Access Database_Query1" type="1" refreshedVersion="6">
    <dbPr connection="DSN=MS Access Database;DBQ=E:\영진(2021년)\1급\excel\스프레드시트(파일) - 최종\기출문제\DVD목록.accdb;DefaultDir=E:\영진(2021년)\1급\excel\스프레드시트(파일) - 최종\기출문제;DriverId=25;FIL=MS Access;MaxBufferSize=2048;PageTimeout=5;" command="SELECT DVD목록.제작년도, DVD목록.장르, DVD목록.입고일자, DVD목록.타이틀명, DVD목록.시간_x000d__x000a_FROM DVD목록 DVD목록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<sst xmlns="http://schemas.openxmlformats.org/spreadsheetml/2006/main" count="309" uniqueCount="212">
  <si>
    <t>[표1]</t>
    <phoneticPr fontId="1" type="noConversion"/>
  </si>
  <si>
    <t>관리코드</t>
  </si>
  <si>
    <t>타이틀명</t>
  </si>
  <si>
    <t>입고일자</t>
  </si>
  <si>
    <t>가격</t>
  </si>
  <si>
    <t>장르</t>
  </si>
  <si>
    <t>시간</t>
  </si>
  <si>
    <t>대여료</t>
  </si>
  <si>
    <t>DVD-01</t>
  </si>
  <si>
    <t>악인전</t>
  </si>
  <si>
    <t>액션</t>
  </si>
  <si>
    <t>DVD-02</t>
  </si>
  <si>
    <t>어벤져스:앤드게임</t>
  </si>
  <si>
    <t>DVD-03</t>
  </si>
  <si>
    <t>걸갑스</t>
  </si>
  <si>
    <t>DVD-04</t>
  </si>
  <si>
    <t>명랑</t>
  </si>
  <si>
    <t>DVD-05</t>
  </si>
  <si>
    <t>명탐정 피카츄</t>
  </si>
  <si>
    <t>DVD-06</t>
  </si>
  <si>
    <t>생일</t>
  </si>
  <si>
    <t>드라마</t>
  </si>
  <si>
    <t>DVD-07</t>
  </si>
  <si>
    <t>캡틴 마블</t>
  </si>
  <si>
    <t>DVD-08</t>
  </si>
  <si>
    <t>미성년</t>
  </si>
  <si>
    <t>DVD-09</t>
  </si>
  <si>
    <t>돈</t>
  </si>
  <si>
    <t>범죄</t>
  </si>
  <si>
    <t>DVD-10</t>
  </si>
  <si>
    <t>기생충</t>
  </si>
  <si>
    <t>DVD-11</t>
  </si>
  <si>
    <t>극한직업</t>
  </si>
  <si>
    <t>코미디</t>
  </si>
  <si>
    <t>DVD-12</t>
  </si>
  <si>
    <t>증인</t>
  </si>
  <si>
    <t>DVD-13</t>
  </si>
  <si>
    <t>뺑반</t>
  </si>
  <si>
    <t>DVD-14</t>
  </si>
  <si>
    <t>기묘한 가족</t>
  </si>
  <si>
    <t>DVD-15</t>
  </si>
  <si>
    <t>반지의 제왕</t>
  </si>
  <si>
    <t>모험</t>
  </si>
  <si>
    <t>DVD-16</t>
  </si>
  <si>
    <t>알리타</t>
  </si>
  <si>
    <t>DVD-17</t>
  </si>
  <si>
    <t>사바하</t>
  </si>
  <si>
    <t>미스터리</t>
  </si>
  <si>
    <t>DVD-18</t>
  </si>
  <si>
    <t>신과함께-죄와 벌</t>
  </si>
  <si>
    <t>DVD-19</t>
  </si>
  <si>
    <t>극장판 헬로카봇</t>
    <phoneticPr fontId="1" type="noConversion"/>
  </si>
  <si>
    <t>애니메이션</t>
  </si>
  <si>
    <t>DVD-20</t>
  </si>
  <si>
    <t>더 포스트</t>
  </si>
  <si>
    <t>DVD-21</t>
  </si>
  <si>
    <t>국가부도의 날</t>
  </si>
  <si>
    <t>DVD-22</t>
  </si>
  <si>
    <t>아이 토냐</t>
  </si>
  <si>
    <t>DVD-23</t>
  </si>
  <si>
    <t>코코</t>
  </si>
  <si>
    <t>DVD-24</t>
  </si>
  <si>
    <t>국제시장</t>
  </si>
  <si>
    <t>DVD-25</t>
  </si>
  <si>
    <t>플로리다 프로젝트</t>
  </si>
  <si>
    <t>DVD-26</t>
  </si>
  <si>
    <t>퍼스트맨</t>
  </si>
  <si>
    <t>DVD-27</t>
  </si>
  <si>
    <t>어느 가족</t>
  </si>
  <si>
    <t>DVD-28</t>
  </si>
  <si>
    <t>레디 플레이어 원</t>
  </si>
  <si>
    <t>DVD-29</t>
  </si>
  <si>
    <t>콜 미 바이 유어 네임</t>
  </si>
  <si>
    <t>DVD-30</t>
  </si>
  <si>
    <t>레이디 버드</t>
  </si>
  <si>
    <t>[표1]</t>
    <phoneticPr fontId="1" type="noConversion"/>
  </si>
  <si>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</si>
  <si>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</si>
  <si>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</si>
  <si>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</si>
  <si>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</si>
  <si>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</si>
  <si>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</si>
  <si>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이현정</t>
    <phoneticPr fontId="1" type="noConversion"/>
  </si>
  <si>
    <t>컴퓨터공학과</t>
    <phoneticPr fontId="1" type="noConversion"/>
  </si>
  <si>
    <t>송수정</t>
    <phoneticPr fontId="1" type="noConversion"/>
  </si>
  <si>
    <t>컴퓨터공학과</t>
    <phoneticPr fontId="1" type="noConversion"/>
  </si>
  <si>
    <t>문병용</t>
    <phoneticPr fontId="1" type="noConversion"/>
  </si>
  <si>
    <t>컴퓨터공학과</t>
    <phoneticPr fontId="1" type="noConversion"/>
  </si>
  <si>
    <t>김혜영</t>
    <phoneticPr fontId="1" type="noConversion"/>
  </si>
  <si>
    <t>이문성</t>
    <phoneticPr fontId="1" type="noConversion"/>
  </si>
  <si>
    <t>전자공학과</t>
    <phoneticPr fontId="1" type="noConversion"/>
  </si>
  <si>
    <t>우용표</t>
    <phoneticPr fontId="1" type="noConversion"/>
  </si>
  <si>
    <t>김후영</t>
    <phoneticPr fontId="1" type="noConversion"/>
  </si>
  <si>
    <t>김민국</t>
    <phoneticPr fontId="1" type="noConversion"/>
  </si>
  <si>
    <t>[표1]</t>
    <phoneticPr fontId="1" type="noConversion"/>
  </si>
  <si>
    <t>과목ID</t>
    <phoneticPr fontId="1" type="noConversion"/>
  </si>
  <si>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</si>
  <si>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</si>
  <si>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</si>
  <si>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</si>
  <si>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</si>
  <si>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</si>
  <si>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</si>
  <si>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전공여부</t>
    <phoneticPr fontId="1" type="noConversion"/>
  </si>
  <si>
    <t>등급</t>
    <phoneticPr fontId="1" type="noConversion"/>
  </si>
  <si>
    <t>R003</t>
  </si>
  <si>
    <t>이현정</t>
    <phoneticPr fontId="1" type="noConversion"/>
  </si>
  <si>
    <t>S002</t>
    <phoneticPr fontId="1" type="noConversion"/>
  </si>
  <si>
    <t>송수정</t>
    <phoneticPr fontId="1" type="noConversion"/>
  </si>
  <si>
    <t>컴퓨터공학과</t>
    <phoneticPr fontId="1" type="noConversion"/>
  </si>
  <si>
    <t>R004</t>
  </si>
  <si>
    <t>문병용</t>
    <phoneticPr fontId="1" type="noConversion"/>
  </si>
  <si>
    <t>R007</t>
  </si>
  <si>
    <t>컴퓨터공학과</t>
    <phoneticPr fontId="1" type="noConversion"/>
  </si>
  <si>
    <t>R008</t>
  </si>
  <si>
    <t>이문성</t>
    <phoneticPr fontId="1" type="noConversion"/>
  </si>
  <si>
    <t>전자공학과</t>
    <phoneticPr fontId="1" type="noConversion"/>
  </si>
  <si>
    <t>P005</t>
    <phoneticPr fontId="1" type="noConversion"/>
  </si>
  <si>
    <t>우용표</t>
    <phoneticPr fontId="1" type="noConversion"/>
  </si>
  <si>
    <t>전자공학과</t>
    <phoneticPr fontId="1" type="noConversion"/>
  </si>
  <si>
    <t>S003</t>
    <phoneticPr fontId="1" type="noConversion"/>
  </si>
  <si>
    <t>김후영</t>
    <phoneticPr fontId="1" type="noConversion"/>
  </si>
  <si>
    <t>P002</t>
    <phoneticPr fontId="1" type="noConversion"/>
  </si>
  <si>
    <t>김민국</t>
    <phoneticPr fontId="1" type="noConversion"/>
  </si>
  <si>
    <t>컴퓨터공학과</t>
    <phoneticPr fontId="1" type="noConversion"/>
  </si>
  <si>
    <t>S004</t>
    <phoneticPr fontId="1" type="noConversion"/>
  </si>
  <si>
    <t>최신국</t>
    <phoneticPr fontId="1" type="noConversion"/>
  </si>
  <si>
    <t>P006</t>
    <phoneticPr fontId="1" type="noConversion"/>
  </si>
  <si>
    <t>박억남</t>
    <phoneticPr fontId="1" type="noConversion"/>
  </si>
  <si>
    <t>전자공학과</t>
    <phoneticPr fontId="1" type="noConversion"/>
  </si>
  <si>
    <t>P008</t>
    <phoneticPr fontId="1" type="noConversion"/>
  </si>
  <si>
    <t>조민정</t>
    <phoneticPr fontId="1" type="noConversion"/>
  </si>
  <si>
    <t>전자공학과</t>
    <phoneticPr fontId="1" type="noConversion"/>
  </si>
  <si>
    <t>이재건</t>
    <phoneticPr fontId="1" type="noConversion"/>
  </si>
  <si>
    <t>서승범</t>
    <phoneticPr fontId="1" type="noConversion"/>
  </si>
  <si>
    <t>박인성</t>
    <phoneticPr fontId="1" type="noConversion"/>
  </si>
  <si>
    <t>S005</t>
    <phoneticPr fontId="1" type="noConversion"/>
  </si>
  <si>
    <t>김주우</t>
    <phoneticPr fontId="1" type="noConversion"/>
  </si>
  <si>
    <t>R001</t>
  </si>
  <si>
    <t>이건홍</t>
    <phoneticPr fontId="1" type="noConversion"/>
  </si>
  <si>
    <t>이용현</t>
  </si>
  <si>
    <t>P007</t>
    <phoneticPr fontId="1" type="noConversion"/>
  </si>
  <si>
    <t>나웅선</t>
  </si>
  <si>
    <t>김보미</t>
  </si>
  <si>
    <t>R002</t>
  </si>
  <si>
    <t>성도식</t>
    <phoneticPr fontId="1" type="noConversion"/>
  </si>
  <si>
    <t>P007</t>
    <phoneticPr fontId="1" type="noConversion"/>
  </si>
  <si>
    <t>유성진</t>
  </si>
  <si>
    <t>[표2]</t>
    <phoneticPr fontId="1" type="noConversion"/>
  </si>
  <si>
    <t>R</t>
  </si>
  <si>
    <t>강의진행</t>
    <phoneticPr fontId="1" type="noConversion"/>
  </si>
  <si>
    <t>과목</t>
    <phoneticPr fontId="1" type="noConversion"/>
  </si>
  <si>
    <t>영어</t>
    <phoneticPr fontId="1" type="noConversion"/>
  </si>
  <si>
    <t>한국어</t>
    <phoneticPr fontId="1" type="noConversion"/>
  </si>
  <si>
    <t>기타</t>
    <phoneticPr fontId="1" type="noConversion"/>
  </si>
  <si>
    <t>[표3]</t>
    <phoneticPr fontId="1" type="noConversion"/>
  </si>
  <si>
    <t>강의코드</t>
    <phoneticPr fontId="1" type="noConversion"/>
  </si>
  <si>
    <t>컴퓨터공학과</t>
    <phoneticPr fontId="1" type="noConversion"/>
  </si>
  <si>
    <t>과제</t>
    <phoneticPr fontId="1" type="noConversion"/>
  </si>
  <si>
    <t>중간</t>
    <phoneticPr fontId="1" type="noConversion"/>
  </si>
  <si>
    <t>기말</t>
    <phoneticPr fontId="1" type="noConversion"/>
  </si>
  <si>
    <t>S</t>
    <phoneticPr fontId="1" type="noConversion"/>
  </si>
  <si>
    <t>P</t>
    <phoneticPr fontId="1" type="noConversion"/>
  </si>
  <si>
    <t>[표4]</t>
    <phoneticPr fontId="1" type="noConversion"/>
  </si>
  <si>
    <t>중간+기말</t>
    <phoneticPr fontId="1" type="noConversion"/>
  </si>
  <si>
    <t>등급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</si>
  <si>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</si>
  <si>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</si>
  <si>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</si>
  <si>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</si>
  <si>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</si>
  <si>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</si>
  <si>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제작년도</t>
  </si>
  <si>
    <t>[표1]</t>
    <phoneticPr fontId="1" type="noConversion"/>
  </si>
  <si>
    <t>과제</t>
    <phoneticPr fontId="1" type="noConversion"/>
  </si>
  <si>
    <t>수시시험</t>
    <phoneticPr fontId="1" type="noConversion"/>
  </si>
  <si>
    <t>과제</t>
    <phoneticPr fontId="1" type="noConversion"/>
  </si>
  <si>
    <t>총점</t>
    <phoneticPr fontId="1" type="noConversion"/>
  </si>
  <si>
    <t>평점</t>
    <phoneticPr fontId="1" type="noConversion"/>
  </si>
  <si>
    <t>[표1]</t>
    <phoneticPr fontId="1" type="noConversion"/>
  </si>
  <si>
    <t>제품명</t>
    <phoneticPr fontId="1" type="noConversion"/>
  </si>
  <si>
    <t>판매금액</t>
    <phoneticPr fontId="1" type="noConversion"/>
  </si>
  <si>
    <t>할인금액</t>
    <phoneticPr fontId="1" type="noConversion"/>
  </si>
  <si>
    <t>세탁기</t>
    <phoneticPr fontId="1" type="noConversion"/>
  </si>
  <si>
    <t>공기청정기</t>
    <phoneticPr fontId="1" type="noConversion"/>
  </si>
  <si>
    <t>건조기</t>
    <phoneticPr fontId="1" type="noConversion"/>
  </si>
  <si>
    <t>냉장고</t>
    <phoneticPr fontId="1" type="noConversion"/>
  </si>
  <si>
    <t>에어컨</t>
    <phoneticPr fontId="1" type="noConversion"/>
  </si>
  <si>
    <t>가전제품 판매 현황</t>
    <phoneticPr fontId="1" type="noConversion"/>
  </si>
  <si>
    <t>제품명</t>
    <phoneticPr fontId="1" type="noConversion"/>
  </si>
  <si>
    <t>수량</t>
    <phoneticPr fontId="1" type="noConversion"/>
  </si>
  <si>
    <t>금액</t>
    <phoneticPr fontId="1" type="noConversion"/>
  </si>
  <si>
    <t>텔레비전</t>
    <phoneticPr fontId="1" type="noConversion"/>
  </si>
  <si>
    <t>1,500,000원</t>
  </si>
  <si>
    <t>조건</t>
    <phoneticPr fontId="1" type="noConversion"/>
  </si>
  <si>
    <t>(모두)</t>
  </si>
  <si>
    <t>총합계</t>
  </si>
  <si>
    <t>개수 : 타이틀명</t>
  </si>
  <si>
    <t>평균 : 시간</t>
  </si>
  <si>
    <t>값</t>
  </si>
  <si>
    <t>순이익 계산</t>
    <phoneticPr fontId="7" type="noConversion"/>
  </si>
  <si>
    <t>제조원가</t>
    <phoneticPr fontId="7" type="noConversion"/>
  </si>
  <si>
    <t>판매가</t>
    <phoneticPr fontId="7" type="noConversion"/>
  </si>
  <si>
    <t>초기투자비용</t>
    <phoneticPr fontId="7" type="noConversion"/>
  </si>
  <si>
    <t>홍보비용</t>
    <phoneticPr fontId="7" type="noConversion"/>
  </si>
  <si>
    <t>판매량</t>
    <phoneticPr fontId="7" type="noConversion"/>
  </si>
  <si>
    <t>판매량과 판매가 변동에 따른 순이익금 계산표</t>
    <phoneticPr fontId="7" type="noConversion"/>
  </si>
  <si>
    <t>판 매 량</t>
    <phoneticPr fontId="7" type="noConversion"/>
  </si>
  <si>
    <t>판매가</t>
    <phoneticPr fontId="7" type="noConversion"/>
  </si>
  <si>
    <t>2024년</t>
  </si>
  <si>
    <t>2025년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</si>
</sst>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이상&quot;"/>
    <numFmt numFmtId="177" formatCode="General&quot;이하&quot;"/>
    <numFmt numFmtId="178" formatCode="0.0_ "/>
    <numFmt numFmtId="179" formatCode="&quot;₩&quot;#,##0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ajor"/>
    </font>
    <font>
      <b/>
      <sz val="12"/>
      <color theme="1"/>
      <name val="굴림체"/>
      <family val="3"/>
      <charset val="129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1" xfId="0" applyBorder="1" applyProtection="1">
      <alignment vertical="center"/>
      <protection hidden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Border="1">
      <alignment vertical="center"/>
    </xf>
    <xf numFmtId="42" fontId="3" fillId="0" borderId="0" xfId="2" applyFont="1" applyBorder="1" applyAlignment="1"/>
    <xf numFmtId="42" fontId="3" fillId="0" borderId="0" xfId="2" applyFont="1" applyAlignment="1"/>
    <xf numFmtId="179" fontId="3" fillId="0" borderId="8" xfId="0" applyNumberFormat="1" applyFont="1" applyBorder="1">
      <alignment vertical="center"/>
    </xf>
    <xf numFmtId="0" fontId="8" fillId="0" borderId="0" xfId="0" applyFont="1" applyAlignment="1">
      <alignment horizontal="center"/>
    </xf>
    <xf numFmtId="41" fontId="3" fillId="0" borderId="1" xfId="1" applyFont="1" applyBorder="1" applyAlignment="1"/>
    <xf numFmtId="41" fontId="3" fillId="0" borderId="14" xfId="1" applyFont="1" applyBorder="1">
      <alignment vertical="center"/>
    </xf>
    <xf numFmtId="41" fontId="3" fillId="0" borderId="15" xfId="1" applyFont="1" applyBorder="1">
      <alignment vertical="center"/>
    </xf>
    <xf numFmtId="41" fontId="3" fillId="0" borderId="16" xfId="1" applyFont="1" applyBorder="1">
      <alignment vertical="center"/>
    </xf>
    <xf numFmtId="41" fontId="3" fillId="0" borderId="19" xfId="1" applyFont="1" applyBorder="1">
      <alignment vertical="center"/>
    </xf>
    <xf numFmtId="41" fontId="3" fillId="0" borderId="1" xfId="1" applyFont="1" applyBorder="1">
      <alignment vertical="center"/>
    </xf>
    <xf numFmtId="41" fontId="3" fillId="0" borderId="20" xfId="1" applyFont="1" applyBorder="1">
      <alignment vertical="center"/>
    </xf>
    <xf numFmtId="41" fontId="3" fillId="0" borderId="23" xfId="1" applyFont="1" applyBorder="1">
      <alignment vertical="center"/>
    </xf>
    <xf numFmtId="41" fontId="3" fillId="0" borderId="24" xfId="1" applyFont="1" applyBorder="1">
      <alignment vertical="center"/>
    </xf>
    <xf numFmtId="41" fontId="3" fillId="0" borderId="25" xfId="1" applyFont="1" applyBorder="1">
      <alignment vertical="center"/>
    </xf>
    <xf numFmtId="41" fontId="3" fillId="0" borderId="9" xfId="1" applyFont="1" applyBorder="1">
      <alignment vertical="center"/>
    </xf>
    <xf numFmtId="41" fontId="3" fillId="0" borderId="10" xfId="1" applyFont="1" applyBorder="1">
      <alignment vertical="center"/>
    </xf>
    <xf numFmtId="41" fontId="3" fillId="0" borderId="11" xfId="1" applyFont="1" applyBorder="1">
      <alignment vertical="center"/>
    </xf>
    <xf numFmtId="41" fontId="3" fillId="0" borderId="13" xfId="1" applyFont="1" applyBorder="1">
      <alignment vertical="center"/>
    </xf>
    <xf numFmtId="41" fontId="3" fillId="0" borderId="18" xfId="1" applyFont="1" applyBorder="1">
      <alignment vertical="center"/>
    </xf>
    <xf numFmtId="41" fontId="3" fillId="0" borderId="22" xfId="1" applyFont="1" applyBorder="1">
      <alignment vertical="center"/>
    </xf>
    <xf numFmtId="14" fontId="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 textRotation="255"/>
    </xf>
    <xf numFmtId="0" fontId="3" fillId="0" borderId="17" xfId="0" applyFont="1" applyBorder="1" applyAlignment="1">
      <alignment horizontal="center" vertical="center" textRotation="255"/>
    </xf>
    <xf numFmtId="0" fontId="3" fillId="0" borderId="21" xfId="0" applyFont="1" applyBorder="1" applyAlignment="1">
      <alignment horizontal="center" vertical="center" textRotation="255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1"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'기본작업-2'!$C$2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'기본작업-2'!$C$3:$C$10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10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8-4E4D-A390-E9BA475E37D4}"/>
            </c:ext>
          </c:extLst>
        </c:ser>
        <c:ser>
          <c:idx val="1"/>
          <c:order val="1"/>
          <c:tx>
            <c:strRef>
              <c:f>'기본작업-2'!$D$2</c:f>
              <c:strCache>
                <c:ptCount val="1"/>
                <c:pt idx="0">
                  <c:v>출석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'기본작업-2'!$D$3:$D$10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98-4E4D-A390-E9BA475E37D4}"/>
            </c:ext>
          </c:extLst>
        </c:ser>
        <c:ser>
          <c:idx val="2"/>
          <c:order val="2"/>
          <c:tx>
            <c:strRef>
              <c:f>'기본작업-2'!$E$2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'기본작업-2'!$E$3:$E$10</c:f>
              <c:numCache>
                <c:formatCode>General</c:formatCode>
                <c:ptCount val="8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22</c:v>
                </c:pt>
                <c:pt idx="5">
                  <c:v>27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8-4E4D-A390-E9BA475E37D4}"/>
            </c:ext>
          </c:extLst>
        </c:ser>
        <c:ser>
          <c:idx val="3"/>
          <c:order val="3"/>
          <c:tx>
            <c:strRef>
              <c:f>'기본작업-2'!$F$2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'기본작업-2'!$F$3:$F$10</c:f>
              <c:numCache>
                <c:formatCode>General</c:formatCode>
                <c:ptCount val="8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27</c:v>
                </c:pt>
                <c:pt idx="5">
                  <c:v>28</c:v>
                </c:pt>
                <c:pt idx="6">
                  <c:v>23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98-4E4D-A390-E9BA475E3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49294192"/>
        <c:axId val="249294608"/>
      </c:barChart>
      <c:catAx>
        <c:axId val="24929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4608"/>
        <c:crosses val="autoZero"/>
        <c:auto val="1"/>
        <c:lblAlgn val="ctr"/>
        <c:lblOffset val="100"/>
        <c:noMultiLvlLbl val="0"/>
      </c:catAx>
      <c:valAx>
        <c:axId val="24929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가전제품 판매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'기타작업-1'!$B$4:$B$8</c:f>
              <c:numCache>
                <c:formatCode>_(* #,##0_);_(* \(#,##0\);_(* "-"_);_(@_)</c:formatCode>
                <c:ptCount val="5"/>
                <c:pt idx="0">
                  <c:v>2350000</c:v>
                </c:pt>
                <c:pt idx="1">
                  <c:v>1300000</c:v>
                </c:pt>
                <c:pt idx="2">
                  <c:v>1800000</c:v>
                </c:pt>
                <c:pt idx="3">
                  <c:v>3540000</c:v>
                </c:pt>
                <c:pt idx="4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9-4B1D-B412-656496430CCE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할인금액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1997500</c:v>
                </c:pt>
                <c:pt idx="1">
                  <c:v>1031300</c:v>
                </c:pt>
                <c:pt idx="2">
                  <c:v>1475600</c:v>
                </c:pt>
                <c:pt idx="3">
                  <c:v>3009000</c:v>
                </c:pt>
                <c:pt idx="4">
                  <c:v>2181900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9-4B1D-B412-656496430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49297936"/>
        <c:axId val="249297104"/>
      </c:barChart>
      <c:catAx>
        <c:axId val="249297936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7104"/>
        <c:crosses val="autoZero"/>
        <c:auto val="1"/>
        <c:lblAlgn val="ctr"/>
        <c:lblOffset val="100"/>
        <c:noMultiLvlLbl val="0"/>
      </c:catAx>
      <c:valAx>
        <c:axId val="249297104"/>
        <c:scaling>
          <c:orientation val="maxMin"/>
          <c:max val="4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7936"/>
        <c:crosses val="autoZero"/>
        <c:crossBetween val="between"/>
        <c:majorUnit val="1000000"/>
      </c:valAx>
      <c:spPr>
        <a:noFill/>
        <a:ln>
          <a:noFill/>
        </a:ln>
        <a:effectLst/>
      </c:spPr>
    </c:plotArea>
    <c:legend>
      <c:legendPos val="b"/>
      <c:overlay val="0"/>
      <c:spPr>
        <a:gradFill rotWithShape="1"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0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11</xdr:row>
      <xdr:rowOff>6350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[0]!평점4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641600" y="10795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평점</a:t>
          </a:r>
          <a:r>
            <a:rPr lang="en-US" altLang="ko-KR" sz="1100"/>
            <a:t>4</a:t>
          </a:r>
          <a:endParaRPr lang="ko-KR" altLang="en-US" sz="1100"/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10</xdr:row>
      <xdr:rowOff>0</xdr:rowOff>
    </xdr:to>
    <xdr:sp macro="[0]!평점3_7" textlink="">
      <xdr:nvSpPr>
        <xdr:cNvPr id="3" name="빗면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641600" y="17272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평점</a:t>
          </a:r>
          <a:r>
            <a:rPr lang="en-US" altLang="ko-KR" sz="1100"/>
            <a:t>3.7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638175</xdr:colOff>
          <xdr:row>4</xdr:row>
          <xdr:rowOff>9525</xdr:rowOff>
        </xdr:to>
        <xdr:sp macro="" textlink="">
          <xdr:nvSpPr>
            <xdr:cNvPr id="3073" name="cmb판매내역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41.777797222225" backgroundQuery="1" createdVersion="7" refreshedVersion="7" minRefreshableVersion="3" recordCount="30" xr:uid="{CCD8F53A-5EAF-491B-AEED-6B83C8B13C45}">
  <cacheSource type="external" connectionId="1"/>
  <cacheFields count="5">
    <cacheField name="제작년도" numFmtId="0" sqlType="4">
      <sharedItems containsSemiMixedTypes="0" containsString="0" containsNumber="1" containsInteger="1" minValue="2001" maxValue="2019" count="6">
        <n v="2019"/>
        <n v="2014"/>
        <n v="2001"/>
        <n v="2002"/>
        <n v="2017"/>
        <n v="2018"/>
      </sharedItems>
    </cacheField>
    <cacheField name="장르" numFmtId="0" sqlType="-9">
      <sharedItems count="7">
        <s v="액션"/>
        <s v="드라마"/>
        <s v="범죄"/>
        <s v="코미디"/>
        <s v="모험"/>
        <s v="미스터리"/>
        <s v="애니메이션"/>
      </sharedItems>
    </cacheField>
    <cacheField name="입고일자" numFmtId="0" sqlType="11">
      <sharedItems containsSemiMixedTypes="0" containsNonDate="0" containsDate="1" containsString="0" minDate="2024-01-21T00:00:00" maxDate="2025-10-25T00:00:00" count="27">
        <d v="2025-08-15T00:00:00"/>
        <d v="2025-10-24T00:00:00"/>
        <d v="2025-09-09T00:00:00"/>
        <d v="2024-10-30T00:00:00"/>
        <d v="2025-08-09T00:00:00"/>
        <d v="2025-06-03T00:00:00"/>
        <d v="2025-07-06T00:00:00"/>
        <d v="2025-06-11T00:00:00"/>
        <d v="2025-05-20T00:00:00"/>
        <d v="2025-08-30T00:00:00"/>
        <d v="2025-04-23T00:00:00"/>
        <d v="2025-05-13T00:00:00"/>
        <d v="2025-04-30T00:00:00"/>
        <d v="2024-01-21T00:00:00"/>
        <d v="2025-05-05T00:00:00"/>
        <d v="2024-03-20T00:00:00"/>
        <d v="2024-05-28T00:00:00"/>
        <d v="2025-01-28T00:00:00"/>
        <d v="2024-06-08T00:00:00"/>
        <d v="2024-04-11T00:00:00"/>
        <d v="2024-03-17T00:00:00"/>
        <d v="2024-06-07T00:00:00"/>
        <d v="2025-01-18T00:00:00"/>
        <d v="2024-10-26T00:00:00"/>
        <d v="2024-06-28T00:00:00"/>
        <d v="2024-06-22T00:00:00"/>
        <d v="2024-07-04T00:00:00"/>
      </sharedItems>
      <fieldGroup base="2">
        <rangePr groupBy="years" startDate="2024-01-21T00:00:00" endDate="2025-10-25T00:00:00"/>
        <groupItems count="4">
          <s v="&lt;2024-01-21"/>
          <s v="2024년"/>
          <s v="2025년"/>
          <s v="&gt;2025-10-25"/>
        </groupItems>
      </fieldGroup>
    </cacheField>
    <cacheField name="타이틀명" numFmtId="0" sqlType="-9">
      <sharedItems count="30">
        <s v="악인전"/>
        <s v="어벤져스:앤드게임"/>
        <s v="걸갑스"/>
        <s v="명랑"/>
        <s v="명탐정 피카츄"/>
        <s v="생일"/>
        <s v="캡틴 마블"/>
        <s v="미성년"/>
        <s v="돈"/>
        <s v="기생충"/>
        <s v="극한직업"/>
        <s v="증인"/>
        <s v="뺑반"/>
        <s v="기묘한 가족"/>
        <s v="반지의 제왕"/>
        <s v="알리타"/>
        <s v="사바하"/>
        <s v="신과함께-죄와 벌"/>
        <s v="극장판 헬로카봇:옴파로스섬의 비밀"/>
        <s v="더 포스트"/>
        <s v="국가부도의 날"/>
        <s v="아이 토냐"/>
        <s v="코코"/>
        <s v="국제시장"/>
        <s v="플로리다 프로젝트"/>
        <s v="퍼스트맨"/>
        <s v="어느 가족"/>
        <s v="레디 플레이어 원"/>
        <s v="콜 미 바이 유어 네임"/>
        <s v="레이디 버드"/>
      </sharedItems>
    </cacheField>
    <cacheField name="시간" numFmtId="0" sqlType="8">
      <sharedItems containsSemiMixedTypes="0" containsString="0" containsNumber="1" containsInteger="1" minValue="78" maxValue="181" count="27">
        <n v="110"/>
        <n v="181"/>
        <n v="107"/>
        <n v="128"/>
        <n v="104"/>
        <n v="120"/>
        <n v="123"/>
        <n v="96"/>
        <n v="115"/>
        <n v="131"/>
        <n v="111"/>
        <n v="129"/>
        <n v="133"/>
        <n v="112"/>
        <n v="178"/>
        <n v="122"/>
        <n v="139"/>
        <n v="78"/>
        <n v="116"/>
        <n v="114"/>
        <n v="127"/>
        <n v="126"/>
        <n v="141"/>
        <n v="121"/>
        <n v="140"/>
        <n v="132"/>
        <n v="9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</r>
  <r>
    <x v="0"/>
    <x v="0"/>
    <x v="1"/>
    <x v="1"/>
    <x v="1"/>
  </r>
  <r>
    <x v="0"/>
    <x v="0"/>
    <x v="2"/>
    <x v="2"/>
    <x v="2"/>
  </r>
  <r>
    <x v="1"/>
    <x v="0"/>
    <x v="3"/>
    <x v="3"/>
    <x v="3"/>
  </r>
  <r>
    <x v="0"/>
    <x v="0"/>
    <x v="4"/>
    <x v="4"/>
    <x v="4"/>
  </r>
  <r>
    <x v="0"/>
    <x v="1"/>
    <x v="5"/>
    <x v="5"/>
    <x v="5"/>
  </r>
  <r>
    <x v="0"/>
    <x v="0"/>
    <x v="6"/>
    <x v="6"/>
    <x v="6"/>
  </r>
  <r>
    <x v="0"/>
    <x v="1"/>
    <x v="7"/>
    <x v="7"/>
    <x v="7"/>
  </r>
  <r>
    <x v="0"/>
    <x v="2"/>
    <x v="8"/>
    <x v="8"/>
    <x v="8"/>
  </r>
  <r>
    <x v="0"/>
    <x v="1"/>
    <x v="9"/>
    <x v="9"/>
    <x v="9"/>
  </r>
  <r>
    <x v="0"/>
    <x v="3"/>
    <x v="10"/>
    <x v="10"/>
    <x v="10"/>
  </r>
  <r>
    <x v="0"/>
    <x v="1"/>
    <x v="11"/>
    <x v="11"/>
    <x v="11"/>
  </r>
  <r>
    <x v="0"/>
    <x v="0"/>
    <x v="12"/>
    <x v="12"/>
    <x v="12"/>
  </r>
  <r>
    <x v="0"/>
    <x v="3"/>
    <x v="11"/>
    <x v="13"/>
    <x v="13"/>
  </r>
  <r>
    <x v="2"/>
    <x v="4"/>
    <x v="13"/>
    <x v="14"/>
    <x v="14"/>
  </r>
  <r>
    <x v="3"/>
    <x v="0"/>
    <x v="14"/>
    <x v="15"/>
    <x v="15"/>
  </r>
  <r>
    <x v="0"/>
    <x v="5"/>
    <x v="8"/>
    <x v="16"/>
    <x v="15"/>
  </r>
  <r>
    <x v="4"/>
    <x v="1"/>
    <x v="15"/>
    <x v="17"/>
    <x v="16"/>
  </r>
  <r>
    <x v="0"/>
    <x v="6"/>
    <x v="12"/>
    <x v="18"/>
    <x v="17"/>
  </r>
  <r>
    <x v="5"/>
    <x v="1"/>
    <x v="16"/>
    <x v="19"/>
    <x v="18"/>
  </r>
  <r>
    <x v="5"/>
    <x v="1"/>
    <x v="17"/>
    <x v="20"/>
    <x v="19"/>
  </r>
  <r>
    <x v="5"/>
    <x v="1"/>
    <x v="18"/>
    <x v="21"/>
    <x v="5"/>
  </r>
  <r>
    <x v="5"/>
    <x v="6"/>
    <x v="19"/>
    <x v="22"/>
    <x v="20"/>
  </r>
  <r>
    <x v="1"/>
    <x v="1"/>
    <x v="20"/>
    <x v="23"/>
    <x v="21"/>
  </r>
  <r>
    <x v="5"/>
    <x v="1"/>
    <x v="21"/>
    <x v="24"/>
    <x v="10"/>
  </r>
  <r>
    <x v="5"/>
    <x v="1"/>
    <x v="22"/>
    <x v="25"/>
    <x v="22"/>
  </r>
  <r>
    <x v="5"/>
    <x v="1"/>
    <x v="23"/>
    <x v="26"/>
    <x v="23"/>
  </r>
  <r>
    <x v="5"/>
    <x v="0"/>
    <x v="24"/>
    <x v="27"/>
    <x v="24"/>
  </r>
  <r>
    <x v="5"/>
    <x v="1"/>
    <x v="25"/>
    <x v="28"/>
    <x v="25"/>
  </r>
  <r>
    <x v="5"/>
    <x v="1"/>
    <x v="26"/>
    <x v="29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F6BC3C-ACE6-4E41-9752-086458CBE338}" name="피벗 테이블2" cacheId="1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 fieldListSortAscending="1">
  <location ref="B4:F14" firstHeaderRow="1" firstDataRow="3" firstDataCol="1" rowPageCount="1" colPageCount="1"/>
  <pivotFields count="5">
    <pivotField axis="axisPage" compact="0" showAll="0">
      <items count="7">
        <item x="2"/>
        <item x="3"/>
        <item x="1"/>
        <item x="4"/>
        <item x="5"/>
        <item x="0"/>
        <item t="default"/>
      </items>
    </pivotField>
    <pivotField axis="axisRow" compact="0" showAll="0" sortType="descending">
      <items count="8">
        <item x="3"/>
        <item x="0"/>
        <item x="6"/>
        <item x="2"/>
        <item x="5"/>
        <item x="4"/>
        <item x="1"/>
        <item t="default"/>
      </items>
    </pivotField>
    <pivotField axis="axisCol" compact="0" showAll="0">
      <items count="5">
        <item x="0"/>
        <item x="1"/>
        <item x="2"/>
        <item x="3"/>
        <item t="default"/>
      </items>
    </pivotField>
    <pivotField dataField="1" compact="0" showAll="0"/>
    <pivotField dataField="1" compact="0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"/>
    <field x="-2"/>
  </colFields>
  <colItems count="4">
    <i>
      <x v="1"/>
      <x/>
    </i>
    <i r="1" i="1">
      <x v="1"/>
    </i>
    <i>
      <x v="2"/>
      <x/>
    </i>
    <i r="1" i="1">
      <x v="1"/>
    </i>
  </colItems>
  <pageFields count="1">
    <pageField fld="0" hier="-1"/>
  </pageFields>
  <dataFields count="2">
    <dataField name="개수 : 타이틀명" fld="3" subtotal="count" baseField="0" baseItem="0"/>
    <dataField name="평균 : 시간" fld="4" subtotal="average" baseField="1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45"/>
  <sheetViews>
    <sheetView workbookViewId="0"/>
  </sheetViews>
  <sheetFormatPr defaultRowHeight="16.5"/>
  <cols>
    <col min="1" max="1" width="9.875" customWidth="1"/>
    <col min="2" max="2" width="19.125" bestFit="1" customWidth="1"/>
    <col min="3" max="3" width="12.375" customWidth="1"/>
    <col min="4" max="4" width="10.875" customWidth="1"/>
    <col min="5" max="5" width="9.875" customWidth="1"/>
    <col min="6" max="7" width="10.875" customWidth="1"/>
  </cols>
  <sheetData>
    <row r="1" spans="1:7">
      <c r="A1" t="s">
        <v>0</v>
      </c>
    </row>
    <row r="2" spans="1:7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>
      <c r="A3" s="1" t="s">
        <v>8</v>
      </c>
      <c r="B3" s="1" t="s">
        <v>9</v>
      </c>
      <c r="C3" s="46">
        <v>45884</v>
      </c>
      <c r="D3" s="3">
        <v>25000</v>
      </c>
      <c r="E3" s="1" t="s">
        <v>10</v>
      </c>
      <c r="F3" s="1">
        <v>110</v>
      </c>
      <c r="G3" s="3">
        <v>1500</v>
      </c>
    </row>
    <row r="4" spans="1:7">
      <c r="A4" s="1" t="s">
        <v>11</v>
      </c>
      <c r="B4" s="1" t="s">
        <v>12</v>
      </c>
      <c r="C4" s="46">
        <v>45954</v>
      </c>
      <c r="D4" s="3">
        <v>25300</v>
      </c>
      <c r="E4" s="1" t="s">
        <v>10</v>
      </c>
      <c r="F4" s="1">
        <v>181</v>
      </c>
      <c r="G4" s="3">
        <v>2000</v>
      </c>
    </row>
    <row r="5" spans="1:7">
      <c r="A5" s="1" t="s">
        <v>13</v>
      </c>
      <c r="B5" s="1" t="s">
        <v>14</v>
      </c>
      <c r="C5" s="46">
        <v>45909</v>
      </c>
      <c r="D5" s="3">
        <v>29500</v>
      </c>
      <c r="E5" s="1" t="s">
        <v>10</v>
      </c>
      <c r="F5" s="1">
        <v>107</v>
      </c>
      <c r="G5" s="3">
        <v>1000</v>
      </c>
    </row>
    <row r="6" spans="1:7">
      <c r="A6" s="1" t="s">
        <v>15</v>
      </c>
      <c r="B6" s="1" t="s">
        <v>16</v>
      </c>
      <c r="C6" s="46">
        <v>45595</v>
      </c>
      <c r="D6" s="3">
        <v>23000</v>
      </c>
      <c r="E6" s="1" t="s">
        <v>10</v>
      </c>
      <c r="F6" s="1">
        <v>128</v>
      </c>
      <c r="G6" s="3">
        <v>500</v>
      </c>
    </row>
    <row r="7" spans="1:7">
      <c r="A7" s="1" t="s">
        <v>17</v>
      </c>
      <c r="B7" s="1" t="s">
        <v>18</v>
      </c>
      <c r="C7" s="46">
        <v>45878</v>
      </c>
      <c r="D7" s="3">
        <v>25000</v>
      </c>
      <c r="E7" s="1" t="s">
        <v>10</v>
      </c>
      <c r="F7" s="1">
        <v>104</v>
      </c>
      <c r="G7" s="3">
        <v>500</v>
      </c>
    </row>
    <row r="8" spans="1:7">
      <c r="A8" s="1" t="s">
        <v>19</v>
      </c>
      <c r="B8" s="1" t="s">
        <v>20</v>
      </c>
      <c r="C8" s="46">
        <v>45811</v>
      </c>
      <c r="D8" s="3">
        <v>25000</v>
      </c>
      <c r="E8" s="1" t="s">
        <v>21</v>
      </c>
      <c r="F8" s="1">
        <v>120</v>
      </c>
      <c r="G8" s="3">
        <v>1000</v>
      </c>
    </row>
    <row r="9" spans="1:7">
      <c r="A9" s="1" t="s">
        <v>22</v>
      </c>
      <c r="B9" s="1" t="s">
        <v>23</v>
      </c>
      <c r="C9" s="46">
        <v>45844</v>
      </c>
      <c r="D9" s="3">
        <v>25300</v>
      </c>
      <c r="E9" s="1" t="s">
        <v>10</v>
      </c>
      <c r="F9" s="1">
        <v>123</v>
      </c>
      <c r="G9" s="3">
        <v>1500</v>
      </c>
    </row>
    <row r="10" spans="1:7">
      <c r="A10" s="1" t="s">
        <v>24</v>
      </c>
      <c r="B10" s="1" t="s">
        <v>25</v>
      </c>
      <c r="C10" s="46">
        <v>45819</v>
      </c>
      <c r="D10" s="3">
        <v>16500</v>
      </c>
      <c r="E10" s="1" t="s">
        <v>21</v>
      </c>
      <c r="F10" s="1">
        <v>96</v>
      </c>
      <c r="G10" s="3">
        <v>1000</v>
      </c>
    </row>
    <row r="11" spans="1:7">
      <c r="A11" s="1" t="s">
        <v>26</v>
      </c>
      <c r="B11" s="1" t="s">
        <v>27</v>
      </c>
      <c r="C11" s="46">
        <v>45797</v>
      </c>
      <c r="D11" s="3">
        <v>29000</v>
      </c>
      <c r="E11" s="1" t="s">
        <v>28</v>
      </c>
      <c r="F11" s="1">
        <v>115</v>
      </c>
      <c r="G11" s="3">
        <v>1000</v>
      </c>
    </row>
    <row r="12" spans="1:7">
      <c r="A12" s="1" t="s">
        <v>29</v>
      </c>
      <c r="B12" s="1" t="s">
        <v>30</v>
      </c>
      <c r="C12" s="46">
        <v>45899</v>
      </c>
      <c r="D12" s="3">
        <v>22000</v>
      </c>
      <c r="E12" s="1" t="s">
        <v>21</v>
      </c>
      <c r="F12" s="1">
        <v>131</v>
      </c>
      <c r="G12" s="3">
        <v>1000</v>
      </c>
    </row>
    <row r="13" spans="1:7">
      <c r="A13" s="1" t="s">
        <v>31</v>
      </c>
      <c r="B13" s="1" t="s">
        <v>32</v>
      </c>
      <c r="C13" s="46">
        <v>45770</v>
      </c>
      <c r="D13" s="3">
        <v>25000</v>
      </c>
      <c r="E13" s="1" t="s">
        <v>33</v>
      </c>
      <c r="F13" s="1">
        <v>111</v>
      </c>
      <c r="G13" s="3">
        <v>1000</v>
      </c>
    </row>
    <row r="14" spans="1:7">
      <c r="A14" s="1" t="s">
        <v>34</v>
      </c>
      <c r="B14" s="1" t="s">
        <v>35</v>
      </c>
      <c r="C14" s="46">
        <v>45790</v>
      </c>
      <c r="D14" s="3">
        <v>25000</v>
      </c>
      <c r="E14" s="1" t="s">
        <v>21</v>
      </c>
      <c r="F14" s="1">
        <v>129</v>
      </c>
      <c r="G14" s="3">
        <v>1000</v>
      </c>
    </row>
    <row r="15" spans="1:7">
      <c r="A15" s="1" t="s">
        <v>36</v>
      </c>
      <c r="B15" s="1" t="s">
        <v>37</v>
      </c>
      <c r="C15" s="46">
        <v>45777</v>
      </c>
      <c r="D15" s="3">
        <v>29000</v>
      </c>
      <c r="E15" s="1" t="s">
        <v>10</v>
      </c>
      <c r="F15" s="1">
        <v>133</v>
      </c>
      <c r="G15" s="3">
        <v>2000</v>
      </c>
    </row>
    <row r="16" spans="1:7">
      <c r="A16" s="1" t="s">
        <v>38</v>
      </c>
      <c r="B16" s="1" t="s">
        <v>39</v>
      </c>
      <c r="C16" s="46">
        <v>45790</v>
      </c>
      <c r="D16" s="3">
        <v>25000</v>
      </c>
      <c r="E16" s="1" t="s">
        <v>33</v>
      </c>
      <c r="F16" s="1">
        <v>112</v>
      </c>
      <c r="G16" s="3">
        <v>1000</v>
      </c>
    </row>
    <row r="17" spans="1:7">
      <c r="A17" s="1" t="s">
        <v>40</v>
      </c>
      <c r="B17" s="1" t="s">
        <v>41</v>
      </c>
      <c r="C17" s="46">
        <v>45312</v>
      </c>
      <c r="D17" s="3">
        <v>29000</v>
      </c>
      <c r="E17" s="1" t="s">
        <v>42</v>
      </c>
      <c r="F17" s="1">
        <v>178</v>
      </c>
      <c r="G17" s="3">
        <v>1000</v>
      </c>
    </row>
    <row r="18" spans="1:7">
      <c r="A18" s="1" t="s">
        <v>43</v>
      </c>
      <c r="B18" s="1" t="s">
        <v>44</v>
      </c>
      <c r="C18" s="46">
        <v>45782</v>
      </c>
      <c r="D18" s="3">
        <v>25000</v>
      </c>
      <c r="E18" s="1" t="s">
        <v>10</v>
      </c>
      <c r="F18" s="1">
        <v>122</v>
      </c>
      <c r="G18" s="3">
        <v>1500</v>
      </c>
    </row>
    <row r="19" spans="1:7">
      <c r="A19" s="1" t="s">
        <v>45</v>
      </c>
      <c r="B19" s="1" t="s">
        <v>46</v>
      </c>
      <c r="C19" s="46">
        <v>45797</v>
      </c>
      <c r="D19" s="3">
        <v>28000</v>
      </c>
      <c r="E19" s="1" t="s">
        <v>47</v>
      </c>
      <c r="F19" s="1">
        <v>122</v>
      </c>
      <c r="G19" s="3">
        <v>1500</v>
      </c>
    </row>
    <row r="20" spans="1:7">
      <c r="A20" s="1" t="s">
        <v>48</v>
      </c>
      <c r="B20" s="1" t="s">
        <v>49</v>
      </c>
      <c r="C20" s="46">
        <v>45371</v>
      </c>
      <c r="D20" s="3">
        <v>25300</v>
      </c>
      <c r="E20" s="1" t="s">
        <v>21</v>
      </c>
      <c r="F20" s="1">
        <v>139</v>
      </c>
      <c r="G20" s="3">
        <v>1000</v>
      </c>
    </row>
    <row r="21" spans="1:7">
      <c r="A21" s="1" t="s">
        <v>50</v>
      </c>
      <c r="B21" s="1" t="s">
        <v>51</v>
      </c>
      <c r="C21" s="46">
        <v>45777</v>
      </c>
      <c r="D21" s="3">
        <v>16500</v>
      </c>
      <c r="E21" s="1" t="s">
        <v>52</v>
      </c>
      <c r="F21" s="1">
        <v>78</v>
      </c>
      <c r="G21" s="3">
        <v>500</v>
      </c>
    </row>
    <row r="22" spans="1:7">
      <c r="A22" s="1" t="s">
        <v>53</v>
      </c>
      <c r="B22" s="1" t="s">
        <v>54</v>
      </c>
      <c r="C22" s="46">
        <v>45440</v>
      </c>
      <c r="D22" s="3">
        <v>19800</v>
      </c>
      <c r="E22" s="1" t="s">
        <v>21</v>
      </c>
      <c r="F22" s="1">
        <v>116</v>
      </c>
      <c r="G22" s="3">
        <v>1000</v>
      </c>
    </row>
    <row r="23" spans="1:7">
      <c r="A23" s="1" t="s">
        <v>55</v>
      </c>
      <c r="B23" s="1" t="s">
        <v>56</v>
      </c>
      <c r="C23" s="46">
        <v>45685</v>
      </c>
      <c r="D23" s="3">
        <v>22000</v>
      </c>
      <c r="E23" s="1" t="s">
        <v>21</v>
      </c>
      <c r="F23" s="1">
        <v>114</v>
      </c>
      <c r="G23" s="3">
        <v>1500</v>
      </c>
    </row>
    <row r="24" spans="1:7">
      <c r="A24" s="1" t="s">
        <v>57</v>
      </c>
      <c r="B24" s="1" t="s">
        <v>58</v>
      </c>
      <c r="C24" s="46">
        <v>45451</v>
      </c>
      <c r="D24" s="3">
        <v>25300</v>
      </c>
      <c r="E24" s="1" t="s">
        <v>21</v>
      </c>
      <c r="F24" s="1">
        <v>120</v>
      </c>
      <c r="G24" s="3">
        <v>1000</v>
      </c>
    </row>
    <row r="25" spans="1:7">
      <c r="A25" s="1" t="s">
        <v>59</v>
      </c>
      <c r="B25" s="1" t="s">
        <v>60</v>
      </c>
      <c r="C25" s="46">
        <v>45393</v>
      </c>
      <c r="D25" s="3">
        <v>21000</v>
      </c>
      <c r="E25" s="1" t="s">
        <v>52</v>
      </c>
      <c r="F25" s="1">
        <v>127</v>
      </c>
      <c r="G25" s="3">
        <v>500</v>
      </c>
    </row>
    <row r="26" spans="1:7">
      <c r="A26" s="1" t="s">
        <v>61</v>
      </c>
      <c r="B26" s="1" t="s">
        <v>62</v>
      </c>
      <c r="C26" s="46">
        <v>45368</v>
      </c>
      <c r="D26" s="3">
        <v>27500</v>
      </c>
      <c r="E26" s="1" t="s">
        <v>21</v>
      </c>
      <c r="F26" s="1">
        <v>126</v>
      </c>
      <c r="G26" s="3">
        <v>500</v>
      </c>
    </row>
    <row r="27" spans="1:7">
      <c r="A27" s="1" t="s">
        <v>63</v>
      </c>
      <c r="B27" s="1" t="s">
        <v>64</v>
      </c>
      <c r="C27" s="46">
        <v>45450</v>
      </c>
      <c r="D27" s="3">
        <v>19980</v>
      </c>
      <c r="E27" s="1" t="s">
        <v>21</v>
      </c>
      <c r="F27" s="1">
        <v>111</v>
      </c>
      <c r="G27" s="3">
        <v>1000</v>
      </c>
    </row>
    <row r="28" spans="1:7">
      <c r="A28" s="1" t="s">
        <v>65</v>
      </c>
      <c r="B28" s="1" t="s">
        <v>66</v>
      </c>
      <c r="C28" s="46">
        <v>45675</v>
      </c>
      <c r="D28" s="3">
        <v>25000</v>
      </c>
      <c r="E28" s="1" t="s">
        <v>21</v>
      </c>
      <c r="F28" s="1">
        <v>141</v>
      </c>
      <c r="G28" s="3">
        <v>1000</v>
      </c>
    </row>
    <row r="29" spans="1:7">
      <c r="A29" s="1" t="s">
        <v>67</v>
      </c>
      <c r="B29" s="1" t="s">
        <v>68</v>
      </c>
      <c r="C29" s="46">
        <v>45591</v>
      </c>
      <c r="D29" s="3">
        <v>25300</v>
      </c>
      <c r="E29" s="1" t="s">
        <v>21</v>
      </c>
      <c r="F29" s="1">
        <v>121</v>
      </c>
      <c r="G29" s="3">
        <v>500</v>
      </c>
    </row>
    <row r="30" spans="1:7">
      <c r="A30" s="1" t="s">
        <v>69</v>
      </c>
      <c r="B30" s="1" t="s">
        <v>70</v>
      </c>
      <c r="C30" s="46">
        <v>45471</v>
      </c>
      <c r="D30" s="3">
        <v>25300</v>
      </c>
      <c r="E30" s="1" t="s">
        <v>10</v>
      </c>
      <c r="F30" s="1">
        <v>140</v>
      </c>
      <c r="G30" s="3">
        <v>500</v>
      </c>
    </row>
    <row r="31" spans="1:7">
      <c r="A31" s="1" t="s">
        <v>71</v>
      </c>
      <c r="B31" s="1" t="s">
        <v>72</v>
      </c>
      <c r="C31" s="46">
        <v>45465</v>
      </c>
      <c r="D31" s="3">
        <v>25000</v>
      </c>
      <c r="E31" s="1" t="s">
        <v>21</v>
      </c>
      <c r="F31" s="1">
        <v>132</v>
      </c>
      <c r="G31" s="3">
        <v>500</v>
      </c>
    </row>
    <row r="32" spans="1:7">
      <c r="A32" s="1" t="s">
        <v>73</v>
      </c>
      <c r="B32" s="1" t="s">
        <v>74</v>
      </c>
      <c r="C32" s="46">
        <v>45477</v>
      </c>
      <c r="D32" s="3">
        <v>24000</v>
      </c>
      <c r="E32" s="1" t="s">
        <v>21</v>
      </c>
      <c r="F32" s="1">
        <v>94</v>
      </c>
      <c r="G32" s="3">
        <v>1000</v>
      </c>
    </row>
    <row r="34" spans="1:7">
      <c r="A34" s="18" t="s">
        <v>195</v>
      </c>
    </row>
    <row r="35" spans="1:7">
      <c r="A35" t="b">
        <f>AND(MID(A3,5,1)="1",F3&gt;=100,F3&lt;150)</f>
        <v>0</v>
      </c>
    </row>
    <row r="37" spans="1:7">
      <c r="A37" s="1" t="s">
        <v>1</v>
      </c>
      <c r="B37" s="1" t="s">
        <v>2</v>
      </c>
      <c r="C37" s="1" t="s">
        <v>3</v>
      </c>
      <c r="D37" s="1" t="s">
        <v>4</v>
      </c>
      <c r="E37" s="1" t="s">
        <v>5</v>
      </c>
      <c r="F37" s="1" t="s">
        <v>6</v>
      </c>
      <c r="G37" s="1" t="s">
        <v>7</v>
      </c>
    </row>
    <row r="38" spans="1:7">
      <c r="A38" s="1" t="s">
        <v>29</v>
      </c>
      <c r="B38" s="1" t="s">
        <v>30</v>
      </c>
      <c r="C38" s="2">
        <v>43707</v>
      </c>
      <c r="D38" s="3">
        <v>22000</v>
      </c>
      <c r="E38" s="1" t="s">
        <v>21</v>
      </c>
      <c r="F38" s="1">
        <v>131</v>
      </c>
      <c r="G38" s="3">
        <v>1000</v>
      </c>
    </row>
    <row r="39" spans="1:7">
      <c r="A39" s="1" t="s">
        <v>31</v>
      </c>
      <c r="B39" s="1" t="s">
        <v>32</v>
      </c>
      <c r="C39" s="2">
        <v>43578</v>
      </c>
      <c r="D39" s="3">
        <v>25000</v>
      </c>
      <c r="E39" s="1" t="s">
        <v>33</v>
      </c>
      <c r="F39" s="1">
        <v>111</v>
      </c>
      <c r="G39" s="3">
        <v>1000</v>
      </c>
    </row>
    <row r="40" spans="1:7">
      <c r="A40" s="1" t="s">
        <v>34</v>
      </c>
      <c r="B40" s="1" t="s">
        <v>35</v>
      </c>
      <c r="C40" s="2">
        <v>43598</v>
      </c>
      <c r="D40" s="3">
        <v>25000</v>
      </c>
      <c r="E40" s="1" t="s">
        <v>21</v>
      </c>
      <c r="F40" s="1">
        <v>129</v>
      </c>
      <c r="G40" s="3">
        <v>1000</v>
      </c>
    </row>
    <row r="41" spans="1:7">
      <c r="A41" s="1" t="s">
        <v>36</v>
      </c>
      <c r="B41" s="1" t="s">
        <v>37</v>
      </c>
      <c r="C41" s="2">
        <v>43585</v>
      </c>
      <c r="D41" s="3">
        <v>29000</v>
      </c>
      <c r="E41" s="1" t="s">
        <v>10</v>
      </c>
      <c r="F41" s="1">
        <v>133</v>
      </c>
      <c r="G41" s="3">
        <v>2000</v>
      </c>
    </row>
    <row r="42" spans="1:7">
      <c r="A42" s="1" t="s">
        <v>38</v>
      </c>
      <c r="B42" s="1" t="s">
        <v>39</v>
      </c>
      <c r="C42" s="2">
        <v>43598</v>
      </c>
      <c r="D42" s="3">
        <v>25000</v>
      </c>
      <c r="E42" s="1" t="s">
        <v>33</v>
      </c>
      <c r="F42" s="1">
        <v>112</v>
      </c>
      <c r="G42" s="3">
        <v>1000</v>
      </c>
    </row>
    <row r="43" spans="1:7">
      <c r="A43" s="1" t="s">
        <v>43</v>
      </c>
      <c r="B43" s="1" t="s">
        <v>44</v>
      </c>
      <c r="C43" s="2">
        <v>43590</v>
      </c>
      <c r="D43" s="3">
        <v>25000</v>
      </c>
      <c r="E43" s="1" t="s">
        <v>10</v>
      </c>
      <c r="F43" s="1">
        <v>122</v>
      </c>
      <c r="G43" s="3">
        <v>1500</v>
      </c>
    </row>
    <row r="44" spans="1:7">
      <c r="A44" s="1" t="s">
        <v>45</v>
      </c>
      <c r="B44" s="1" t="s">
        <v>46</v>
      </c>
      <c r="C44" s="2">
        <v>43605</v>
      </c>
      <c r="D44" s="3">
        <v>28000</v>
      </c>
      <c r="E44" s="1" t="s">
        <v>47</v>
      </c>
      <c r="F44" s="1">
        <v>122</v>
      </c>
      <c r="G44" s="3">
        <v>1500</v>
      </c>
    </row>
    <row r="45" spans="1:7">
      <c r="A45" s="1" t="s">
        <v>48</v>
      </c>
      <c r="B45" s="1" t="s">
        <v>49</v>
      </c>
      <c r="C45" s="2">
        <v>43179</v>
      </c>
      <c r="D45" s="3">
        <v>25300</v>
      </c>
      <c r="E45" s="1" t="s">
        <v>21</v>
      </c>
      <c r="F45" s="1">
        <v>139</v>
      </c>
      <c r="G45" s="3">
        <v>1000</v>
      </c>
    </row>
  </sheetData>
  <phoneticPr fontId="1" type="noConversion"/>
  <conditionalFormatting sqref="A3:G32">
    <cfRule type="expression" dxfId="0" priority="1">
      <formula>AND(OR(MONTH($C3)=6,MONTH($C3)=7),$D3&gt;=25000)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10"/>
  <sheetViews>
    <sheetView workbookViewId="0"/>
  </sheetViews>
  <sheetFormatPr defaultRowHeight="16.5"/>
  <cols>
    <col min="2" max="2" width="12.375" bestFit="1" customWidth="1"/>
    <col min="3" max="7" width="11" customWidth="1"/>
  </cols>
  <sheetData>
    <row r="1" spans="1:7">
      <c r="A1" t="s">
        <v>75</v>
      </c>
    </row>
    <row r="2" spans="1:7">
      <c r="A2" s="4" t="s">
        <v>76</v>
      </c>
      <c r="B2" s="4" t="s">
        <v>77</v>
      </c>
      <c r="C2" s="4" t="s">
        <v>78</v>
      </c>
      <c r="D2" s="4" t="s">
        <v>79</v>
      </c>
      <c r="E2" s="4" t="s">
        <v>80</v>
      </c>
      <c r="F2" s="4" t="s">
        <v>81</v>
      </c>
      <c r="G2" s="5" t="s">
        <v>82</v>
      </c>
    </row>
    <row r="3" spans="1:7">
      <c r="A3" s="4" t="s">
        <v>83</v>
      </c>
      <c r="B3" s="6" t="s">
        <v>84</v>
      </c>
      <c r="C3" s="6">
        <v>13</v>
      </c>
      <c r="D3" s="6">
        <v>11</v>
      </c>
      <c r="E3" s="6">
        <v>23</v>
      </c>
      <c r="F3" s="6">
        <v>30</v>
      </c>
      <c r="G3" s="19">
        <f t="shared" ref="G3:G10" si="0">SUM(C3:F3)</f>
        <v>77</v>
      </c>
    </row>
    <row r="4" spans="1:7">
      <c r="A4" s="4" t="s">
        <v>85</v>
      </c>
      <c r="B4" s="6" t="s">
        <v>86</v>
      </c>
      <c r="C4" s="6">
        <v>19</v>
      </c>
      <c r="D4" s="6">
        <v>10</v>
      </c>
      <c r="E4" s="6">
        <v>16</v>
      </c>
      <c r="F4" s="6">
        <v>26</v>
      </c>
      <c r="G4" s="19">
        <f t="shared" si="0"/>
        <v>71</v>
      </c>
    </row>
    <row r="5" spans="1:7">
      <c r="A5" s="4" t="s">
        <v>87</v>
      </c>
      <c r="B5" s="6" t="s">
        <v>88</v>
      </c>
      <c r="C5" s="6">
        <v>14</v>
      </c>
      <c r="D5" s="6">
        <v>11</v>
      </c>
      <c r="E5" s="6">
        <v>15</v>
      </c>
      <c r="F5" s="6">
        <v>25</v>
      </c>
      <c r="G5" s="19">
        <f t="shared" si="0"/>
        <v>65</v>
      </c>
    </row>
    <row r="6" spans="1:7">
      <c r="A6" s="4" t="s">
        <v>89</v>
      </c>
      <c r="B6" s="6" t="s">
        <v>88</v>
      </c>
      <c r="C6" s="6">
        <v>20</v>
      </c>
      <c r="D6" s="6">
        <v>15</v>
      </c>
      <c r="E6" s="6">
        <v>21</v>
      </c>
      <c r="F6" s="6">
        <v>15</v>
      </c>
      <c r="G6" s="19">
        <f t="shared" si="0"/>
        <v>71</v>
      </c>
    </row>
    <row r="7" spans="1:7">
      <c r="A7" s="4" t="s">
        <v>90</v>
      </c>
      <c r="B7" s="6" t="s">
        <v>91</v>
      </c>
      <c r="C7" s="6">
        <v>10</v>
      </c>
      <c r="D7" s="6">
        <v>15</v>
      </c>
      <c r="E7" s="6">
        <v>22</v>
      </c>
      <c r="F7" s="6">
        <v>27</v>
      </c>
      <c r="G7" s="19">
        <f t="shared" si="0"/>
        <v>74</v>
      </c>
    </row>
    <row r="8" spans="1:7">
      <c r="A8" s="4" t="s">
        <v>92</v>
      </c>
      <c r="B8" s="6" t="s">
        <v>91</v>
      </c>
      <c r="C8" s="6">
        <v>14</v>
      </c>
      <c r="D8" s="6">
        <v>12</v>
      </c>
      <c r="E8" s="6">
        <v>27</v>
      </c>
      <c r="F8" s="6">
        <v>28</v>
      </c>
      <c r="G8" s="19">
        <f t="shared" si="0"/>
        <v>81</v>
      </c>
    </row>
    <row r="9" spans="1:7">
      <c r="A9" s="4" t="s">
        <v>93</v>
      </c>
      <c r="B9" s="6" t="s">
        <v>88</v>
      </c>
      <c r="C9" s="6">
        <v>16</v>
      </c>
      <c r="D9" s="6">
        <v>19</v>
      </c>
      <c r="E9" s="6">
        <v>15</v>
      </c>
      <c r="F9" s="6">
        <v>23</v>
      </c>
      <c r="G9" s="19">
        <f t="shared" si="0"/>
        <v>73</v>
      </c>
    </row>
    <row r="10" spans="1:7">
      <c r="A10" s="4" t="s">
        <v>94</v>
      </c>
      <c r="B10" s="6" t="s">
        <v>88</v>
      </c>
      <c r="C10" s="6">
        <v>18</v>
      </c>
      <c r="D10" s="6">
        <v>13</v>
      </c>
      <c r="E10" s="6">
        <v>16</v>
      </c>
      <c r="F10" s="6">
        <v>23</v>
      </c>
      <c r="G10" s="19">
        <f t="shared" si="0"/>
        <v>70</v>
      </c>
    </row>
  </sheetData>
  <sheetProtection sheet="1" objects="1" scenarios="1" sort="0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J42"/>
  <sheetViews>
    <sheetView tabSelected="1" workbookViewId="0"/>
  </sheetViews>
  <sheetFormatPr defaultRowHeight="16.5"/>
  <cols>
    <col min="2" max="3" width="12.375" bestFit="1" customWidth="1"/>
    <col min="8" max="8" width="11.125" customWidth="1"/>
    <col min="9" max="9" width="15.625" bestFit="1" customWidth="1"/>
    <col min="10" max="10" width="10.875" customWidth="1"/>
  </cols>
  <sheetData>
    <row r="1" spans="1:10">
      <c r="A1" t="s">
        <v>95</v>
      </c>
    </row>
    <row r="2" spans="1:10">
      <c r="A2" s="4" t="s">
        <v>96</v>
      </c>
      <c r="B2" s="4" t="s">
        <v>97</v>
      </c>
      <c r="C2" s="4" t="s">
        <v>98</v>
      </c>
      <c r="D2" s="4" t="s">
        <v>99</v>
      </c>
      <c r="E2" s="4" t="s">
        <v>100</v>
      </c>
      <c r="F2" s="4" t="s">
        <v>101</v>
      </c>
      <c r="G2" s="4" t="s">
        <v>102</v>
      </c>
      <c r="H2" s="7" t="s">
        <v>103</v>
      </c>
      <c r="I2" s="7" t="s">
        <v>104</v>
      </c>
      <c r="J2" s="7" t="s">
        <v>105</v>
      </c>
    </row>
    <row r="3" spans="1:10">
      <c r="A3" s="4" t="s">
        <v>106</v>
      </c>
      <c r="B3" s="4" t="s">
        <v>107</v>
      </c>
      <c r="C3" s="6" t="s">
        <v>86</v>
      </c>
      <c r="D3" s="6">
        <v>13</v>
      </c>
      <c r="E3" s="6">
        <v>11</v>
      </c>
      <c r="F3" s="6">
        <v>23</v>
      </c>
      <c r="G3" s="6">
        <v>30</v>
      </c>
      <c r="H3" s="6" cm="1">
        <f t="array" ref="H3">fn총점(D3,E3,F3,G3)</f>
        <v>80</v>
      </c>
      <c r="I3" s="8" t="str" cm="1">
        <f t="array" ref="I3">_xlfn.SWITCH(LEFT(A3,1),"R","교양","S","전공선택","P","전공필수")&amp;"("&amp;HLOOKUP(VALUE(RIGHT(A3,1)),$F$26:$H$27,2)&amp;")"</f>
        <v>교양(한국어)</v>
      </c>
      <c r="J3" s="4" t="str">
        <f>INDEX($C$37:$C$42,MATCH(F3+G3,$B$37:$B$42,-1))</f>
        <v>A</v>
      </c>
    </row>
    <row r="4" spans="1:10">
      <c r="A4" s="4" t="s">
        <v>108</v>
      </c>
      <c r="B4" s="4" t="s">
        <v>109</v>
      </c>
      <c r="C4" s="6" t="s">
        <v>110</v>
      </c>
      <c r="D4" s="6">
        <v>19</v>
      </c>
      <c r="E4" s="6">
        <v>10</v>
      </c>
      <c r="F4" s="6">
        <v>16</v>
      </c>
      <c r="G4" s="6">
        <v>26</v>
      </c>
      <c r="H4" s="6" cm="1">
        <f t="array" ref="H4">fn총점(D4,E4,F4,G4)</f>
        <v>71</v>
      </c>
      <c r="I4" s="8" t="str" cm="1">
        <f t="array" ref="I4">_xlfn.SWITCH(LEFT(A4,1),"R","교양","S","전공선택","P","전공필수")&amp;"("&amp;HLOOKUP(VALUE(RIGHT(A4,1)),$F$26:$H$27,2)&amp;")"</f>
        <v>전공선택(영어)</v>
      </c>
      <c r="J4" s="11" t="str">
        <f t="shared" ref="J4:J23" si="0">INDEX($C$37:$C$42,MATCH(F4+G4,$B$37:$B$42,-1))</f>
        <v>B</v>
      </c>
    </row>
    <row r="5" spans="1:10">
      <c r="A5" s="4" t="s">
        <v>111</v>
      </c>
      <c r="B5" s="4" t="s">
        <v>112</v>
      </c>
      <c r="C5" s="6" t="s">
        <v>86</v>
      </c>
      <c r="D5" s="6">
        <v>14</v>
      </c>
      <c r="E5" s="6">
        <v>11</v>
      </c>
      <c r="F5" s="6">
        <v>15</v>
      </c>
      <c r="G5" s="6">
        <v>25</v>
      </c>
      <c r="H5" s="6" cm="1">
        <f t="array" ref="H5">fn총점(D5,E5,F5,G5)</f>
        <v>65</v>
      </c>
      <c r="I5" s="8" t="str" cm="1">
        <f t="array" ref="I5">_xlfn.SWITCH(LEFT(A5,1),"R","교양","S","전공선택","P","전공필수")&amp;"("&amp;HLOOKUP(VALUE(RIGHT(A5,1)),$F$26:$H$27,2)&amp;")"</f>
        <v>교양(한국어)</v>
      </c>
      <c r="J5" s="11" t="str">
        <f t="shared" si="0"/>
        <v>C</v>
      </c>
    </row>
    <row r="6" spans="1:10">
      <c r="A6" s="4" t="s">
        <v>113</v>
      </c>
      <c r="B6" s="4" t="s">
        <v>89</v>
      </c>
      <c r="C6" s="6" t="s">
        <v>114</v>
      </c>
      <c r="D6" s="6">
        <v>20</v>
      </c>
      <c r="E6" s="6">
        <v>15</v>
      </c>
      <c r="F6" s="6">
        <v>21</v>
      </c>
      <c r="G6" s="6">
        <v>15</v>
      </c>
      <c r="H6" s="6" cm="1">
        <f t="array" ref="H6">fn총점(D6,E6,F6,G6)</f>
        <v>71</v>
      </c>
      <c r="I6" s="8" t="str" cm="1">
        <f t="array" ref="I6">_xlfn.SWITCH(LEFT(A6,1),"R","교양","S","전공선택","P","전공필수")&amp;"("&amp;HLOOKUP(VALUE(RIGHT(A6,1)),$F$26:$H$27,2)&amp;")"</f>
        <v>교양(기타)</v>
      </c>
      <c r="J6" s="11" t="str">
        <f t="shared" si="0"/>
        <v>C</v>
      </c>
    </row>
    <row r="7" spans="1:10">
      <c r="A7" s="4" t="s">
        <v>115</v>
      </c>
      <c r="B7" s="4" t="s">
        <v>116</v>
      </c>
      <c r="C7" s="6" t="s">
        <v>117</v>
      </c>
      <c r="D7" s="6">
        <v>10</v>
      </c>
      <c r="E7" s="6">
        <v>15</v>
      </c>
      <c r="F7" s="6">
        <v>22</v>
      </c>
      <c r="G7" s="6">
        <v>27</v>
      </c>
      <c r="H7" s="6" cm="1">
        <f t="array" ref="H7">fn총점(D7,E7,F7,G7)</f>
        <v>77</v>
      </c>
      <c r="I7" s="8" t="str" cm="1">
        <f t="array" ref="I7">_xlfn.SWITCH(LEFT(A7,1),"R","교양","S","전공선택","P","전공필수")&amp;"("&amp;HLOOKUP(VALUE(RIGHT(A7,1)),$F$26:$H$27,2)&amp;")"</f>
        <v>교양(기타)</v>
      </c>
      <c r="J7" s="11" t="str">
        <f t="shared" si="0"/>
        <v>B</v>
      </c>
    </row>
    <row r="8" spans="1:10">
      <c r="A8" s="4" t="s">
        <v>118</v>
      </c>
      <c r="B8" s="4" t="s">
        <v>119</v>
      </c>
      <c r="C8" s="6" t="s">
        <v>120</v>
      </c>
      <c r="D8" s="6">
        <v>14</v>
      </c>
      <c r="E8" s="6">
        <v>12</v>
      </c>
      <c r="F8" s="6">
        <v>27</v>
      </c>
      <c r="G8" s="6">
        <v>28</v>
      </c>
      <c r="H8" s="6" cm="1">
        <f t="array" ref="H8">fn총점(D8,E8,F8,G8)</f>
        <v>84</v>
      </c>
      <c r="I8" s="8" t="str" cm="1">
        <f t="array" ref="I8">_xlfn.SWITCH(LEFT(A8,1),"R","교양","S","전공선택","P","전공필수")&amp;"("&amp;HLOOKUP(VALUE(RIGHT(A8,1)),$F$26:$H$27,2)&amp;")"</f>
        <v>전공필수(한국어)</v>
      </c>
      <c r="J8" s="11" t="str">
        <f t="shared" si="0"/>
        <v>A</v>
      </c>
    </row>
    <row r="9" spans="1:10">
      <c r="A9" s="4" t="s">
        <v>121</v>
      </c>
      <c r="B9" s="4" t="s">
        <v>122</v>
      </c>
      <c r="C9" s="6" t="s">
        <v>110</v>
      </c>
      <c r="D9" s="6">
        <v>16</v>
      </c>
      <c r="E9" s="6">
        <v>19</v>
      </c>
      <c r="F9" s="6">
        <v>15</v>
      </c>
      <c r="G9" s="6">
        <v>23</v>
      </c>
      <c r="H9" s="6" cm="1">
        <f t="array" ref="H9">fn총점(D9,E9,F9,G9)</f>
        <v>73</v>
      </c>
      <c r="I9" s="8" t="str" cm="1">
        <f t="array" ref="I9">_xlfn.SWITCH(LEFT(A9,1),"R","교양","S","전공선택","P","전공필수")&amp;"("&amp;HLOOKUP(VALUE(RIGHT(A9,1)),$F$26:$H$27,2)&amp;")"</f>
        <v>전공선택(한국어)</v>
      </c>
      <c r="J9" s="11" t="str">
        <f t="shared" si="0"/>
        <v>C</v>
      </c>
    </row>
    <row r="10" spans="1:10">
      <c r="A10" s="4" t="s">
        <v>123</v>
      </c>
      <c r="B10" s="4" t="s">
        <v>124</v>
      </c>
      <c r="C10" s="6" t="s">
        <v>125</v>
      </c>
      <c r="D10" s="6">
        <v>18</v>
      </c>
      <c r="E10" s="6">
        <v>13</v>
      </c>
      <c r="F10" s="6">
        <v>16</v>
      </c>
      <c r="G10" s="6">
        <v>23</v>
      </c>
      <c r="H10" s="6" cm="1">
        <f t="array" ref="H10">fn총점(D10,E10,F10,G10)</f>
        <v>70</v>
      </c>
      <c r="I10" s="8" t="str" cm="1">
        <f t="array" ref="I10">_xlfn.SWITCH(LEFT(A10,1),"R","교양","S","전공선택","P","전공필수")&amp;"("&amp;HLOOKUP(VALUE(RIGHT(A10,1)),$F$26:$H$27,2)&amp;")"</f>
        <v>전공필수(영어)</v>
      </c>
      <c r="J10" s="11" t="str">
        <f t="shared" si="0"/>
        <v>C</v>
      </c>
    </row>
    <row r="11" spans="1:10">
      <c r="A11" s="4" t="s">
        <v>126</v>
      </c>
      <c r="B11" s="4" t="s">
        <v>127</v>
      </c>
      <c r="C11" s="6" t="s">
        <v>110</v>
      </c>
      <c r="D11" s="6">
        <v>18</v>
      </c>
      <c r="E11" s="6">
        <v>20</v>
      </c>
      <c r="F11" s="6">
        <v>17</v>
      </c>
      <c r="G11" s="6">
        <v>15</v>
      </c>
      <c r="H11" s="6" cm="1">
        <f t="array" ref="H11">fn총점(D11,E11,F11,G11)</f>
        <v>70</v>
      </c>
      <c r="I11" s="8" t="str" cm="1">
        <f t="array" ref="I11">_xlfn.SWITCH(LEFT(A11,1),"R","교양","S","전공선택","P","전공필수")&amp;"("&amp;HLOOKUP(VALUE(RIGHT(A11,1)),$F$26:$H$27,2)&amp;")"</f>
        <v>전공선택(한국어)</v>
      </c>
      <c r="J11" s="11" t="str">
        <f t="shared" si="0"/>
        <v>C</v>
      </c>
    </row>
    <row r="12" spans="1:10">
      <c r="A12" s="4" t="s">
        <v>128</v>
      </c>
      <c r="B12" s="4" t="s">
        <v>129</v>
      </c>
      <c r="C12" s="6" t="s">
        <v>130</v>
      </c>
      <c r="D12" s="6">
        <v>17</v>
      </c>
      <c r="E12" s="6">
        <v>18</v>
      </c>
      <c r="F12" s="6">
        <v>19</v>
      </c>
      <c r="G12" s="6">
        <v>30</v>
      </c>
      <c r="H12" s="6" cm="1">
        <f t="array" ref="H12">fn총점(D12,E12,F12,G12)</f>
        <v>84</v>
      </c>
      <c r="I12" s="8" t="str" cm="1">
        <f t="array" ref="I12">_xlfn.SWITCH(LEFT(A12,1),"R","교양","S","전공선택","P","전공필수")&amp;"("&amp;HLOOKUP(VALUE(RIGHT(A12,1)),$F$26:$H$27,2)&amp;")"</f>
        <v>전공필수(한국어)</v>
      </c>
      <c r="J12" s="11" t="str">
        <f t="shared" si="0"/>
        <v>B</v>
      </c>
    </row>
    <row r="13" spans="1:10">
      <c r="A13" s="4" t="s">
        <v>131</v>
      </c>
      <c r="B13" s="4" t="s">
        <v>132</v>
      </c>
      <c r="C13" s="6" t="s">
        <v>133</v>
      </c>
      <c r="D13" s="6">
        <v>15</v>
      </c>
      <c r="E13" s="6">
        <v>12</v>
      </c>
      <c r="F13" s="6">
        <v>17</v>
      </c>
      <c r="G13" s="6">
        <v>24</v>
      </c>
      <c r="H13" s="6" cm="1">
        <f t="array" ref="H13">fn총점(D13,E13,F13,G13)</f>
        <v>68</v>
      </c>
      <c r="I13" s="8" t="str" cm="1">
        <f t="array" ref="I13">_xlfn.SWITCH(LEFT(A13,1),"R","교양","S","전공선택","P","전공필수")&amp;"("&amp;HLOOKUP(VALUE(RIGHT(A13,1)),$F$26:$H$27,2)&amp;")"</f>
        <v>전공필수(기타)</v>
      </c>
      <c r="J13" s="11" t="str">
        <f t="shared" si="0"/>
        <v>B</v>
      </c>
    </row>
    <row r="14" spans="1:10">
      <c r="A14" s="4" t="s">
        <v>113</v>
      </c>
      <c r="B14" s="4" t="s">
        <v>134</v>
      </c>
      <c r="C14" s="6" t="s">
        <v>117</v>
      </c>
      <c r="D14" s="6">
        <v>20</v>
      </c>
      <c r="E14" s="6">
        <v>15</v>
      </c>
      <c r="F14" s="6">
        <v>25</v>
      </c>
      <c r="G14" s="6">
        <v>27</v>
      </c>
      <c r="H14" s="6" cm="1">
        <f t="array" ref="H14">fn총점(D14,E14,F14,G14)</f>
        <v>90</v>
      </c>
      <c r="I14" s="8" t="str" cm="1">
        <f t="array" ref="I14">_xlfn.SWITCH(LEFT(A14,1),"R","교양","S","전공선택","P","전공필수")&amp;"("&amp;HLOOKUP(VALUE(RIGHT(A14,1)),$F$26:$H$27,2)&amp;")"</f>
        <v>교양(기타)</v>
      </c>
      <c r="J14" s="11" t="str">
        <f t="shared" si="0"/>
        <v>A</v>
      </c>
    </row>
    <row r="15" spans="1:10">
      <c r="A15" s="4" t="s">
        <v>121</v>
      </c>
      <c r="B15" s="4" t="s">
        <v>135</v>
      </c>
      <c r="C15" s="6" t="s">
        <v>133</v>
      </c>
      <c r="D15" s="6">
        <v>12</v>
      </c>
      <c r="E15" s="6">
        <v>15</v>
      </c>
      <c r="F15" s="6">
        <v>26</v>
      </c>
      <c r="G15" s="6">
        <v>15</v>
      </c>
      <c r="H15" s="6" cm="1">
        <f t="array" ref="H15">fn총점(D15,E15,F15,G15)</f>
        <v>68</v>
      </c>
      <c r="I15" s="8" t="str" cm="1">
        <f t="array" ref="I15">_xlfn.SWITCH(LEFT(A15,1),"R","교양","S","전공선택","P","전공필수")&amp;"("&amp;HLOOKUP(VALUE(RIGHT(A15,1)),$F$26:$H$27,2)&amp;")"</f>
        <v>전공선택(한국어)</v>
      </c>
      <c r="J15" s="11" t="str">
        <f t="shared" si="0"/>
        <v>B</v>
      </c>
    </row>
    <row r="16" spans="1:10">
      <c r="A16" s="4" t="s">
        <v>106</v>
      </c>
      <c r="B16" s="4" t="s">
        <v>136</v>
      </c>
      <c r="C16" s="6" t="s">
        <v>110</v>
      </c>
      <c r="D16" s="6">
        <v>11</v>
      </c>
      <c r="E16" s="6">
        <v>10</v>
      </c>
      <c r="F16" s="6">
        <v>28</v>
      </c>
      <c r="G16" s="6">
        <v>21</v>
      </c>
      <c r="H16" s="6" cm="1">
        <f t="array" ref="H16">fn총점(D16,E16,F16,G16)</f>
        <v>73</v>
      </c>
      <c r="I16" s="8" t="str" cm="1">
        <f t="array" ref="I16">_xlfn.SWITCH(LEFT(A16,1),"R","교양","S","전공선택","P","전공필수")&amp;"("&amp;HLOOKUP(VALUE(RIGHT(A16,1)),$F$26:$H$27,2)&amp;")"</f>
        <v>교양(한국어)</v>
      </c>
      <c r="J16" s="11" t="str">
        <f t="shared" si="0"/>
        <v>B</v>
      </c>
    </row>
    <row r="17" spans="1:10">
      <c r="A17" s="4" t="s">
        <v>137</v>
      </c>
      <c r="B17" s="4" t="s">
        <v>138</v>
      </c>
      <c r="C17" s="6" t="s">
        <v>86</v>
      </c>
      <c r="D17" s="6">
        <v>14</v>
      </c>
      <c r="E17" s="6">
        <v>10</v>
      </c>
      <c r="F17" s="6">
        <v>22</v>
      </c>
      <c r="G17" s="6">
        <v>29</v>
      </c>
      <c r="H17" s="6" cm="1">
        <f t="array" ref="H17">fn총점(D17,E17,F17,G17)</f>
        <v>78</v>
      </c>
      <c r="I17" s="8" t="str" cm="1">
        <f t="array" ref="I17">_xlfn.SWITCH(LEFT(A17,1),"R","교양","S","전공선택","P","전공필수")&amp;"("&amp;HLOOKUP(VALUE(RIGHT(A17,1)),$F$26:$H$27,2)&amp;")"</f>
        <v>전공선택(한국어)</v>
      </c>
      <c r="J17" s="11" t="str">
        <f t="shared" si="0"/>
        <v>A</v>
      </c>
    </row>
    <row r="18" spans="1:10">
      <c r="A18" s="4" t="s">
        <v>139</v>
      </c>
      <c r="B18" s="4" t="s">
        <v>140</v>
      </c>
      <c r="C18" s="6" t="s">
        <v>117</v>
      </c>
      <c r="D18" s="6">
        <v>20</v>
      </c>
      <c r="E18" s="6">
        <v>10</v>
      </c>
      <c r="F18" s="6">
        <v>29</v>
      </c>
      <c r="G18" s="6">
        <v>18</v>
      </c>
      <c r="H18" s="6" cm="1">
        <f t="array" ref="H18">fn총점(D18,E18,F18,G18)</f>
        <v>77</v>
      </c>
      <c r="I18" s="8" t="str" cm="1">
        <f t="array" ref="I18">_xlfn.SWITCH(LEFT(A18,1),"R","교양","S","전공선택","P","전공필수")&amp;"("&amp;HLOOKUP(VALUE(RIGHT(A18,1)),$F$26:$H$27,2)&amp;")"</f>
        <v>교양(영어)</v>
      </c>
      <c r="J18" s="11" t="str">
        <f t="shared" si="0"/>
        <v>B</v>
      </c>
    </row>
    <row r="19" spans="1:10">
      <c r="A19" s="4" t="s">
        <v>108</v>
      </c>
      <c r="B19" s="4" t="s">
        <v>141</v>
      </c>
      <c r="C19" s="6" t="s">
        <v>110</v>
      </c>
      <c r="D19" s="6">
        <v>17</v>
      </c>
      <c r="E19" s="6">
        <v>16</v>
      </c>
      <c r="F19" s="6">
        <v>24</v>
      </c>
      <c r="G19" s="6">
        <v>22</v>
      </c>
      <c r="H19" s="6" cm="1">
        <f t="array" ref="H19">fn총점(D19,E19,F19,G19)</f>
        <v>82</v>
      </c>
      <c r="I19" s="8" t="str" cm="1">
        <f t="array" ref="I19">_xlfn.SWITCH(LEFT(A19,1),"R","교양","S","전공선택","P","전공필수")&amp;"("&amp;HLOOKUP(VALUE(RIGHT(A19,1)),$F$26:$H$27,2)&amp;")"</f>
        <v>전공선택(영어)</v>
      </c>
      <c r="J19" s="11" t="str">
        <f t="shared" si="0"/>
        <v>B</v>
      </c>
    </row>
    <row r="20" spans="1:10">
      <c r="A20" s="4" t="s">
        <v>142</v>
      </c>
      <c r="B20" s="4" t="s">
        <v>143</v>
      </c>
      <c r="C20" s="6" t="s">
        <v>117</v>
      </c>
      <c r="D20" s="6">
        <v>11</v>
      </c>
      <c r="E20" s="6">
        <v>16</v>
      </c>
      <c r="F20" s="6">
        <v>24</v>
      </c>
      <c r="G20" s="6">
        <v>16</v>
      </c>
      <c r="H20" s="6" cm="1">
        <f t="array" ref="H20">fn총점(D20,E20,F20,G20)</f>
        <v>67</v>
      </c>
      <c r="I20" s="8" t="str" cm="1">
        <f t="array" ref="I20">_xlfn.SWITCH(LEFT(A20,1),"R","교양","S","전공선택","P","전공필수")&amp;"("&amp;HLOOKUP(VALUE(RIGHT(A20,1)),$F$26:$H$27,2)&amp;")"</f>
        <v>전공필수(기타)</v>
      </c>
      <c r="J20" s="11" t="str">
        <f t="shared" si="0"/>
        <v>C</v>
      </c>
    </row>
    <row r="21" spans="1:10">
      <c r="A21" s="4" t="s">
        <v>111</v>
      </c>
      <c r="B21" s="4" t="s">
        <v>144</v>
      </c>
      <c r="C21" s="6" t="s">
        <v>86</v>
      </c>
      <c r="D21" s="6">
        <v>18</v>
      </c>
      <c r="E21" s="6">
        <v>10</v>
      </c>
      <c r="F21" s="6">
        <v>23</v>
      </c>
      <c r="G21" s="6">
        <v>30</v>
      </c>
      <c r="H21" s="6" cm="1">
        <f t="array" ref="H21">fn총점(D21,E21,F21,G21)</f>
        <v>84</v>
      </c>
      <c r="I21" s="8" t="str" cm="1">
        <f t="array" ref="I21">_xlfn.SWITCH(LEFT(A21,1),"R","교양","S","전공선택","P","전공필수")&amp;"("&amp;HLOOKUP(VALUE(RIGHT(A21,1)),$F$26:$H$27,2)&amp;")"</f>
        <v>교양(한국어)</v>
      </c>
      <c r="J21" s="11" t="str">
        <f t="shared" si="0"/>
        <v>A</v>
      </c>
    </row>
    <row r="22" spans="1:10">
      <c r="A22" s="4" t="s">
        <v>145</v>
      </c>
      <c r="B22" s="4" t="s">
        <v>146</v>
      </c>
      <c r="C22" s="6" t="s">
        <v>117</v>
      </c>
      <c r="D22" s="6">
        <v>10</v>
      </c>
      <c r="E22" s="6">
        <v>12</v>
      </c>
      <c r="F22" s="6">
        <v>28</v>
      </c>
      <c r="G22" s="6">
        <v>18</v>
      </c>
      <c r="H22" s="6" cm="1">
        <f t="array" ref="H22">fn총점(D22,E22,F22,G22)</f>
        <v>68</v>
      </c>
      <c r="I22" s="8" t="str" cm="1">
        <f t="array" ref="I22">_xlfn.SWITCH(LEFT(A22,1),"R","교양","S","전공선택","P","전공필수")&amp;"("&amp;HLOOKUP(VALUE(RIGHT(A22,1)),$F$26:$H$27,2)&amp;")"</f>
        <v>교양(영어)</v>
      </c>
      <c r="J22" s="11" t="str">
        <f t="shared" si="0"/>
        <v>B</v>
      </c>
    </row>
    <row r="23" spans="1:10">
      <c r="A23" s="4" t="s">
        <v>147</v>
      </c>
      <c r="B23" s="4" t="s">
        <v>148</v>
      </c>
      <c r="C23" s="6" t="s">
        <v>133</v>
      </c>
      <c r="D23" s="6">
        <v>13</v>
      </c>
      <c r="E23" s="6">
        <v>13</v>
      </c>
      <c r="F23" s="6">
        <v>28</v>
      </c>
      <c r="G23" s="6">
        <v>29</v>
      </c>
      <c r="H23" s="6" cm="1">
        <f t="array" ref="H23">fn총점(D23,E23,F23,G23)</f>
        <v>86</v>
      </c>
      <c r="I23" s="8" t="str" cm="1">
        <f t="array" ref="I23">_xlfn.SWITCH(LEFT(A23,1),"R","교양","S","전공선택","P","전공필수")&amp;"("&amp;HLOOKUP(VALUE(RIGHT(A23,1)),$F$26:$H$27,2)&amp;")"</f>
        <v>전공필수(기타)</v>
      </c>
      <c r="J23" s="11" t="str">
        <f t="shared" si="0"/>
        <v>A</v>
      </c>
    </row>
    <row r="24" spans="1:10">
      <c r="B24" s="9"/>
    </row>
    <row r="25" spans="1:10">
      <c r="E25" t="s">
        <v>149</v>
      </c>
    </row>
    <row r="26" spans="1:10">
      <c r="E26" s="4" t="s">
        <v>151</v>
      </c>
      <c r="F26" s="10">
        <v>1</v>
      </c>
      <c r="G26" s="10">
        <v>3</v>
      </c>
      <c r="H26" s="10">
        <v>7</v>
      </c>
    </row>
    <row r="27" spans="1:10">
      <c r="E27" s="4" t="s">
        <v>152</v>
      </c>
      <c r="F27" s="4" t="s">
        <v>153</v>
      </c>
      <c r="G27" s="4" t="s">
        <v>154</v>
      </c>
      <c r="H27" s="4" t="s">
        <v>155</v>
      </c>
    </row>
    <row r="29" spans="1:10">
      <c r="A29" t="s">
        <v>156</v>
      </c>
    </row>
    <row r="30" spans="1:10">
      <c r="A30" s="4" t="s">
        <v>157</v>
      </c>
      <c r="B30" s="7" t="s">
        <v>158</v>
      </c>
      <c r="C30" s="7" t="s">
        <v>133</v>
      </c>
      <c r="D30" s="7" t="s">
        <v>159</v>
      </c>
      <c r="E30" s="7" t="s">
        <v>100</v>
      </c>
      <c r="F30" s="7" t="s">
        <v>160</v>
      </c>
      <c r="G30" s="7" t="s">
        <v>161</v>
      </c>
    </row>
    <row r="31" spans="1:10">
      <c r="A31" s="4" t="s">
        <v>150</v>
      </c>
      <c r="B31" s="6">
        <f t="array" ref="B31">COUNT(IF((LEFT($A$3:$A$23,1)=$A31)*($C$3:$C$23=B$30),1))</f>
        <v>5</v>
      </c>
      <c r="C31" s="6">
        <f t="array" ref="C31">COUNT(IF((LEFT($A$3:$A$23,1)=$A31)*($C$3:$C$23=C$30),1))</f>
        <v>4</v>
      </c>
      <c r="D31" s="6">
        <f t="array" ref="D31">MAX(IF(LEFT($A$3:$A$23,1)=$A31,D$3:D$23))</f>
        <v>20</v>
      </c>
      <c r="E31" s="6">
        <f t="array" ref="E31">MAX(IF(LEFT($A$3:$A$23,1)=$A31,E$3:E$23))</f>
        <v>15</v>
      </c>
      <c r="F31" s="6">
        <f t="array" ref="F31">MAX(IF(LEFT($A$3:$A$23,1)=$A31,F$3:F$23))</f>
        <v>29</v>
      </c>
      <c r="G31" s="6">
        <f t="array" ref="G31">MAX(IF(LEFT($A$3:$A$23,1)=$A31,G$3:G$23))</f>
        <v>30</v>
      </c>
    </row>
    <row r="32" spans="1:10">
      <c r="A32" s="4" t="s">
        <v>162</v>
      </c>
      <c r="B32" s="6">
        <f t="array" ref="B32">COUNT(IF((LEFT($A$3:$A$23,1)=$A32)*($C$3:$C$23=B$30),1))</f>
        <v>5</v>
      </c>
      <c r="C32" s="6">
        <f t="array" ref="C32">COUNT(IF((LEFT($A$3:$A$23,1)=$A32)*($C$3:$C$23=C$30),1))</f>
        <v>1</v>
      </c>
      <c r="D32" s="6">
        <f t="array" ref="D32">MAX(IF(LEFT($A$3:$A$23,1)=$A32,D$3:D$23))</f>
        <v>19</v>
      </c>
      <c r="E32" s="6">
        <f t="array" ref="E32">MAX(IF(LEFT($A$3:$A$23,1)=$A32,E$3:E$23))</f>
        <v>20</v>
      </c>
      <c r="F32" s="6">
        <f t="array" ref="F32">MAX(IF(LEFT($A$3:$A$23,1)=$A32,F$3:F$23))</f>
        <v>26</v>
      </c>
      <c r="G32" s="6">
        <f t="array" ref="G32">MAX(IF(LEFT($A$3:$A$23,1)=$A32,G$3:G$23))</f>
        <v>29</v>
      </c>
    </row>
    <row r="33" spans="1:7">
      <c r="A33" s="4" t="s">
        <v>163</v>
      </c>
      <c r="B33" s="6">
        <f t="array" ref="B33">COUNT(IF((LEFT($A$3:$A$23,1)=$A33)*($C$3:$C$23=B$30),1))</f>
        <v>1</v>
      </c>
      <c r="C33" s="6">
        <f t="array" ref="C33">COUNT(IF((LEFT($A$3:$A$23,1)=$A33)*($C$3:$C$23=C$30),1))</f>
        <v>5</v>
      </c>
      <c r="D33" s="6">
        <f t="array" ref="D33">MAX(IF(LEFT($A$3:$A$23,1)=$A33,D$3:D$23))</f>
        <v>18</v>
      </c>
      <c r="E33" s="6">
        <f t="array" ref="E33">MAX(IF(LEFT($A$3:$A$23,1)=$A33,E$3:E$23))</f>
        <v>18</v>
      </c>
      <c r="F33" s="6">
        <f t="array" ref="F33">MAX(IF(LEFT($A$3:$A$23,1)=$A33,F$3:F$23))</f>
        <v>28</v>
      </c>
      <c r="G33" s="6">
        <f t="array" ref="G33">MAX(IF(LEFT($A$3:$A$23,1)=$A33,G$3:G$23))</f>
        <v>30</v>
      </c>
    </row>
    <row r="35" spans="1:7">
      <c r="A35" t="s">
        <v>164</v>
      </c>
    </row>
    <row r="36" spans="1:7">
      <c r="A36" s="47" t="s">
        <v>165</v>
      </c>
      <c r="B36" s="47"/>
      <c r="C36" s="5" t="s">
        <v>166</v>
      </c>
    </row>
    <row r="37" spans="1:7">
      <c r="A37" s="10">
        <v>51</v>
      </c>
      <c r="B37" s="12">
        <v>60</v>
      </c>
      <c r="C37" s="4" t="s">
        <v>167</v>
      </c>
    </row>
    <row r="38" spans="1:7">
      <c r="A38" s="10">
        <v>41</v>
      </c>
      <c r="B38" s="12">
        <v>50</v>
      </c>
      <c r="C38" s="4" t="s">
        <v>168</v>
      </c>
    </row>
    <row r="39" spans="1:7">
      <c r="A39" s="10">
        <v>31</v>
      </c>
      <c r="B39" s="12">
        <v>40</v>
      </c>
      <c r="C39" s="4" t="s">
        <v>169</v>
      </c>
    </row>
    <row r="40" spans="1:7">
      <c r="A40" s="10">
        <v>21</v>
      </c>
      <c r="B40" s="12">
        <v>30</v>
      </c>
      <c r="C40" s="4" t="s">
        <v>170</v>
      </c>
    </row>
    <row r="41" spans="1:7">
      <c r="A41" s="10">
        <v>11</v>
      </c>
      <c r="B41" s="12">
        <v>20</v>
      </c>
      <c r="C41" s="4" t="s">
        <v>171</v>
      </c>
    </row>
    <row r="42" spans="1:7">
      <c r="A42" s="10">
        <v>1</v>
      </c>
      <c r="B42" s="12">
        <v>10</v>
      </c>
      <c r="C42" s="4" t="s">
        <v>172</v>
      </c>
    </row>
  </sheetData>
  <mergeCells count="1">
    <mergeCell ref="A36:B3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136-AE42-4891-97F3-0E36645DDCFC}">
  <dimension ref="B2:F14"/>
  <sheetViews>
    <sheetView workbookViewId="0">
      <selection activeCell="H12" sqref="H12"/>
    </sheetView>
  </sheetViews>
  <sheetFormatPr defaultRowHeight="16.5"/>
  <cols>
    <col min="2" max="2" width="10.375" bestFit="1" customWidth="1"/>
    <col min="3" max="6" width="14.5" bestFit="1" customWidth="1"/>
    <col min="7" max="7" width="19.125" bestFit="1" customWidth="1"/>
    <col min="8" max="8" width="15.125" bestFit="1" customWidth="1"/>
    <col min="9" max="9" width="12.375" bestFit="1" customWidth="1"/>
    <col min="10" max="10" width="10" bestFit="1" customWidth="1"/>
    <col min="11" max="11" width="12.375" bestFit="1" customWidth="1"/>
    <col min="12" max="12" width="10" bestFit="1" customWidth="1"/>
    <col min="13" max="13" width="12.375" bestFit="1" customWidth="1"/>
    <col min="14" max="14" width="12" bestFit="1" customWidth="1"/>
    <col min="15" max="15" width="10" bestFit="1" customWidth="1"/>
    <col min="16" max="16" width="12.375" bestFit="1" customWidth="1"/>
    <col min="17" max="17" width="10" bestFit="1" customWidth="1"/>
    <col min="18" max="19" width="4.25" bestFit="1" customWidth="1"/>
    <col min="20" max="20" width="12.375" bestFit="1" customWidth="1"/>
    <col min="21" max="21" width="10" bestFit="1" customWidth="1"/>
    <col min="22" max="23" width="4.25" bestFit="1" customWidth="1"/>
    <col min="24" max="24" width="12.375" bestFit="1" customWidth="1"/>
    <col min="25" max="25" width="10" bestFit="1" customWidth="1"/>
    <col min="26" max="26" width="12.375" bestFit="1" customWidth="1"/>
    <col min="27" max="27" width="12" bestFit="1" customWidth="1"/>
    <col min="28" max="28" width="6.875" bestFit="1" customWidth="1"/>
    <col min="29" max="29" width="11.625" bestFit="1" customWidth="1"/>
    <col min="30" max="30" width="6.875" bestFit="1" customWidth="1"/>
  </cols>
  <sheetData>
    <row r="2" spans="2:6">
      <c r="B2" s="20" t="s">
        <v>173</v>
      </c>
      <c r="C2" t="s">
        <v>196</v>
      </c>
    </row>
    <row r="4" spans="2:6">
      <c r="C4" s="20" t="s">
        <v>3</v>
      </c>
      <c r="D4" s="20" t="s">
        <v>200</v>
      </c>
    </row>
    <row r="5" spans="2:6">
      <c r="C5" t="s">
        <v>210</v>
      </c>
      <c r="E5" t="s">
        <v>211</v>
      </c>
    </row>
    <row r="6" spans="2:6">
      <c r="B6" s="20" t="s">
        <v>5</v>
      </c>
      <c r="C6" t="s">
        <v>198</v>
      </c>
      <c r="D6" t="s">
        <v>199</v>
      </c>
      <c r="E6" t="s">
        <v>198</v>
      </c>
      <c r="F6" t="s">
        <v>199</v>
      </c>
    </row>
    <row r="7" spans="2:6">
      <c r="B7" t="s">
        <v>33</v>
      </c>
      <c r="C7" s="21"/>
      <c r="D7" s="22"/>
      <c r="E7" s="21">
        <v>2</v>
      </c>
      <c r="F7" s="22">
        <v>111.5</v>
      </c>
    </row>
    <row r="8" spans="2:6">
      <c r="B8" t="s">
        <v>10</v>
      </c>
      <c r="C8" s="21">
        <v>2</v>
      </c>
      <c r="D8" s="22">
        <v>134</v>
      </c>
      <c r="E8" s="21">
        <v>7</v>
      </c>
      <c r="F8" s="22">
        <v>125.71428571428571</v>
      </c>
    </row>
    <row r="9" spans="2:6">
      <c r="B9" t="s">
        <v>52</v>
      </c>
      <c r="C9" s="21">
        <v>1</v>
      </c>
      <c r="D9" s="22">
        <v>127</v>
      </c>
      <c r="E9" s="21">
        <v>1</v>
      </c>
      <c r="F9" s="22">
        <v>78</v>
      </c>
    </row>
    <row r="10" spans="2:6">
      <c r="B10" t="s">
        <v>28</v>
      </c>
      <c r="C10" s="21"/>
      <c r="D10" s="22"/>
      <c r="E10" s="21">
        <v>1</v>
      </c>
      <c r="F10" s="22">
        <v>115</v>
      </c>
    </row>
    <row r="11" spans="2:6">
      <c r="B11" t="s">
        <v>47</v>
      </c>
      <c r="C11" s="21"/>
      <c r="D11" s="22"/>
      <c r="E11" s="21">
        <v>1</v>
      </c>
      <c r="F11" s="22">
        <v>122</v>
      </c>
    </row>
    <row r="12" spans="2:6">
      <c r="B12" t="s">
        <v>42</v>
      </c>
      <c r="C12" s="21">
        <v>1</v>
      </c>
      <c r="D12" s="22">
        <v>178</v>
      </c>
      <c r="E12" s="21"/>
      <c r="F12" s="22"/>
    </row>
    <row r="13" spans="2:6">
      <c r="B13" t="s">
        <v>21</v>
      </c>
      <c r="C13" s="21">
        <v>8</v>
      </c>
      <c r="D13" s="22">
        <v>119.875</v>
      </c>
      <c r="E13" s="21">
        <v>6</v>
      </c>
      <c r="F13" s="22">
        <v>121.83333333333333</v>
      </c>
    </row>
    <row r="14" spans="2:6">
      <c r="B14" t="s">
        <v>197</v>
      </c>
      <c r="C14" s="21">
        <v>12</v>
      </c>
      <c r="D14" s="22">
        <v>127.66666666666667</v>
      </c>
      <c r="E14" s="21">
        <v>18</v>
      </c>
      <c r="F14" s="22">
        <v>119.38888888888889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H19"/>
  <sheetViews>
    <sheetView workbookViewId="0"/>
  </sheetViews>
  <sheetFormatPr defaultColWidth="9.125" defaultRowHeight="16.5"/>
  <cols>
    <col min="1" max="1" width="9.125" style="23"/>
    <col min="2" max="2" width="12.375" style="23" bestFit="1" customWidth="1"/>
    <col min="3" max="3" width="9.125" style="23"/>
    <col min="4" max="8" width="10.625" style="23" bestFit="1" customWidth="1"/>
    <col min="9" max="16384" width="9.125" style="23"/>
  </cols>
  <sheetData>
    <row r="2" spans="2:8">
      <c r="B2" s="48" t="s">
        <v>201</v>
      </c>
      <c r="C2" s="48"/>
    </row>
    <row r="3" spans="2:8">
      <c r="B3" s="24" t="s">
        <v>202</v>
      </c>
      <c r="C3" s="30">
        <v>2500</v>
      </c>
    </row>
    <row r="4" spans="2:8">
      <c r="B4" s="24" t="s">
        <v>203</v>
      </c>
      <c r="C4" s="30">
        <v>3200</v>
      </c>
    </row>
    <row r="5" spans="2:8">
      <c r="B5" s="24" t="s">
        <v>204</v>
      </c>
      <c r="C5" s="30">
        <v>500</v>
      </c>
    </row>
    <row r="6" spans="2:8">
      <c r="B6" s="24" t="s">
        <v>205</v>
      </c>
      <c r="C6" s="30">
        <v>50</v>
      </c>
    </row>
    <row r="7" spans="2:8">
      <c r="B7" s="24" t="s">
        <v>206</v>
      </c>
      <c r="C7" s="30">
        <v>500</v>
      </c>
    </row>
    <row r="9" spans="2:8">
      <c r="B9" s="25"/>
      <c r="C9" s="26"/>
    </row>
    <row r="10" spans="2:8">
      <c r="B10" s="49" t="s">
        <v>207</v>
      </c>
      <c r="C10" s="50"/>
      <c r="D10" s="50"/>
      <c r="E10" s="50"/>
      <c r="F10" s="50"/>
      <c r="G10" s="50"/>
      <c r="H10" s="51"/>
    </row>
    <row r="11" spans="2:8" ht="17.25" thickBot="1">
      <c r="C11" s="27"/>
      <c r="D11" s="29"/>
      <c r="E11" s="29"/>
      <c r="F11" s="29"/>
      <c r="G11" s="29"/>
      <c r="H11" s="29"/>
    </row>
    <row r="12" spans="2:8" ht="17.25" thickBot="1">
      <c r="D12" s="52" t="s">
        <v>208</v>
      </c>
      <c r="E12" s="53"/>
      <c r="F12" s="53"/>
      <c r="G12" s="53"/>
      <c r="H12" s="54"/>
    </row>
    <row r="13" spans="2:8" ht="17.25" thickBot="1">
      <c r="C13" s="28">
        <f>(C4-C3)*C7-C5-C6</f>
        <v>349450</v>
      </c>
      <c r="D13" s="40">
        <v>300</v>
      </c>
      <c r="E13" s="41">
        <v>400</v>
      </c>
      <c r="F13" s="41">
        <v>500</v>
      </c>
      <c r="G13" s="41">
        <v>600</v>
      </c>
      <c r="H13" s="42">
        <v>700</v>
      </c>
    </row>
    <row r="14" spans="2:8">
      <c r="B14" s="55" t="s">
        <v>209</v>
      </c>
      <c r="C14" s="43">
        <v>1000</v>
      </c>
      <c r="D14" s="31">
        <f t="dataTable" ref="D14:H19" dt2D="1" dtr="1" r1="C7" r2="C4"/>
        <v>-450550</v>
      </c>
      <c r="E14" s="32">
        <v>-600550</v>
      </c>
      <c r="F14" s="32">
        <v>-750550</v>
      </c>
      <c r="G14" s="32">
        <v>-900550</v>
      </c>
      <c r="H14" s="33">
        <v>-1050550</v>
      </c>
    </row>
    <row r="15" spans="2:8">
      <c r="B15" s="56"/>
      <c r="C15" s="44">
        <v>2000</v>
      </c>
      <c r="D15" s="34">
        <v>-150550</v>
      </c>
      <c r="E15" s="35">
        <v>-200550</v>
      </c>
      <c r="F15" s="35">
        <v>-250550</v>
      </c>
      <c r="G15" s="35">
        <v>-300550</v>
      </c>
      <c r="H15" s="36">
        <v>-350550</v>
      </c>
    </row>
    <row r="16" spans="2:8">
      <c r="B16" s="56"/>
      <c r="C16" s="44">
        <v>3000</v>
      </c>
      <c r="D16" s="34">
        <v>149450</v>
      </c>
      <c r="E16" s="35">
        <v>199450</v>
      </c>
      <c r="F16" s="35">
        <v>249450</v>
      </c>
      <c r="G16" s="35">
        <v>299450</v>
      </c>
      <c r="H16" s="36">
        <v>349450</v>
      </c>
    </row>
    <row r="17" spans="2:8">
      <c r="B17" s="56"/>
      <c r="C17" s="44">
        <v>4000</v>
      </c>
      <c r="D17" s="34">
        <v>449450</v>
      </c>
      <c r="E17" s="35">
        <v>599450</v>
      </c>
      <c r="F17" s="35">
        <v>749450</v>
      </c>
      <c r="G17" s="35">
        <v>899450</v>
      </c>
      <c r="H17" s="36">
        <v>1049450</v>
      </c>
    </row>
    <row r="18" spans="2:8">
      <c r="B18" s="56"/>
      <c r="C18" s="44">
        <v>5000</v>
      </c>
      <c r="D18" s="34">
        <v>749450</v>
      </c>
      <c r="E18" s="35">
        <v>999450</v>
      </c>
      <c r="F18" s="35">
        <v>1249450</v>
      </c>
      <c r="G18" s="35">
        <v>1499450</v>
      </c>
      <c r="H18" s="36">
        <v>1749450</v>
      </c>
    </row>
    <row r="19" spans="2:8" ht="17.25" thickBot="1">
      <c r="B19" s="57"/>
      <c r="C19" s="45">
        <v>6000</v>
      </c>
      <c r="D19" s="37">
        <v>1049450</v>
      </c>
      <c r="E19" s="38">
        <v>1399450</v>
      </c>
      <c r="F19" s="38">
        <v>1749450</v>
      </c>
      <c r="G19" s="38">
        <v>2099450</v>
      </c>
      <c r="H19" s="39">
        <v>2449450</v>
      </c>
    </row>
  </sheetData>
  <mergeCells count="4">
    <mergeCell ref="B2:C2"/>
    <mergeCell ref="B10:H10"/>
    <mergeCell ref="D12:H12"/>
    <mergeCell ref="B14:B19"/>
  </mergeCells>
  <phoneticPr fontId="1" type="noConversion"/>
  <dataValidations count="1">
    <dataValidation type="custom" allowBlank="1" showInputMessage="1" showErrorMessage="1" errorTitle="입력오류" error="1000단위로 입력하세요." promptTitle="판매가 입력" prompt="1000 단위 입력" sqref="C14:C19" xr:uid="{00000000-0002-0000-0400-000000000000}">
      <formula1>MOD(C14,1000)=0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C8"/>
  <sheetViews>
    <sheetView workbookViewId="0">
      <selection activeCell="K43" sqref="K43"/>
    </sheetView>
  </sheetViews>
  <sheetFormatPr defaultRowHeight="16.5"/>
  <cols>
    <col min="1" max="3" width="12.25" customWidth="1"/>
  </cols>
  <sheetData>
    <row r="2" spans="1:3">
      <c r="A2" t="s">
        <v>180</v>
      </c>
    </row>
    <row r="3" spans="1:3">
      <c r="A3" s="4" t="s">
        <v>181</v>
      </c>
      <c r="B3" s="4" t="s">
        <v>182</v>
      </c>
      <c r="C3" s="4" t="s">
        <v>183</v>
      </c>
    </row>
    <row r="4" spans="1:3">
      <c r="A4" s="4" t="s">
        <v>184</v>
      </c>
      <c r="B4" s="15">
        <v>2350000</v>
      </c>
      <c r="C4" s="15">
        <f>IF(B4&gt;=2000000,B4*85%,B4*90%)</f>
        <v>1997500</v>
      </c>
    </row>
    <row r="5" spans="1:3">
      <c r="A5" s="4" t="s">
        <v>185</v>
      </c>
      <c r="B5" s="15">
        <v>1300000</v>
      </c>
      <c r="C5" s="15">
        <v>1031300</v>
      </c>
    </row>
    <row r="6" spans="1:3">
      <c r="A6" s="4" t="s">
        <v>186</v>
      </c>
      <c r="B6" s="15">
        <v>1800000</v>
      </c>
      <c r="C6" s="15">
        <v>1475600</v>
      </c>
    </row>
    <row r="7" spans="1:3">
      <c r="A7" s="4" t="s">
        <v>187</v>
      </c>
      <c r="B7" s="15">
        <v>3540000</v>
      </c>
      <c r="C7" s="15">
        <f t="shared" ref="C7" si="0">IF(B7&gt;=2000000,B7*85%,B7*90%)</f>
        <v>3009000</v>
      </c>
    </row>
    <row r="8" spans="1:3">
      <c r="A8" s="4" t="s">
        <v>188</v>
      </c>
      <c r="B8" s="15">
        <v>2500000</v>
      </c>
      <c r="C8" s="15">
        <v>2181900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E11"/>
  <sheetViews>
    <sheetView workbookViewId="0"/>
  </sheetViews>
  <sheetFormatPr defaultRowHeight="16.5"/>
  <cols>
    <col min="5" max="5" width="10.625" customWidth="1"/>
  </cols>
  <sheetData>
    <row r="1" spans="2:5">
      <c r="B1" t="s">
        <v>174</v>
      </c>
    </row>
    <row r="2" spans="2:5">
      <c r="B2" s="4" t="s">
        <v>175</v>
      </c>
      <c r="C2" s="4" t="s">
        <v>101</v>
      </c>
      <c r="D2" s="4" t="s">
        <v>176</v>
      </c>
      <c r="E2" s="4" t="s">
        <v>102</v>
      </c>
    </row>
    <row r="3" spans="2:5">
      <c r="B3" s="13">
        <v>0.2</v>
      </c>
      <c r="C3" s="13">
        <v>0.3</v>
      </c>
      <c r="D3" s="13">
        <v>0.2</v>
      </c>
      <c r="E3" s="13">
        <v>0.3</v>
      </c>
    </row>
    <row r="5" spans="2:5">
      <c r="B5" t="s">
        <v>149</v>
      </c>
    </row>
    <row r="6" spans="2:5">
      <c r="B6" s="4" t="s">
        <v>177</v>
      </c>
      <c r="C6" s="6">
        <v>60</v>
      </c>
    </row>
    <row r="7" spans="2:5">
      <c r="B7" s="4" t="s">
        <v>101</v>
      </c>
      <c r="C7" s="6">
        <v>75</v>
      </c>
    </row>
    <row r="8" spans="2:5">
      <c r="B8" s="4" t="s">
        <v>176</v>
      </c>
      <c r="C8" s="6">
        <v>85</v>
      </c>
    </row>
    <row r="9" spans="2:5">
      <c r="B9" s="4" t="s">
        <v>102</v>
      </c>
      <c r="C9" s="6">
        <v>74.999999999999943</v>
      </c>
    </row>
    <row r="10" spans="2:5">
      <c r="B10" s="4" t="s">
        <v>178</v>
      </c>
      <c r="C10" s="6">
        <f>C6*B3+C7*C3+C8*D3+C9*E3</f>
        <v>73.999999999999986</v>
      </c>
    </row>
    <row r="11" spans="2:5">
      <c r="B11" s="7" t="s">
        <v>179</v>
      </c>
      <c r="C11" s="14">
        <f>C10*5/100</f>
        <v>3.6999999999999993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C15"/>
  <sheetViews>
    <sheetView workbookViewId="0">
      <selection sqref="A1:C1"/>
    </sheetView>
  </sheetViews>
  <sheetFormatPr defaultRowHeight="16.5"/>
  <cols>
    <col min="1" max="1" width="12.625" customWidth="1"/>
    <col min="3" max="3" width="13.25" customWidth="1"/>
  </cols>
  <sheetData>
    <row r="1" spans="1:3" ht="17.25">
      <c r="A1" s="58" t="s">
        <v>189</v>
      </c>
      <c r="B1" s="59"/>
      <c r="C1" s="59"/>
    </row>
    <row r="2" spans="1:3">
      <c r="A2" s="16"/>
      <c r="B2" s="16"/>
      <c r="C2" s="16"/>
    </row>
    <row r="3" spans="1:3">
      <c r="A3" s="4" t="s">
        <v>190</v>
      </c>
      <c r="B3" s="4" t="s">
        <v>191</v>
      </c>
      <c r="C3" s="4" t="s">
        <v>192</v>
      </c>
    </row>
    <row r="4" spans="1:3">
      <c r="A4" s="6" t="s">
        <v>193</v>
      </c>
      <c r="B4" s="6">
        <v>1</v>
      </c>
      <c r="C4" s="17" t="s">
        <v>194</v>
      </c>
    </row>
    <row r="5" spans="1:3">
      <c r="A5" s="6"/>
      <c r="B5" s="6"/>
      <c r="C5" s="17"/>
    </row>
    <row r="6" spans="1:3">
      <c r="A6" s="6"/>
      <c r="B6" s="6"/>
      <c r="C6" s="17"/>
    </row>
    <row r="7" spans="1:3">
      <c r="A7" s="6"/>
      <c r="B7" s="6"/>
      <c r="C7" s="17"/>
    </row>
    <row r="8" spans="1:3">
      <c r="A8" s="6"/>
      <c r="B8" s="6"/>
      <c r="C8" s="17"/>
    </row>
    <row r="9" spans="1:3">
      <c r="A9" s="6"/>
      <c r="B9" s="6"/>
      <c r="C9" s="17"/>
    </row>
    <row r="10" spans="1:3">
      <c r="A10" s="6"/>
      <c r="B10" s="6"/>
      <c r="C10" s="17"/>
    </row>
    <row r="11" spans="1:3">
      <c r="A11" s="6"/>
      <c r="B11" s="6"/>
      <c r="C11" s="17"/>
    </row>
    <row r="12" spans="1:3">
      <c r="A12" s="6"/>
      <c r="B12" s="6"/>
      <c r="C12" s="17"/>
    </row>
    <row r="13" spans="1:3">
      <c r="A13" s="6"/>
      <c r="B13" s="6"/>
      <c r="C13" s="17"/>
    </row>
    <row r="14" spans="1:3">
      <c r="A14" s="6"/>
      <c r="B14" s="6"/>
      <c r="C14" s="17"/>
    </row>
    <row r="15" spans="1:3">
      <c r="A15" s="6"/>
      <c r="B15" s="6"/>
      <c r="C15" s="6"/>
    </row>
  </sheetData>
  <mergeCells count="1">
    <mergeCell ref="A1:C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b판매내역">
          <controlPr defaultSize="0"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638175</xdr:colOff>
                <xdr:row>4</xdr:row>
                <xdr:rowOff>9525</xdr:rowOff>
              </to>
            </anchor>
          </controlPr>
        </control>
      </mc:Choice>
      <mc:Fallback>
        <control shapeId="3073" r:id="rId3" name="cmb판매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dcterms:created xsi:type="dcterms:W3CDTF">2020-04-07T06:00:22Z</dcterms:created>
  <dcterms:modified xsi:type="dcterms:W3CDTF">2024-01-01T02:38:02Z</dcterms:modified>
</cp:coreProperties>
</file>