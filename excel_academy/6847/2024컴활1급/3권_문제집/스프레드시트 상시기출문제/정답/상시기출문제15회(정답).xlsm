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C0832A09-1320-4BF6-9A1C-E78A97D29C6C}" xr6:coauthVersionLast="47" xr6:coauthVersionMax="47" xr10:uidLastSave="{00000000-0000-0000-0000-000000000000}"/>
  <bookViews>
    <workbookView xWindow="6540" yWindow="1575" windowWidth="29130" windowHeight="16500" tabRatio="735" xr2:uid="{00000000-000D-0000-FFFF-FFFF00000000}"/>
  </bookViews>
  <sheets>
    <sheet name="기본작업-1" sheetId="9" r:id="rId1"/>
    <sheet name="기본작업-2" sheetId="2" r:id="rId2"/>
    <sheet name="계산작업" sheetId="3" r:id="rId3"/>
    <sheet name="분석작업-1" sheetId="11" r:id="rId4"/>
    <sheet name="분석작업-2" sheetId="10" r:id="rId5"/>
    <sheet name="기타작업-1" sheetId="6" r:id="rId6"/>
    <sheet name="기타작업-2" sheetId="4" r:id="rId7"/>
    <sheet name="기타작업-3" sheetId="7" r:id="rId8"/>
  </sheets>
  <functionGroups builtInGroupCount="19"/>
  <definedNames>
    <definedName name="_xlnm._FilterDatabase" localSheetId="0" hidden="1">'기본작업-1'!$A$2:$H$26</definedName>
    <definedName name="_xlnm._FilterDatabase" localSheetId="1" hidden="1">'기본작업-2'!$A$2:$H$26</definedName>
    <definedName name="_xlnm._FilterDatabase" localSheetId="4" hidden="1">'분석작업-2'!$A$2:$H$24</definedName>
    <definedName name="_xlnm.Criteria" localSheetId="0">'기본작업-1'!$A$28:$A$29</definedName>
    <definedName name="_xlnm.Criteria" localSheetId="1">'기본작업-2'!#REF!</definedName>
    <definedName name="_xlnm.Extract" localSheetId="0">'기본작업-1'!$A$31:$H$31</definedName>
    <definedName name="_xlnm.Extract" localSheetId="1">'기본작업-2'!#REF!</definedName>
    <definedName name="_xlnm.Print_Area" localSheetId="0">'기본작업-1'!$A$2:$H$26</definedName>
    <definedName name="_xlnm.Print_Area" localSheetId="1">'기본작업-2'!$A$2:$H$26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9" l="1"/>
  <c r="J4" i="3" a="1"/>
  <c r="J9" i="3" a="1"/>
  <c r="J19" i="3" a="1"/>
  <c r="J10" i="3" a="1"/>
  <c r="J20" i="3" a="1"/>
  <c r="J11" i="3" a="1"/>
  <c r="J21" i="3" a="1"/>
  <c r="J12" i="3" a="1"/>
  <c r="J22" i="3" a="1"/>
  <c r="J13" i="3" a="1"/>
  <c r="J23" i="3" a="1"/>
  <c r="J14" i="3" a="1"/>
  <c r="J24" i="3" a="1"/>
  <c r="J5" i="3" a="1"/>
  <c r="J15" i="3" a="1"/>
  <c r="J25" i="3" a="1"/>
  <c r="J6" i="3" a="1"/>
  <c r="J16" i="3" a="1"/>
  <c r="J26" i="3" a="1"/>
  <c r="J7" i="3" a="1"/>
  <c r="J17" i="3" a="1"/>
  <c r="J8" i="3" a="1"/>
  <c r="J18" i="3" a="1"/>
  <c r="J3" i="3" a="1"/>
  <c r="J18" i="3" l="1"/>
  <c r="J8" i="3"/>
  <c r="J17" i="3"/>
  <c r="J7" i="3"/>
  <c r="J26" i="3"/>
  <c r="J16" i="3"/>
  <c r="J6" i="3"/>
  <c r="J25" i="3"/>
  <c r="J15" i="3"/>
  <c r="J5" i="3"/>
  <c r="J24" i="3"/>
  <c r="J14" i="3"/>
  <c r="J23" i="3"/>
  <c r="J13" i="3"/>
  <c r="J22" i="3"/>
  <c r="J12" i="3"/>
  <c r="J21" i="3"/>
  <c r="J11" i="3"/>
  <c r="J20" i="3"/>
  <c r="J10" i="3"/>
  <c r="J19" i="3"/>
  <c r="J9" i="3"/>
  <c r="J4" i="3"/>
  <c r="J3" i="3"/>
  <c r="M31" i="3" a="1"/>
  <c r="M31" i="3" s="1"/>
  <c r="M32" i="3" a="1"/>
  <c r="M32" i="3" s="1"/>
  <c r="M33" i="3" a="1"/>
  <c r="M33" i="3" s="1"/>
  <c r="M30" i="3" a="1"/>
  <c r="M30" i="3" s="1"/>
  <c r="I31" i="3" a="1"/>
  <c r="I31" i="3" s="1"/>
  <c r="I32" i="3" a="1"/>
  <c r="I32" i="3" s="1"/>
  <c r="I33" i="3" a="1"/>
  <c r="I33" i="3" s="1"/>
  <c r="I34" i="3" a="1"/>
  <c r="I34" i="3" s="1"/>
  <c r="I30" i="3" a="1"/>
  <c r="I30" i="3" s="1"/>
  <c r="H31" i="3" a="1"/>
  <c r="H31" i="3" s="1"/>
  <c r="H32" i="3" a="1"/>
  <c r="H32" i="3" s="1"/>
  <c r="H33" i="3" a="1"/>
  <c r="H33" i="3" s="1"/>
  <c r="H34" i="3" a="1"/>
  <c r="H34" i="3" s="1"/>
  <c r="H30" i="3" a="1"/>
  <c r="H30" i="3" s="1"/>
  <c r="C30" i="3"/>
  <c r="D30" i="3"/>
  <c r="E30" i="3"/>
  <c r="C31" i="3"/>
  <c r="D31" i="3"/>
  <c r="E31" i="3"/>
  <c r="C32" i="3"/>
  <c r="D32" i="3"/>
  <c r="E32" i="3"/>
  <c r="C33" i="3"/>
  <c r="D33" i="3"/>
  <c r="E33" i="3"/>
  <c r="C34" i="3"/>
  <c r="D34" i="3"/>
  <c r="E34" i="3"/>
  <c r="B31" i="3"/>
  <c r="B32" i="3"/>
  <c r="B33" i="3"/>
  <c r="B34" i="3"/>
  <c r="B30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3" i="3"/>
  <c r="D7" i="6" l="1"/>
  <c r="D6" i="6"/>
  <c r="D5" i="6"/>
  <c r="D4" i="6"/>
  <c r="D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3년)\1급\교정\2023년컴활1급\3권_문제집\스프레드시트 상시시험문제\선물세트판매.accdb;DefaultDir=E:\영진(2023년)\1급\교정\2023년컴활1급\3권_문제집\스프레드시트 상시시험문제;DriverId=25;FIL=MS Access;MaxBufferSize=2048;PageTimeout=5;" command="SELECT 제품판매.브랜드이름, 제품판매.제조일자, 제품판매.구분, 제품판매.판매수량_x000d__x000a_FROM 제품판매 제품판매"/>
  </connection>
  <connection id="2" xr16:uid="{00000000-0015-0000-FFFF-FFFF01000000}" name="MS Access Database_Query1" type="1" refreshedVersion="6">
    <dbPr connection="DSN=MS Access Database;DBQ=E:\영진(2021년)\1급\excel\스프레드시트(파일) - 최종\기출문제\선물세트판매.accdb;DefaultDir=E:\영진(2021년)\1급\excel\스프레드시트(파일) - 최종\기출문제;DriverId=25;FIL=MS Access;MaxBufferSize=2048;PageTimeout=5;" command="SELECT 제품판매.브랜드이름, 제품판매.제조일자, 제품판매.구분, 제품판매.판매수량_x000d__x000a_FROM 제품판매 제품판매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<sst xmlns="http://schemas.openxmlformats.org/spreadsheetml/2006/main" count="613" uniqueCount="210">
  <si>
    <t>제품코드</t>
    <phoneticPr fontId="1" type="noConversion"/>
  </si>
  <si>
    <t>제품명</t>
    <phoneticPr fontId="1" type="noConversion"/>
  </si>
  <si>
    <t>구분</t>
  </si>
  <si>
    <t>브랜드이름</t>
  </si>
  <si>
    <t>권장소비자가격</t>
  </si>
  <si>
    <t>제조일자</t>
  </si>
  <si>
    <t>보존기간(개월)</t>
    <phoneticPr fontId="1" type="noConversion"/>
  </si>
  <si>
    <t>판매수량</t>
  </si>
  <si>
    <t>JK2051GC</t>
    <phoneticPr fontId="1" type="noConversion"/>
  </si>
  <si>
    <t>류마큐</t>
    <phoneticPr fontId="1" type="noConversion"/>
  </si>
  <si>
    <t>건강보조제</t>
  </si>
  <si>
    <t>정관정</t>
    <phoneticPr fontId="1" type="noConversion"/>
  </si>
  <si>
    <t>PM4051AR</t>
    <phoneticPr fontId="1" type="noConversion"/>
  </si>
  <si>
    <t>아로니아</t>
  </si>
  <si>
    <t>건강보조제</t>
    <phoneticPr fontId="1" type="noConversion"/>
  </si>
  <si>
    <t>풀모원</t>
  </si>
  <si>
    <t>JK1071GT</t>
    <phoneticPr fontId="1" type="noConversion"/>
  </si>
  <si>
    <t>인삼차</t>
  </si>
  <si>
    <t>기호식품</t>
  </si>
  <si>
    <t>정관정</t>
  </si>
  <si>
    <t>JK1081RG</t>
    <phoneticPr fontId="1" type="noConversion"/>
  </si>
  <si>
    <t>홍삼액</t>
  </si>
  <si>
    <t>홍삼제품</t>
  </si>
  <si>
    <t>PM1091KV</t>
    <phoneticPr fontId="1" type="noConversion"/>
  </si>
  <si>
    <t>어린이종합비타민</t>
  </si>
  <si>
    <t>키즈제품</t>
  </si>
  <si>
    <t>풀모원</t>
    <phoneticPr fontId="1" type="noConversion"/>
  </si>
  <si>
    <t>SN1071SB</t>
    <phoneticPr fontId="1" type="noConversion"/>
  </si>
  <si>
    <t>상어연골</t>
  </si>
  <si>
    <t>기호식품</t>
    <phoneticPr fontId="1" type="noConversion"/>
  </si>
  <si>
    <t>세노비야</t>
  </si>
  <si>
    <t>PM4061BB</t>
    <phoneticPr fontId="1" type="noConversion"/>
  </si>
  <si>
    <t>블루베리</t>
  </si>
  <si>
    <t>기능성식품</t>
  </si>
  <si>
    <t>PM2071GS</t>
    <phoneticPr fontId="1" type="noConversion"/>
  </si>
  <si>
    <t>가시오가피 농축액</t>
  </si>
  <si>
    <t>PM1081RJ</t>
    <phoneticPr fontId="1" type="noConversion"/>
  </si>
  <si>
    <t>홍삼절편</t>
  </si>
  <si>
    <t>풀모원</t>
    <phoneticPr fontId="1" type="noConversion"/>
  </si>
  <si>
    <t>JD3091TT</t>
    <phoneticPr fontId="1" type="noConversion"/>
  </si>
  <si>
    <t>튼튼정</t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</si>
  <si>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</si>
  <si>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</si>
  <si>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</si>
  <si>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</si>
  <si>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종곤당</t>
    <phoneticPr fontId="1" type="noConversion"/>
  </si>
  <si>
    <t>SN2081RA</t>
    <phoneticPr fontId="1" type="noConversion"/>
  </si>
  <si>
    <t>레드에너지</t>
    <phoneticPr fontId="1" type="noConversion"/>
  </si>
  <si>
    <t>홍삼제품</t>
    <phoneticPr fontId="1" type="noConversion"/>
  </si>
  <si>
    <t>세노비야</t>
    <phoneticPr fontId="1" type="noConversion"/>
  </si>
  <si>
    <t>SN3061RL</t>
    <phoneticPr fontId="1" type="noConversion"/>
  </si>
  <si>
    <t>리프리놀</t>
  </si>
  <si>
    <t>기능성식품</t>
    <phoneticPr fontId="1" type="noConversion"/>
  </si>
  <si>
    <t>SN2051VC</t>
    <phoneticPr fontId="1" type="noConversion"/>
  </si>
  <si>
    <t>비타민C</t>
  </si>
  <si>
    <t>PM4061AB</t>
    <phoneticPr fontId="1" type="noConversion"/>
  </si>
  <si>
    <t>아사히베리</t>
  </si>
  <si>
    <t>JD1061PC</t>
    <phoneticPr fontId="1" type="noConversion"/>
  </si>
  <si>
    <t>폴리코사놀</t>
  </si>
  <si>
    <t>종곤당</t>
    <phoneticPr fontId="1" type="noConversion"/>
  </si>
  <si>
    <t>PM4071HG</t>
    <phoneticPr fontId="1" type="noConversion"/>
  </si>
  <si>
    <t>헛개나무 농축액</t>
  </si>
  <si>
    <t>JK4071MJ</t>
    <phoneticPr fontId="1" type="noConversion"/>
  </si>
  <si>
    <t>오미자차</t>
  </si>
  <si>
    <t>종곤당</t>
  </si>
  <si>
    <t>JD4071YJ</t>
    <phoneticPr fontId="1" type="noConversion"/>
  </si>
  <si>
    <t>영지버섯 농축액</t>
  </si>
  <si>
    <t>JK4081RC</t>
    <phoneticPr fontId="1" type="noConversion"/>
  </si>
  <si>
    <t>홍삼캔디</t>
  </si>
  <si>
    <t>JK1061RT</t>
    <phoneticPr fontId="1" type="noConversion"/>
  </si>
  <si>
    <t>홍삼환</t>
  </si>
  <si>
    <t>SN1091KZ</t>
    <phoneticPr fontId="1" type="noConversion"/>
  </si>
  <si>
    <t>키즈징크</t>
  </si>
  <si>
    <t>JK2091KG</t>
    <phoneticPr fontId="1" type="noConversion"/>
  </si>
  <si>
    <t>홍삼장군</t>
    <phoneticPr fontId="1" type="noConversion"/>
  </si>
  <si>
    <t>정관정</t>
    <phoneticPr fontId="1" type="noConversion"/>
  </si>
  <si>
    <t>JD1051OM</t>
    <phoneticPr fontId="1" type="noConversion"/>
  </si>
  <si>
    <t>오메가</t>
  </si>
  <si>
    <t>[표1]</t>
    <phoneticPr fontId="1" type="noConversion"/>
  </si>
  <si>
    <t>기준일</t>
    <phoneticPr fontId="1" type="noConversion"/>
  </si>
  <si>
    <t>[표2] 할인율</t>
    <phoneticPr fontId="1" type="noConversion"/>
  </si>
  <si>
    <t>제품명</t>
    <phoneticPr fontId="1" type="noConversion"/>
  </si>
  <si>
    <t>보존기간(개월)</t>
    <phoneticPr fontId="1" type="noConversion"/>
  </si>
  <si>
    <t>할인판매금액</t>
  </si>
  <si>
    <t>비고</t>
    <phoneticPr fontId="1" type="noConversion"/>
  </si>
  <si>
    <t>남은기간</t>
    <phoneticPr fontId="1" type="noConversion"/>
  </si>
  <si>
    <t>할인율</t>
    <phoneticPr fontId="1" type="noConversion"/>
  </si>
  <si>
    <t>JK2051GC</t>
    <phoneticPr fontId="1" type="noConversion"/>
  </si>
  <si>
    <t>류마큐</t>
    <phoneticPr fontId="1" type="noConversion"/>
  </si>
  <si>
    <t>정관정</t>
    <phoneticPr fontId="1" type="noConversion"/>
  </si>
  <si>
    <t>PM4051AR</t>
    <phoneticPr fontId="1" type="noConversion"/>
  </si>
  <si>
    <t>건강보조제</t>
    <phoneticPr fontId="1" type="noConversion"/>
  </si>
  <si>
    <t>JK1071GT</t>
    <phoneticPr fontId="1" type="noConversion"/>
  </si>
  <si>
    <t>JK1081RG</t>
    <phoneticPr fontId="1" type="noConversion"/>
  </si>
  <si>
    <t>PM1091KV</t>
    <phoneticPr fontId="1" type="noConversion"/>
  </si>
  <si>
    <t>SN1071SB</t>
    <phoneticPr fontId="1" type="noConversion"/>
  </si>
  <si>
    <t>기호식품</t>
    <phoneticPr fontId="1" type="noConversion"/>
  </si>
  <si>
    <t>PM4061BB</t>
    <phoneticPr fontId="1" type="noConversion"/>
  </si>
  <si>
    <t>PM1081RJ</t>
    <phoneticPr fontId="1" type="noConversion"/>
  </si>
  <si>
    <t>JD3091TT</t>
    <phoneticPr fontId="1" type="noConversion"/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</si>
  <si>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</si>
  <si>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</si>
  <si>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</si>
  <si>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</si>
  <si>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SN2081RA</t>
    <phoneticPr fontId="1" type="noConversion"/>
  </si>
  <si>
    <t>레드에너지</t>
    <phoneticPr fontId="1" type="noConversion"/>
  </si>
  <si>
    <t>홍삼제품</t>
    <phoneticPr fontId="1" type="noConversion"/>
  </si>
  <si>
    <t>세노비야</t>
    <phoneticPr fontId="1" type="noConversion"/>
  </si>
  <si>
    <t>SN3061RL</t>
    <phoneticPr fontId="1" type="noConversion"/>
  </si>
  <si>
    <t>기능성식품</t>
    <phoneticPr fontId="1" type="noConversion"/>
  </si>
  <si>
    <t>PM4061AB</t>
    <phoneticPr fontId="1" type="noConversion"/>
  </si>
  <si>
    <t>JD1061PC</t>
    <phoneticPr fontId="1" type="noConversion"/>
  </si>
  <si>
    <t>PM4071HG</t>
    <phoneticPr fontId="1" type="noConversion"/>
  </si>
  <si>
    <t>JK4071MJ</t>
    <phoneticPr fontId="1" type="noConversion"/>
  </si>
  <si>
    <t>JD4071YJ</t>
    <phoneticPr fontId="1" type="noConversion"/>
  </si>
  <si>
    <t>JK4081RC</t>
    <phoneticPr fontId="1" type="noConversion"/>
  </si>
  <si>
    <t>SN1091KZ</t>
    <phoneticPr fontId="1" type="noConversion"/>
  </si>
  <si>
    <t>JK2091KG</t>
    <phoneticPr fontId="1" type="noConversion"/>
  </si>
  <si>
    <t>홍삼장군</t>
    <phoneticPr fontId="1" type="noConversion"/>
  </si>
  <si>
    <t>JD1051OM</t>
    <phoneticPr fontId="1" type="noConversion"/>
  </si>
  <si>
    <t>[표3] 구분별, 브랜드이름별 판매수량 합계</t>
    <phoneticPr fontId="1" type="noConversion"/>
  </si>
  <si>
    <t>[표4] 구분별 최다 판매 제품명과 판매수량</t>
    <phoneticPr fontId="1" type="noConversion"/>
  </si>
  <si>
    <t>[표5] 1일 섭취횟수 비율</t>
    <phoneticPr fontId="1" type="noConversion"/>
  </si>
  <si>
    <t>구분</t>
    <phoneticPr fontId="1" type="noConversion"/>
  </si>
  <si>
    <t>판매수량</t>
    <phoneticPr fontId="1" type="noConversion"/>
  </si>
  <si>
    <t>코드</t>
    <phoneticPr fontId="1" type="noConversion"/>
  </si>
  <si>
    <t>섭취횟수</t>
    <phoneticPr fontId="1" type="noConversion"/>
  </si>
  <si>
    <t>비율</t>
    <phoneticPr fontId="1" type="noConversion"/>
  </si>
  <si>
    <t>1일 1회</t>
    <phoneticPr fontId="1" type="noConversion"/>
  </si>
  <si>
    <t xml:space="preserve">1일 2회 </t>
    <phoneticPr fontId="1" type="noConversion"/>
  </si>
  <si>
    <t xml:space="preserve">1일 3회 </t>
    <phoneticPr fontId="1" type="noConversion"/>
  </si>
  <si>
    <t xml:space="preserve">1일 1회 ~ 3회 </t>
    <phoneticPr fontId="1" type="noConversion"/>
  </si>
  <si>
    <t>제품코드</t>
    <phoneticPr fontId="1" type="noConversion"/>
  </si>
  <si>
    <t>제품명</t>
    <phoneticPr fontId="1" type="noConversion"/>
  </si>
  <si>
    <t>보존기간(개월)</t>
    <phoneticPr fontId="1" type="noConversion"/>
  </si>
  <si>
    <t>JK2051GC</t>
    <phoneticPr fontId="1" type="noConversion"/>
  </si>
  <si>
    <t>류마큐</t>
    <phoneticPr fontId="1" type="noConversion"/>
  </si>
  <si>
    <t>정관정</t>
    <phoneticPr fontId="1" type="noConversion"/>
  </si>
  <si>
    <t>PM4051AR</t>
    <phoneticPr fontId="1" type="noConversion"/>
  </si>
  <si>
    <t>건강보조제</t>
    <phoneticPr fontId="1" type="noConversion"/>
  </si>
  <si>
    <t>JK1071GT</t>
    <phoneticPr fontId="1" type="noConversion"/>
  </si>
  <si>
    <t>JK1081RG</t>
    <phoneticPr fontId="1" type="noConversion"/>
  </si>
  <si>
    <t>PM1091KV</t>
    <phoneticPr fontId="1" type="noConversion"/>
  </si>
  <si>
    <t>풀모원</t>
    <phoneticPr fontId="1" type="noConversion"/>
  </si>
  <si>
    <t>SN1071SB</t>
    <phoneticPr fontId="1" type="noConversion"/>
  </si>
  <si>
    <t>기호식품</t>
    <phoneticPr fontId="1" type="noConversion"/>
  </si>
  <si>
    <t>PM4061BB</t>
    <phoneticPr fontId="1" type="noConversion"/>
  </si>
  <si>
    <t>PM2071GS</t>
    <phoneticPr fontId="1" type="noConversion"/>
  </si>
  <si>
    <t>PM1081RJ</t>
    <phoneticPr fontId="1" type="noConversion"/>
  </si>
  <si>
    <t>JD3091TT</t>
    <phoneticPr fontId="1" type="noConversion"/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</si>
  <si>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</si>
  <si>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</si>
  <si>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</si>
  <si>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</si>
  <si>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종곤당</t>
    <phoneticPr fontId="1" type="noConversion"/>
  </si>
  <si>
    <t>SN2081RA</t>
    <phoneticPr fontId="1" type="noConversion"/>
  </si>
  <si>
    <t>레드에너지</t>
    <phoneticPr fontId="1" type="noConversion"/>
  </si>
  <si>
    <t>세노비야</t>
    <phoneticPr fontId="1" type="noConversion"/>
  </si>
  <si>
    <t>SN3061RL</t>
    <phoneticPr fontId="1" type="noConversion"/>
  </si>
  <si>
    <t>기능성식품</t>
    <phoneticPr fontId="1" type="noConversion"/>
  </si>
  <si>
    <t>SN2051VC</t>
    <phoneticPr fontId="1" type="noConversion"/>
  </si>
  <si>
    <t>PM4061AB</t>
    <phoneticPr fontId="1" type="noConversion"/>
  </si>
  <si>
    <t>JD1061PC</t>
    <phoneticPr fontId="1" type="noConversion"/>
  </si>
  <si>
    <t>PM4071HG</t>
    <phoneticPr fontId="1" type="noConversion"/>
  </si>
  <si>
    <t>JK4071MJ</t>
    <phoneticPr fontId="1" type="noConversion"/>
  </si>
  <si>
    <t>JD4071YJ</t>
    <phoneticPr fontId="1" type="noConversion"/>
  </si>
  <si>
    <t>JK4081RC</t>
    <phoneticPr fontId="1" type="noConversion"/>
  </si>
  <si>
    <t>JK1061RT</t>
    <phoneticPr fontId="1" type="noConversion"/>
  </si>
  <si>
    <t>SN1091KZ</t>
    <phoneticPr fontId="1" type="noConversion"/>
  </si>
  <si>
    <t>JK2091KG</t>
    <phoneticPr fontId="1" type="noConversion"/>
  </si>
  <si>
    <t>홍삼장군</t>
    <phoneticPr fontId="1" type="noConversion"/>
  </si>
  <si>
    <t>JD1051OM</t>
    <phoneticPr fontId="1" type="noConversion"/>
  </si>
  <si>
    <t>[표1]</t>
    <phoneticPr fontId="1" type="noConversion"/>
  </si>
  <si>
    <t>구분</t>
    <phoneticPr fontId="1" type="noConversion"/>
  </si>
  <si>
    <t>판매수량</t>
    <phoneticPr fontId="1" type="noConversion"/>
  </si>
  <si>
    <t>판매비율</t>
    <phoneticPr fontId="1" type="noConversion"/>
  </si>
  <si>
    <t>제품명</t>
    <phoneticPr fontId="1" type="noConversion"/>
  </si>
  <si>
    <t>판매가격</t>
    <phoneticPr fontId="1" type="noConversion"/>
  </si>
  <si>
    <t>보존기간(개월)</t>
    <phoneticPr fontId="1" type="noConversion"/>
  </si>
  <si>
    <t>1일 섭취횟수</t>
    <phoneticPr fontId="1" type="noConversion"/>
  </si>
  <si>
    <t>조건</t>
    <phoneticPr fontId="1" type="noConversion"/>
  </si>
  <si>
    <t>(모두)</t>
  </si>
  <si>
    <t>총합계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</si>
  <si>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</si>
  <si>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</si>
  <si>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</si>
  <si>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</si>
  <si>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</si>
  <si>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</si>
  <si>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</si>
  <si>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</si>
  <si>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</si>
  <si>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</si>
  <si>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</si>
  <si>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</si>
  <si>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합계 : 판매수량</t>
  </si>
  <si>
    <t>분기</t>
  </si>
  <si>
    <t>1사분기</t>
  </si>
  <si>
    <t>2사분기</t>
  </si>
  <si>
    <t>3사분기</t>
  </si>
  <si>
    <t>4사분기</t>
  </si>
  <si>
    <t>1사분기 요약</t>
  </si>
  <si>
    <t>2사분기 요약</t>
  </si>
  <si>
    <t>3사분기 요약</t>
  </si>
  <si>
    <t>4사분기 요약</t>
  </si>
  <si>
    <t>제품명</t>
  </si>
  <si>
    <t>유통기한(개월)</t>
  </si>
  <si>
    <t>글루코사민</t>
  </si>
  <si>
    <t>종군당</t>
  </si>
  <si>
    <t>어린이오메가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</si>
</sst>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[Red][&gt;=100000]#,##0&quot;원&quot;;#,##0&quot;원&quot;"/>
    <numFmt numFmtId="177" formatCode="yyyy/mm/dd\ \(aaa\)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41" fontId="3" fillId="0" borderId="1" xfId="1" applyFont="1" applyFill="1" applyBorder="1">
      <alignment vertical="center"/>
    </xf>
    <xf numFmtId="14" fontId="3" fillId="0" borderId="1" xfId="0" applyNumberFormat="1" applyFont="1" applyFill="1" applyBorder="1">
      <alignment vertical="center"/>
    </xf>
    <xf numFmtId="14" fontId="0" fillId="0" borderId="0" xfId="0" applyNumberForma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3" fillId="0" borderId="0" xfId="0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3" fillId="0" borderId="1" xfId="1" applyNumberFormat="1" applyFont="1" applyFill="1" applyBorder="1">
      <alignment vertical="center"/>
    </xf>
    <xf numFmtId="177" fontId="3" fillId="0" borderId="1" xfId="0" applyNumberFormat="1" applyFont="1" applyFill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선물세트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BDC-48FE-B229-8308058838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'기타작업-1'!$B$3:$B$7</c:f>
              <c:strCache>
                <c:ptCount val="5"/>
                <c:pt idx="0">
                  <c:v>건강보조제</c:v>
                </c:pt>
                <c:pt idx="1">
                  <c:v>기능성식품</c:v>
                </c:pt>
                <c:pt idx="2">
                  <c:v>기호식품</c:v>
                </c:pt>
                <c:pt idx="3">
                  <c:v>홍삼제품</c:v>
                </c:pt>
                <c:pt idx="4">
                  <c:v>키즈제품</c:v>
                </c:pt>
              </c:strCache>
            </c:strRef>
          </c:cat>
          <c:val>
            <c:numRef>
              <c:f>'기타작업-1'!$C$3:$C$7</c:f>
              <c:numCache>
                <c:formatCode>General</c:formatCode>
                <c:ptCount val="5"/>
                <c:pt idx="0">
                  <c:v>158</c:v>
                </c:pt>
                <c:pt idx="1">
                  <c:v>100</c:v>
                </c:pt>
                <c:pt idx="2">
                  <c:v>250</c:v>
                </c:pt>
                <c:pt idx="3">
                  <c:v>350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C-48FE-B229-830805883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5105136"/>
        <c:axId val="1645101808"/>
      </c:barChart>
      <c:lineChart>
        <c:grouping val="standard"/>
        <c:varyColors val="0"/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판매비율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'기타작업-1'!$B$3:$B$7</c:f>
              <c:strCache>
                <c:ptCount val="5"/>
                <c:pt idx="0">
                  <c:v>건강보조제</c:v>
                </c:pt>
                <c:pt idx="1">
                  <c:v>기능성식품</c:v>
                </c:pt>
                <c:pt idx="2">
                  <c:v>기호식품</c:v>
                </c:pt>
                <c:pt idx="3">
                  <c:v>홍삼제품</c:v>
                </c:pt>
                <c:pt idx="4">
                  <c:v>키즈제품</c:v>
                </c:pt>
              </c:strCache>
            </c:strRef>
          </c:cat>
          <c:val>
            <c:numRef>
              <c:f>'기타작업-1'!$D$3:$D$7</c:f>
              <c:numCache>
                <c:formatCode>0%</c:formatCode>
                <c:ptCount val="5"/>
                <c:pt idx="0">
                  <c:v>0.16155419222903886</c:v>
                </c:pt>
                <c:pt idx="1">
                  <c:v>0.10224948875255624</c:v>
                </c:pt>
                <c:pt idx="2">
                  <c:v>0.2556237218813906</c:v>
                </c:pt>
                <c:pt idx="3">
                  <c:v>0.35787321063394684</c:v>
                </c:pt>
                <c:pt idx="4">
                  <c:v>0.12269938650306748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C-48FE-B229-830805883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273120"/>
        <c:axId val="1650833808"/>
      </c:lineChart>
      <c:catAx>
        <c:axId val="1645105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구분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5101808"/>
        <c:crosses val="autoZero"/>
        <c:auto val="1"/>
        <c:lblAlgn val="ctr"/>
        <c:lblOffset val="100"/>
        <c:noMultiLvlLbl val="0"/>
      </c:catAx>
      <c:valAx>
        <c:axId val="164510180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5105136"/>
        <c:crosses val="autoZero"/>
        <c:crossBetween val="between"/>
        <c:majorUnit val="100"/>
      </c:valAx>
      <c:valAx>
        <c:axId val="165083380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판매비율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02273120"/>
        <c:crosses val="max"/>
        <c:crossBetween val="between"/>
        <c:majorUnit val="0.1"/>
      </c:valAx>
      <c:catAx>
        <c:axId val="130227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0833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209550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날짜서식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771525</xdr:colOff>
          <xdr:row>3</xdr:row>
          <xdr:rowOff>9525</xdr:rowOff>
        </xdr:to>
        <xdr:sp macro="" textlink="">
          <xdr:nvSpPr>
            <xdr:cNvPr id="7170" name="cmd판매등록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757.875678935183" createdVersion="6" refreshedVersion="6" minRefreshableVersion="3" recordCount="22" xr:uid="{00000000-000A-0000-FFFF-FFFF06000000}">
  <cacheSource type="external" connectionId="1"/>
  <cacheFields count="5">
    <cacheField name="브랜드이름" numFmtId="0" sqlType="-9">
      <sharedItems count="5">
        <s v="종군당"/>
        <s v="풀모원"/>
        <s v="정관정"/>
        <s v="세노비야"/>
        <s v="종곤당"/>
      </sharedItems>
    </cacheField>
    <cacheField name="제조일자" numFmtId="0" sqlType="11">
      <sharedItems containsSemiMixedTypes="0" containsNonDate="0" containsDate="1" containsString="0" minDate="2023-01-05T00:00:00" maxDate="2023-12-29T00:00:00" count="21">
        <d v="2023-10-09T00:00:00"/>
        <d v="2023-01-05T00:00:00"/>
        <d v="2023-03-09T00:00:00"/>
        <d v="2023-04-05T00:00:00"/>
        <d v="2023-03-30T00:00:00"/>
        <d v="2023-12-10T00:00:00"/>
        <d v="2023-09-09T00:00:00"/>
        <d v="2023-08-08T00:00:00"/>
        <d v="2023-07-07T00:00:00"/>
        <d v="2023-06-06T00:00:00"/>
        <d v="2023-05-06T00:00:00"/>
        <d v="2023-04-04T00:00:00"/>
        <d v="2023-03-03T00:00:00"/>
        <d v="2023-02-02T00:00:00"/>
        <d v="2023-12-28T00:00:00"/>
        <d v="2023-11-30T00:00:00"/>
        <d v="2023-10-31T00:00:00"/>
        <d v="2023-09-30T00:00:00"/>
        <d v="2023-08-31T00:00:00"/>
        <d v="2023-07-31T00:00:00"/>
        <d v="2023-06-30T00:00:00"/>
      </sharedItems>
      <fieldGroup par="4" base="1">
        <rangePr groupBy="months" startDate="2023-01-05T00:00:00" endDate="2023-12-29T00:00:00"/>
        <groupItems count="14">
          <s v="&lt;2023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3-12-29"/>
        </groupItems>
      </fieldGroup>
    </cacheField>
    <cacheField name="구분" numFmtId="0" sqlType="-9">
      <sharedItems count="5">
        <s v="건강보조제"/>
        <s v="기능성식품"/>
        <s v="기호식품"/>
        <s v="홍삼제품"/>
        <s v="키즈제품"/>
      </sharedItems>
    </cacheField>
    <cacheField name="판매수량" numFmtId="0" sqlType="4">
      <sharedItems containsSemiMixedTypes="0" containsString="0" containsNumber="1" containsInteger="1" minValue="7" maxValue="30" count="14">
        <n v="10"/>
        <n v="15"/>
        <n v="9"/>
        <n v="25"/>
        <n v="12"/>
        <n v="8"/>
        <n v="11"/>
        <n v="14"/>
        <n v="20"/>
        <n v="17"/>
        <n v="7"/>
        <n v="30"/>
        <n v="18"/>
        <n v="16"/>
      </sharedItems>
    </cacheField>
    <cacheField name="분기" numFmtId="0" databaseField="0">
      <fieldGroup base="1">
        <rangePr groupBy="quarters" startDate="2023-01-05T00:00:00" endDate="2023-12-29T00:00:00"/>
        <groupItems count="6">
          <s v="&lt;2023-01-05"/>
          <s v="1사분기"/>
          <s v="2사분기"/>
          <s v="3사분기"/>
          <s v="4사분기"/>
          <s v="&gt;2023-12-2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x v="0"/>
    <x v="0"/>
    <x v="0"/>
    <x v="0"/>
  </r>
  <r>
    <x v="1"/>
    <x v="1"/>
    <x v="1"/>
    <x v="1"/>
  </r>
  <r>
    <x v="2"/>
    <x v="2"/>
    <x v="2"/>
    <x v="2"/>
  </r>
  <r>
    <x v="2"/>
    <x v="3"/>
    <x v="3"/>
    <x v="3"/>
  </r>
  <r>
    <x v="3"/>
    <x v="4"/>
    <x v="4"/>
    <x v="4"/>
  </r>
  <r>
    <x v="3"/>
    <x v="5"/>
    <x v="0"/>
    <x v="5"/>
  </r>
  <r>
    <x v="1"/>
    <x v="0"/>
    <x v="1"/>
    <x v="6"/>
  </r>
  <r>
    <x v="1"/>
    <x v="6"/>
    <x v="2"/>
    <x v="7"/>
  </r>
  <r>
    <x v="2"/>
    <x v="7"/>
    <x v="3"/>
    <x v="8"/>
  </r>
  <r>
    <x v="0"/>
    <x v="8"/>
    <x v="4"/>
    <x v="9"/>
  </r>
  <r>
    <x v="3"/>
    <x v="9"/>
    <x v="0"/>
    <x v="10"/>
  </r>
  <r>
    <x v="3"/>
    <x v="10"/>
    <x v="0"/>
    <x v="11"/>
  </r>
  <r>
    <x v="1"/>
    <x v="11"/>
    <x v="1"/>
    <x v="4"/>
  </r>
  <r>
    <x v="3"/>
    <x v="12"/>
    <x v="1"/>
    <x v="0"/>
  </r>
  <r>
    <x v="1"/>
    <x v="13"/>
    <x v="2"/>
    <x v="2"/>
  </r>
  <r>
    <x v="4"/>
    <x v="14"/>
    <x v="2"/>
    <x v="5"/>
  </r>
  <r>
    <x v="4"/>
    <x v="15"/>
    <x v="2"/>
    <x v="1"/>
  </r>
  <r>
    <x v="2"/>
    <x v="16"/>
    <x v="3"/>
    <x v="8"/>
  </r>
  <r>
    <x v="2"/>
    <x v="17"/>
    <x v="3"/>
    <x v="12"/>
  </r>
  <r>
    <x v="3"/>
    <x v="18"/>
    <x v="4"/>
    <x v="13"/>
  </r>
  <r>
    <x v="3"/>
    <x v="19"/>
    <x v="4"/>
    <x v="9"/>
  </r>
  <r>
    <x v="4"/>
    <x v="20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4:I22" firstHeaderRow="1" firstDataRow="2" firstDataCol="2" rowPageCount="1" colPageCount="1"/>
  <pivotFields count="5">
    <pivotField axis="axisPage" compact="0" outline="0" subtotalTop="0" showAll="0">
      <items count="6">
        <item x="3"/>
        <item x="2"/>
        <item x="4"/>
        <item x="0"/>
        <item x="1"/>
        <item t="default"/>
      </items>
    </pivotField>
    <pivotField axis="axisRow" compact="0" outline="0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compact="0" outline="0" subtotalTop="0" showAll="0" sortType="descending">
      <items count="6">
        <item x="3"/>
        <item x="4"/>
        <item x="2"/>
        <item x="1"/>
        <item x="0"/>
        <item t="default"/>
      </items>
    </pivotField>
    <pivotField dataField="1" compact="0" outline="0" subtotalTop="0" showAll="0"/>
    <pivotField axis="axisRow" compact="0" outline="0" subtotalTop="0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"/>
    <field x="1"/>
  </rowFields>
  <rowItems count="17">
    <i>
      <x v="1"/>
      <x v="1"/>
    </i>
    <i r="1">
      <x v="2"/>
    </i>
    <i r="1">
      <x v="3"/>
    </i>
    <i t="default">
      <x v="1"/>
    </i>
    <i>
      <x v="2"/>
      <x v="4"/>
    </i>
    <i r="1">
      <x v="5"/>
    </i>
    <i r="1">
      <x v="6"/>
    </i>
    <i t="default">
      <x v="2"/>
    </i>
    <i>
      <x v="3"/>
      <x v="7"/>
    </i>
    <i r="1">
      <x v="8"/>
    </i>
    <i r="1">
      <x v="9"/>
    </i>
    <i t="default">
      <x v="3"/>
    </i>
    <i>
      <x v="4"/>
      <x v="10"/>
    </i>
    <i r="1">
      <x v="11"/>
    </i>
    <i r="1">
      <x v="12"/>
    </i>
    <i t="default">
      <x v="4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합계 : 판매수량" fld="3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D:\&#50689;&#51652;(2021&#45380;)\1&#44553;\&#54028;&#51068;\&#49828;&#54532;&#47112;&#46300;&#49884;&#53944;\&#44592;&#52636;&#47928;&#51228;\&#51221;&#45813;\&#52572;&#49888;&#44592;&#52636;&#47928;&#51228;10&#54924;(&#51221;&#45813;).xls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2:H37"/>
  <sheetViews>
    <sheetView tabSelected="1" workbookViewId="0"/>
  </sheetViews>
  <sheetFormatPr defaultRowHeight="16.5"/>
  <cols>
    <col min="1" max="1" width="10.625" bestFit="1" customWidth="1"/>
    <col min="2" max="2" width="17" bestFit="1" customWidth="1"/>
    <col min="3" max="4" width="10.375" bestFit="1" customWidth="1"/>
    <col min="5" max="5" width="14.375" bestFit="1" customWidth="1"/>
    <col min="6" max="6" width="12.5" bestFit="1" customWidth="1"/>
    <col min="7" max="7" width="13.6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2" t="s">
        <v>11</v>
      </c>
      <c r="E3" s="3">
        <v>27000</v>
      </c>
      <c r="F3" s="4">
        <v>45939</v>
      </c>
      <c r="G3" s="2">
        <v>24</v>
      </c>
      <c r="H3" s="2">
        <v>10</v>
      </c>
    </row>
    <row r="4" spans="1:8">
      <c r="A4" s="2" t="s">
        <v>12</v>
      </c>
      <c r="B4" s="2" t="s">
        <v>13</v>
      </c>
      <c r="C4" s="2" t="s">
        <v>14</v>
      </c>
      <c r="D4" s="2" t="s">
        <v>15</v>
      </c>
      <c r="E4" s="3">
        <v>30000</v>
      </c>
      <c r="F4" s="4">
        <v>45662</v>
      </c>
      <c r="G4" s="2">
        <v>18</v>
      </c>
      <c r="H4" s="2">
        <v>15</v>
      </c>
    </row>
    <row r="5" spans="1:8">
      <c r="A5" s="2" t="s">
        <v>16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45725</v>
      </c>
      <c r="G5" s="2">
        <v>36</v>
      </c>
      <c r="H5" s="2">
        <v>9</v>
      </c>
    </row>
    <row r="6" spans="1:8">
      <c r="A6" s="2" t="s">
        <v>20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45752</v>
      </c>
      <c r="G6" s="2">
        <v>24</v>
      </c>
      <c r="H6" s="2">
        <v>25</v>
      </c>
    </row>
    <row r="7" spans="1:8">
      <c r="A7" s="2" t="s">
        <v>23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45746</v>
      </c>
      <c r="G7" s="2">
        <v>12</v>
      </c>
      <c r="H7" s="2">
        <v>12</v>
      </c>
    </row>
    <row r="8" spans="1:8">
      <c r="A8" s="2" t="s">
        <v>27</v>
      </c>
      <c r="B8" s="2" t="s">
        <v>28</v>
      </c>
      <c r="C8" s="2" t="s">
        <v>29</v>
      </c>
      <c r="D8" s="2" t="s">
        <v>30</v>
      </c>
      <c r="E8" s="3">
        <v>65000</v>
      </c>
      <c r="F8" s="4">
        <v>46001</v>
      </c>
      <c r="G8" s="2">
        <v>12</v>
      </c>
      <c r="H8" s="2">
        <v>8</v>
      </c>
    </row>
    <row r="9" spans="1:8">
      <c r="A9" s="2" t="s">
        <v>31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45939</v>
      </c>
      <c r="G9" s="2">
        <v>12</v>
      </c>
      <c r="H9" s="2">
        <v>11</v>
      </c>
    </row>
    <row r="10" spans="1:8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45909</v>
      </c>
      <c r="G10" s="2">
        <v>12</v>
      </c>
      <c r="H10" s="2">
        <v>14</v>
      </c>
    </row>
    <row r="11" spans="1:8">
      <c r="A11" s="2" t="s">
        <v>36</v>
      </c>
      <c r="B11" s="2" t="s">
        <v>37</v>
      </c>
      <c r="C11" s="2" t="s">
        <v>22</v>
      </c>
      <c r="D11" s="2" t="s">
        <v>26</v>
      </c>
      <c r="E11" s="3">
        <v>80000</v>
      </c>
      <c r="F11" s="4">
        <v>45877</v>
      </c>
      <c r="G11" s="2">
        <v>24</v>
      </c>
      <c r="H11" s="2">
        <v>20</v>
      </c>
    </row>
    <row r="12" spans="1:8">
      <c r="A12" s="2" t="s">
        <v>39</v>
      </c>
      <c r="B12" s="2" t="s">
        <v>40</v>
      </c>
      <c r="C12" s="2" t="s">
        <v>25</v>
      </c>
      <c r="D12" s="2" t="s">
        <v>41</v>
      </c>
      <c r="E12" s="3">
        <v>40000</v>
      </c>
      <c r="F12" s="4">
        <v>45845</v>
      </c>
      <c r="G12" s="2">
        <v>18</v>
      </c>
      <c r="H12" s="2">
        <v>17</v>
      </c>
    </row>
    <row r="13" spans="1:8">
      <c r="A13" s="2" t="s">
        <v>42</v>
      </c>
      <c r="B13" s="2" t="s">
        <v>43</v>
      </c>
      <c r="C13" s="2" t="s">
        <v>44</v>
      </c>
      <c r="D13" s="2" t="s">
        <v>41</v>
      </c>
      <c r="E13" s="3">
        <v>180000</v>
      </c>
      <c r="F13" s="4">
        <v>45778</v>
      </c>
      <c r="G13" s="2">
        <v>12</v>
      </c>
      <c r="H13" s="2">
        <v>10</v>
      </c>
    </row>
    <row r="14" spans="1:8">
      <c r="A14" s="2" t="s">
        <v>46</v>
      </c>
      <c r="B14" s="2" t="s">
        <v>47</v>
      </c>
      <c r="C14" s="2" t="s">
        <v>44</v>
      </c>
      <c r="D14" s="2" t="s">
        <v>49</v>
      </c>
      <c r="E14" s="3">
        <v>45000</v>
      </c>
      <c r="F14" s="4">
        <v>45810</v>
      </c>
      <c r="G14" s="2">
        <v>12</v>
      </c>
      <c r="H14" s="2">
        <v>8</v>
      </c>
    </row>
    <row r="15" spans="1:8">
      <c r="A15" s="2" t="s">
        <v>50</v>
      </c>
      <c r="B15" s="2" t="s">
        <v>51</v>
      </c>
      <c r="C15" s="2" t="s">
        <v>52</v>
      </c>
      <c r="D15" s="2" t="s">
        <v>30</v>
      </c>
      <c r="E15" s="3">
        <v>50000</v>
      </c>
      <c r="F15" s="4">
        <v>45814</v>
      </c>
      <c r="G15" s="2">
        <v>18</v>
      </c>
      <c r="H15" s="2">
        <v>7</v>
      </c>
    </row>
    <row r="16" spans="1:8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45783</v>
      </c>
      <c r="G16" s="2">
        <v>24</v>
      </c>
      <c r="H16" s="2">
        <v>30</v>
      </c>
    </row>
    <row r="17" spans="1:8">
      <c r="A17" s="2" t="s">
        <v>55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45751</v>
      </c>
      <c r="G17" s="2">
        <v>12</v>
      </c>
      <c r="H17" s="2">
        <v>20</v>
      </c>
    </row>
    <row r="18" spans="1:8">
      <c r="A18" s="2" t="s">
        <v>57</v>
      </c>
      <c r="B18" s="2" t="s">
        <v>58</v>
      </c>
      <c r="C18" s="2" t="s">
        <v>33</v>
      </c>
      <c r="D18" s="2" t="s">
        <v>41</v>
      </c>
      <c r="E18" s="3">
        <v>70000</v>
      </c>
      <c r="F18" s="4">
        <v>45719</v>
      </c>
      <c r="G18" s="2">
        <v>12</v>
      </c>
      <c r="H18" s="2">
        <v>10</v>
      </c>
    </row>
    <row r="19" spans="1:8">
      <c r="A19" s="2" t="s">
        <v>60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45690</v>
      </c>
      <c r="G19" s="2">
        <v>12</v>
      </c>
      <c r="H19" s="2">
        <v>9</v>
      </c>
    </row>
    <row r="20" spans="1:8">
      <c r="A20" s="2" t="s">
        <v>62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46019</v>
      </c>
      <c r="G20" s="2">
        <v>12</v>
      </c>
      <c r="H20" s="2">
        <v>8</v>
      </c>
    </row>
    <row r="21" spans="1:8">
      <c r="A21" s="2" t="s">
        <v>65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45991</v>
      </c>
      <c r="G21" s="2">
        <v>12</v>
      </c>
      <c r="H21" s="2">
        <v>15</v>
      </c>
    </row>
    <row r="22" spans="1:8">
      <c r="A22" s="2" t="s">
        <v>67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45961</v>
      </c>
      <c r="G22" s="2">
        <v>24</v>
      </c>
      <c r="H22" s="2">
        <v>20</v>
      </c>
    </row>
    <row r="23" spans="1:8">
      <c r="A23" s="2" t="s">
        <v>69</v>
      </c>
      <c r="B23" s="2" t="s">
        <v>70</v>
      </c>
      <c r="C23" s="2" t="s">
        <v>52</v>
      </c>
      <c r="D23" s="2" t="s">
        <v>19</v>
      </c>
      <c r="E23" s="3">
        <v>50000</v>
      </c>
      <c r="F23" s="4">
        <v>45930</v>
      </c>
      <c r="G23" s="2">
        <v>12</v>
      </c>
      <c r="H23" s="2">
        <v>18</v>
      </c>
    </row>
    <row r="24" spans="1:8">
      <c r="A24" s="2" t="s">
        <v>71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45900</v>
      </c>
      <c r="G24" s="2">
        <v>12</v>
      </c>
      <c r="H24" s="2">
        <v>16</v>
      </c>
    </row>
    <row r="25" spans="1:8">
      <c r="A25" s="2" t="s">
        <v>73</v>
      </c>
      <c r="B25" s="2" t="s">
        <v>74</v>
      </c>
      <c r="C25" s="2" t="s">
        <v>25</v>
      </c>
      <c r="D25" s="2" t="s">
        <v>11</v>
      </c>
      <c r="E25" s="3">
        <v>43000</v>
      </c>
      <c r="F25" s="4">
        <v>45869</v>
      </c>
      <c r="G25" s="2">
        <v>18</v>
      </c>
      <c r="H25" s="2">
        <v>21</v>
      </c>
    </row>
    <row r="26" spans="1:8">
      <c r="A26" s="2" t="s">
        <v>76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45838</v>
      </c>
      <c r="G26" s="2">
        <v>18</v>
      </c>
      <c r="H26" s="2">
        <v>18</v>
      </c>
    </row>
    <row r="28" spans="1:8">
      <c r="A28" s="10" t="s">
        <v>180</v>
      </c>
    </row>
    <row r="29" spans="1:8">
      <c r="A29" t="b">
        <f>AND(OR(C3="건강보조제",C3="홍삼제품"),H3&gt;AVERAGE($H$3:$H$26))</f>
        <v>0</v>
      </c>
    </row>
    <row r="31" spans="1:8">
      <c r="A31" s="1" t="s">
        <v>0</v>
      </c>
      <c r="B31" s="1" t="s">
        <v>1</v>
      </c>
      <c r="C31" s="1" t="s">
        <v>2</v>
      </c>
      <c r="D31" s="1" t="s">
        <v>3</v>
      </c>
      <c r="E31" s="1" t="s">
        <v>4</v>
      </c>
      <c r="F31" s="1" t="s">
        <v>5</v>
      </c>
      <c r="G31" s="1" t="s">
        <v>6</v>
      </c>
      <c r="H31" s="1" t="s">
        <v>7</v>
      </c>
    </row>
    <row r="32" spans="1:8">
      <c r="A32" s="2" t="s">
        <v>12</v>
      </c>
      <c r="B32" s="2" t="s">
        <v>13</v>
      </c>
      <c r="C32" s="2" t="s">
        <v>14</v>
      </c>
      <c r="D32" s="2" t="s">
        <v>15</v>
      </c>
      <c r="E32" s="3">
        <v>30000</v>
      </c>
      <c r="F32" s="4">
        <v>45662</v>
      </c>
      <c r="G32" s="2">
        <v>18</v>
      </c>
      <c r="H32" s="2">
        <v>15</v>
      </c>
    </row>
    <row r="33" spans="1:8">
      <c r="A33" s="2" t="s">
        <v>20</v>
      </c>
      <c r="B33" s="2" t="s">
        <v>21</v>
      </c>
      <c r="C33" s="2" t="s">
        <v>22</v>
      </c>
      <c r="D33" s="2" t="s">
        <v>19</v>
      </c>
      <c r="E33" s="3">
        <v>200000</v>
      </c>
      <c r="F33" s="4">
        <v>45752</v>
      </c>
      <c r="G33" s="2">
        <v>24</v>
      </c>
      <c r="H33" s="2">
        <v>25</v>
      </c>
    </row>
    <row r="34" spans="1:8">
      <c r="A34" s="2" t="s">
        <v>36</v>
      </c>
      <c r="B34" s="2" t="s">
        <v>37</v>
      </c>
      <c r="C34" s="2" t="s">
        <v>22</v>
      </c>
      <c r="D34" s="2" t="s">
        <v>26</v>
      </c>
      <c r="E34" s="3">
        <v>80000</v>
      </c>
      <c r="F34" s="4">
        <v>45877</v>
      </c>
      <c r="G34" s="2">
        <v>24</v>
      </c>
      <c r="H34" s="2">
        <v>20</v>
      </c>
    </row>
    <row r="35" spans="1:8">
      <c r="A35" s="2" t="s">
        <v>53</v>
      </c>
      <c r="B35" s="2" t="s">
        <v>54</v>
      </c>
      <c r="C35" s="2" t="s">
        <v>10</v>
      </c>
      <c r="D35" s="2" t="s">
        <v>30</v>
      </c>
      <c r="E35" s="3">
        <v>38000</v>
      </c>
      <c r="F35" s="4">
        <v>45783</v>
      </c>
      <c r="G35" s="2">
        <v>24</v>
      </c>
      <c r="H35" s="2">
        <v>30</v>
      </c>
    </row>
    <row r="36" spans="1:8">
      <c r="A36" s="2" t="s">
        <v>67</v>
      </c>
      <c r="B36" s="2" t="s">
        <v>68</v>
      </c>
      <c r="C36" s="2" t="s">
        <v>22</v>
      </c>
      <c r="D36" s="2" t="s">
        <v>19</v>
      </c>
      <c r="E36" s="3">
        <v>30000</v>
      </c>
      <c r="F36" s="4">
        <v>45961</v>
      </c>
      <c r="G36" s="2">
        <v>24</v>
      </c>
      <c r="H36" s="2">
        <v>20</v>
      </c>
    </row>
    <row r="37" spans="1:8">
      <c r="A37" s="2" t="s">
        <v>76</v>
      </c>
      <c r="B37" s="2" t="s">
        <v>77</v>
      </c>
      <c r="C37" s="2" t="s">
        <v>10</v>
      </c>
      <c r="D37" s="2" t="s">
        <v>64</v>
      </c>
      <c r="E37" s="3">
        <v>55000</v>
      </c>
      <c r="F37" s="4">
        <v>45838</v>
      </c>
      <c r="G37" s="2">
        <v>18</v>
      </c>
      <c r="H37" s="2">
        <v>18</v>
      </c>
    </row>
  </sheetData>
  <phoneticPr fontId="1" type="noConversion"/>
  <conditionalFormatting sqref="A3:H26">
    <cfRule type="expression" dxfId="0" priority="1">
      <formula>AND($C3="건강보조제",LARGE($H$3:$H$26,12)&lt;=$H3)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&amp;R페이지 번호 :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H26"/>
  <sheetViews>
    <sheetView workbookViewId="0"/>
  </sheetViews>
  <sheetFormatPr defaultRowHeight="16.5"/>
  <cols>
    <col min="1" max="1" width="10.625" bestFit="1" customWidth="1"/>
    <col min="2" max="2" width="17" bestFit="1" customWidth="1"/>
    <col min="3" max="4" width="10.375" bestFit="1" customWidth="1"/>
    <col min="5" max="5" width="14.375" bestFit="1" customWidth="1"/>
    <col min="6" max="6" width="12.5" bestFit="1" customWidth="1"/>
    <col min="7" max="7" width="13.6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2" t="s">
        <v>11</v>
      </c>
      <c r="E3" s="3">
        <v>27000</v>
      </c>
      <c r="F3" s="4">
        <v>45939</v>
      </c>
      <c r="G3" s="2">
        <v>24</v>
      </c>
      <c r="H3" s="2">
        <v>10</v>
      </c>
    </row>
    <row r="4" spans="1:8">
      <c r="A4" s="2" t="s">
        <v>12</v>
      </c>
      <c r="B4" s="2" t="s">
        <v>13</v>
      </c>
      <c r="C4" s="2" t="s">
        <v>14</v>
      </c>
      <c r="D4" s="2" t="s">
        <v>15</v>
      </c>
      <c r="E4" s="3">
        <v>30000</v>
      </c>
      <c r="F4" s="4">
        <v>45662</v>
      </c>
      <c r="G4" s="2">
        <v>18</v>
      </c>
      <c r="H4" s="2">
        <v>15</v>
      </c>
    </row>
    <row r="5" spans="1:8">
      <c r="A5" s="2" t="s">
        <v>16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45725</v>
      </c>
      <c r="G5" s="2">
        <v>36</v>
      </c>
      <c r="H5" s="2">
        <v>9</v>
      </c>
    </row>
    <row r="6" spans="1:8">
      <c r="A6" s="2" t="s">
        <v>20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45752</v>
      </c>
      <c r="G6" s="2">
        <v>24</v>
      </c>
      <c r="H6" s="2">
        <v>25</v>
      </c>
    </row>
    <row r="7" spans="1:8">
      <c r="A7" s="2" t="s">
        <v>23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45746</v>
      </c>
      <c r="G7" s="2">
        <v>12</v>
      </c>
      <c r="H7" s="2">
        <v>12</v>
      </c>
    </row>
    <row r="8" spans="1:8">
      <c r="A8" s="2" t="s">
        <v>27</v>
      </c>
      <c r="B8" s="2" t="s">
        <v>28</v>
      </c>
      <c r="C8" s="2" t="s">
        <v>29</v>
      </c>
      <c r="D8" s="2" t="s">
        <v>30</v>
      </c>
      <c r="E8" s="3">
        <v>65000</v>
      </c>
      <c r="F8" s="4">
        <v>46001</v>
      </c>
      <c r="G8" s="2">
        <v>12</v>
      </c>
      <c r="H8" s="2">
        <v>8</v>
      </c>
    </row>
    <row r="9" spans="1:8">
      <c r="A9" s="2" t="s">
        <v>31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45939</v>
      </c>
      <c r="G9" s="2">
        <v>12</v>
      </c>
      <c r="H9" s="2">
        <v>11</v>
      </c>
    </row>
    <row r="10" spans="1:8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45909</v>
      </c>
      <c r="G10" s="2">
        <v>12</v>
      </c>
      <c r="H10" s="2">
        <v>14</v>
      </c>
    </row>
    <row r="11" spans="1:8">
      <c r="A11" s="2" t="s">
        <v>36</v>
      </c>
      <c r="B11" s="2" t="s">
        <v>37</v>
      </c>
      <c r="C11" s="2" t="s">
        <v>22</v>
      </c>
      <c r="D11" s="2" t="s">
        <v>38</v>
      </c>
      <c r="E11" s="3">
        <v>80000</v>
      </c>
      <c r="F11" s="4">
        <v>45877</v>
      </c>
      <c r="G11" s="2">
        <v>24</v>
      </c>
      <c r="H11" s="2">
        <v>20</v>
      </c>
    </row>
    <row r="12" spans="1:8">
      <c r="A12" s="2" t="s">
        <v>39</v>
      </c>
      <c r="B12" s="2" t="s">
        <v>40</v>
      </c>
      <c r="C12" s="2" t="s">
        <v>25</v>
      </c>
      <c r="D12" s="2" t="s">
        <v>41</v>
      </c>
      <c r="E12" s="3">
        <v>40000</v>
      </c>
      <c r="F12" s="4">
        <v>45845</v>
      </c>
      <c r="G12" s="2">
        <v>18</v>
      </c>
      <c r="H12" s="2">
        <v>17</v>
      </c>
    </row>
    <row r="13" spans="1:8">
      <c r="A13" s="2" t="s">
        <v>42</v>
      </c>
      <c r="B13" s="2" t="s">
        <v>43</v>
      </c>
      <c r="C13" s="2" t="s">
        <v>44</v>
      </c>
      <c r="D13" s="2" t="s">
        <v>45</v>
      </c>
      <c r="E13" s="3">
        <v>180000</v>
      </c>
      <c r="F13" s="4">
        <v>45778</v>
      </c>
      <c r="G13" s="2">
        <v>12</v>
      </c>
      <c r="H13" s="2">
        <v>10</v>
      </c>
    </row>
    <row r="14" spans="1:8">
      <c r="A14" s="2" t="s">
        <v>46</v>
      </c>
      <c r="B14" s="2" t="s">
        <v>47</v>
      </c>
      <c r="C14" s="2" t="s">
        <v>48</v>
      </c>
      <c r="D14" s="2" t="s">
        <v>49</v>
      </c>
      <c r="E14" s="3">
        <v>45000</v>
      </c>
      <c r="F14" s="4">
        <v>45810</v>
      </c>
      <c r="G14" s="2">
        <v>12</v>
      </c>
      <c r="H14" s="2">
        <v>8</v>
      </c>
    </row>
    <row r="15" spans="1:8">
      <c r="A15" s="2" t="s">
        <v>50</v>
      </c>
      <c r="B15" s="2" t="s">
        <v>51</v>
      </c>
      <c r="C15" s="2" t="s">
        <v>52</v>
      </c>
      <c r="D15" s="2" t="s">
        <v>30</v>
      </c>
      <c r="E15" s="3">
        <v>50000</v>
      </c>
      <c r="F15" s="4">
        <v>45814</v>
      </c>
      <c r="G15" s="2">
        <v>18</v>
      </c>
      <c r="H15" s="2">
        <v>7</v>
      </c>
    </row>
    <row r="16" spans="1:8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45783</v>
      </c>
      <c r="G16" s="2">
        <v>24</v>
      </c>
      <c r="H16" s="2">
        <v>30</v>
      </c>
    </row>
    <row r="17" spans="1:8">
      <c r="A17" s="2" t="s">
        <v>55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45751</v>
      </c>
      <c r="G17" s="2">
        <v>12</v>
      </c>
      <c r="H17" s="2">
        <v>20</v>
      </c>
    </row>
    <row r="18" spans="1:8">
      <c r="A18" s="2" t="s">
        <v>57</v>
      </c>
      <c r="B18" s="2" t="s">
        <v>58</v>
      </c>
      <c r="C18" s="2" t="s">
        <v>33</v>
      </c>
      <c r="D18" s="2" t="s">
        <v>59</v>
      </c>
      <c r="E18" s="3">
        <v>70000</v>
      </c>
      <c r="F18" s="4">
        <v>45719</v>
      </c>
      <c r="G18" s="2">
        <v>12</v>
      </c>
      <c r="H18" s="2">
        <v>10</v>
      </c>
    </row>
    <row r="19" spans="1:8">
      <c r="A19" s="2" t="s">
        <v>60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45690</v>
      </c>
      <c r="G19" s="2">
        <v>12</v>
      </c>
      <c r="H19" s="2">
        <v>9</v>
      </c>
    </row>
    <row r="20" spans="1:8">
      <c r="A20" s="2" t="s">
        <v>62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46019</v>
      </c>
      <c r="G20" s="2">
        <v>12</v>
      </c>
      <c r="H20" s="2">
        <v>8</v>
      </c>
    </row>
    <row r="21" spans="1:8">
      <c r="A21" s="2" t="s">
        <v>65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45991</v>
      </c>
      <c r="G21" s="2">
        <v>12</v>
      </c>
      <c r="H21" s="2">
        <v>15</v>
      </c>
    </row>
    <row r="22" spans="1:8">
      <c r="A22" s="2" t="s">
        <v>67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45961</v>
      </c>
      <c r="G22" s="2">
        <v>24</v>
      </c>
      <c r="H22" s="2">
        <v>20</v>
      </c>
    </row>
    <row r="23" spans="1:8">
      <c r="A23" s="2" t="s">
        <v>69</v>
      </c>
      <c r="B23" s="2" t="s">
        <v>70</v>
      </c>
      <c r="C23" s="2" t="s">
        <v>52</v>
      </c>
      <c r="D23" s="2" t="s">
        <v>19</v>
      </c>
      <c r="E23" s="3">
        <v>50000</v>
      </c>
      <c r="F23" s="4">
        <v>45930</v>
      </c>
      <c r="G23" s="2">
        <v>12</v>
      </c>
      <c r="H23" s="2">
        <v>18</v>
      </c>
    </row>
    <row r="24" spans="1:8">
      <c r="A24" s="2" t="s">
        <v>71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45900</v>
      </c>
      <c r="G24" s="2">
        <v>12</v>
      </c>
      <c r="H24" s="2">
        <v>16</v>
      </c>
    </row>
    <row r="25" spans="1:8">
      <c r="A25" s="2" t="s">
        <v>73</v>
      </c>
      <c r="B25" s="2" t="s">
        <v>74</v>
      </c>
      <c r="C25" s="2" t="s">
        <v>25</v>
      </c>
      <c r="D25" s="2" t="s">
        <v>75</v>
      </c>
      <c r="E25" s="3">
        <v>43000</v>
      </c>
      <c r="F25" s="4">
        <v>45869</v>
      </c>
      <c r="G25" s="2">
        <v>18</v>
      </c>
      <c r="H25" s="2">
        <v>21</v>
      </c>
    </row>
    <row r="26" spans="1:8">
      <c r="A26" s="2" t="s">
        <v>76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45838</v>
      </c>
      <c r="G26" s="2">
        <v>18</v>
      </c>
      <c r="H26" s="2">
        <v>18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&amp;R페이지 번호 :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34"/>
  <sheetViews>
    <sheetView workbookViewId="0">
      <selection activeCell="M30" sqref="M30"/>
    </sheetView>
  </sheetViews>
  <sheetFormatPr defaultRowHeight="16.5"/>
  <cols>
    <col min="1" max="1" width="11.625" customWidth="1"/>
    <col min="2" max="2" width="17" bestFit="1" customWidth="1"/>
    <col min="3" max="4" width="10.375" bestFit="1" customWidth="1"/>
    <col min="5" max="5" width="14.375" bestFit="1" customWidth="1"/>
    <col min="6" max="6" width="10.625" bestFit="1" customWidth="1"/>
    <col min="7" max="7" width="14.125" customWidth="1"/>
    <col min="8" max="8" width="15" bestFit="1" customWidth="1"/>
    <col min="9" max="9" width="9.625" customWidth="1"/>
    <col min="10" max="10" width="13.125" bestFit="1" customWidth="1"/>
    <col min="12" max="12" width="13.875" bestFit="1" customWidth="1"/>
  </cols>
  <sheetData>
    <row r="1" spans="1:13">
      <c r="A1" t="s">
        <v>78</v>
      </c>
      <c r="I1" t="s">
        <v>79</v>
      </c>
      <c r="J1" s="5">
        <v>46021</v>
      </c>
      <c r="L1" t="s">
        <v>80</v>
      </c>
    </row>
    <row r="2" spans="1:13">
      <c r="A2" s="1" t="s">
        <v>0</v>
      </c>
      <c r="B2" s="1" t="s">
        <v>81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82</v>
      </c>
      <c r="H2" s="6" t="s">
        <v>83</v>
      </c>
      <c r="I2" s="1" t="s">
        <v>7</v>
      </c>
      <c r="J2" s="6" t="s">
        <v>84</v>
      </c>
      <c r="L2" s="7" t="s">
        <v>85</v>
      </c>
      <c r="M2" s="7" t="s">
        <v>86</v>
      </c>
    </row>
    <row r="3" spans="1:13">
      <c r="A3" s="2" t="s">
        <v>87</v>
      </c>
      <c r="B3" s="2" t="s">
        <v>88</v>
      </c>
      <c r="C3" s="2" t="s">
        <v>10</v>
      </c>
      <c r="D3" s="2" t="s">
        <v>89</v>
      </c>
      <c r="E3" s="3">
        <v>27000</v>
      </c>
      <c r="F3" s="4">
        <v>45939</v>
      </c>
      <c r="G3" s="2">
        <v>24</v>
      </c>
      <c r="H3" s="3">
        <f>E3*(1-VLOOKUP(QUOTIENT(EDATE(F3,G3)-$J$1,30),$L$3:$M$6,2))</f>
        <v>21600</v>
      </c>
      <c r="I3" s="2">
        <v>10</v>
      </c>
      <c r="J3" s="1" t="str" cm="1">
        <f t="array" ref="J3">fn비고(E3,I3)</f>
        <v/>
      </c>
      <c r="L3" s="8">
        <v>1</v>
      </c>
      <c r="M3" s="9">
        <v>0.5</v>
      </c>
    </row>
    <row r="4" spans="1:13">
      <c r="A4" s="2" t="s">
        <v>90</v>
      </c>
      <c r="B4" s="2" t="s">
        <v>13</v>
      </c>
      <c r="C4" s="2" t="s">
        <v>91</v>
      </c>
      <c r="D4" s="2" t="s">
        <v>15</v>
      </c>
      <c r="E4" s="3">
        <v>30000</v>
      </c>
      <c r="F4" s="4">
        <v>45662</v>
      </c>
      <c r="G4" s="2">
        <v>18</v>
      </c>
      <c r="H4" s="3">
        <f t="shared" ref="H4:H26" si="0">E4*(1-VLOOKUP(QUOTIENT(EDATE(F4,G4)-$J$1,30),$L$3:$M$6,2))</f>
        <v>15000</v>
      </c>
      <c r="I4" s="2">
        <v>15</v>
      </c>
      <c r="J4" s="1" t="str" cm="1">
        <f t="array" ref="J4">fn비고(E4,I4)</f>
        <v/>
      </c>
      <c r="L4" s="8">
        <v>7</v>
      </c>
      <c r="M4" s="9">
        <v>0.35</v>
      </c>
    </row>
    <row r="5" spans="1:13">
      <c r="A5" s="2" t="s">
        <v>92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45725</v>
      </c>
      <c r="G5" s="2">
        <v>36</v>
      </c>
      <c r="H5" s="3">
        <f t="shared" si="0"/>
        <v>45000</v>
      </c>
      <c r="I5" s="2">
        <v>9</v>
      </c>
      <c r="J5" s="1" t="str" cm="1">
        <f t="array" ref="J5">fn비고(E5,I5)</f>
        <v/>
      </c>
      <c r="L5" s="8">
        <v>12</v>
      </c>
      <c r="M5" s="9">
        <v>0.2</v>
      </c>
    </row>
    <row r="6" spans="1:13">
      <c r="A6" s="2" t="s">
        <v>93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45752</v>
      </c>
      <c r="G6" s="2">
        <v>24</v>
      </c>
      <c r="H6" s="3">
        <f t="shared" si="0"/>
        <v>160000</v>
      </c>
      <c r="I6" s="2">
        <v>25</v>
      </c>
      <c r="J6" s="1" t="str" cm="1">
        <f t="array" ref="J6">fn비고(E6,I6)</f>
        <v>사은선물 증정</v>
      </c>
      <c r="L6" s="8">
        <v>24</v>
      </c>
      <c r="M6" s="9">
        <v>0.1</v>
      </c>
    </row>
    <row r="7" spans="1:13">
      <c r="A7" s="2" t="s">
        <v>94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45746</v>
      </c>
      <c r="G7" s="2">
        <v>12</v>
      </c>
      <c r="H7" s="3">
        <f t="shared" si="0"/>
        <v>17500</v>
      </c>
      <c r="I7" s="2">
        <v>12</v>
      </c>
      <c r="J7" s="1" t="str" cm="1">
        <f t="array" ref="J7">fn비고(E7,I7)</f>
        <v/>
      </c>
    </row>
    <row r="8" spans="1:13">
      <c r="A8" s="2" t="s">
        <v>95</v>
      </c>
      <c r="B8" s="2" t="s">
        <v>28</v>
      </c>
      <c r="C8" s="2" t="s">
        <v>96</v>
      </c>
      <c r="D8" s="2" t="s">
        <v>30</v>
      </c>
      <c r="E8" s="3">
        <v>65000</v>
      </c>
      <c r="F8" s="4">
        <v>46001</v>
      </c>
      <c r="G8" s="2">
        <v>12</v>
      </c>
      <c r="H8" s="3">
        <f t="shared" si="0"/>
        <v>42250</v>
      </c>
      <c r="I8" s="2">
        <v>8</v>
      </c>
      <c r="J8" s="1" t="str" cm="1">
        <f t="array" ref="J8">fn비고(E8,I8)</f>
        <v/>
      </c>
    </row>
    <row r="9" spans="1:13">
      <c r="A9" s="2" t="s">
        <v>97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45939</v>
      </c>
      <c r="G9" s="2">
        <v>12</v>
      </c>
      <c r="H9" s="3">
        <f t="shared" si="0"/>
        <v>65000</v>
      </c>
      <c r="I9" s="2">
        <v>11</v>
      </c>
      <c r="J9" s="1" t="str" cm="1">
        <f t="array" ref="J9">fn비고(E9,I9)</f>
        <v/>
      </c>
    </row>
    <row r="10" spans="1:13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45909</v>
      </c>
      <c r="G10" s="2">
        <v>12</v>
      </c>
      <c r="H10" s="3">
        <f t="shared" si="0"/>
        <v>97500</v>
      </c>
      <c r="I10" s="2">
        <v>14</v>
      </c>
      <c r="J10" s="1" t="str" cm="1">
        <f t="array" ref="J10">fn비고(E10,I10)</f>
        <v/>
      </c>
    </row>
    <row r="11" spans="1:13">
      <c r="A11" s="2" t="s">
        <v>98</v>
      </c>
      <c r="B11" s="2" t="s">
        <v>37</v>
      </c>
      <c r="C11" s="2" t="s">
        <v>22</v>
      </c>
      <c r="D11" s="2" t="s">
        <v>26</v>
      </c>
      <c r="E11" s="3">
        <v>80000</v>
      </c>
      <c r="F11" s="4">
        <v>45877</v>
      </c>
      <c r="G11" s="2">
        <v>24</v>
      </c>
      <c r="H11" s="3">
        <f t="shared" si="0"/>
        <v>64000</v>
      </c>
      <c r="I11" s="2">
        <v>20</v>
      </c>
      <c r="J11" s="1" t="str" cm="1">
        <f t="array" ref="J11">fn비고(E11,I11)</f>
        <v/>
      </c>
    </row>
    <row r="12" spans="1:13">
      <c r="A12" s="2" t="s">
        <v>99</v>
      </c>
      <c r="B12" s="2" t="s">
        <v>40</v>
      </c>
      <c r="C12" s="2" t="s">
        <v>25</v>
      </c>
      <c r="D12" s="2" t="s">
        <v>100</v>
      </c>
      <c r="E12" s="3">
        <v>40000</v>
      </c>
      <c r="F12" s="4">
        <v>45845</v>
      </c>
      <c r="G12" s="2">
        <v>18</v>
      </c>
      <c r="H12" s="3">
        <f t="shared" si="0"/>
        <v>32000</v>
      </c>
      <c r="I12" s="2">
        <v>17</v>
      </c>
      <c r="J12" s="1" t="str" cm="1">
        <f t="array" ref="J12">fn비고(E12,I12)</f>
        <v/>
      </c>
    </row>
    <row r="13" spans="1:13">
      <c r="A13" s="2" t="s">
        <v>101</v>
      </c>
      <c r="B13" s="2" t="s">
        <v>102</v>
      </c>
      <c r="C13" s="2" t="s">
        <v>103</v>
      </c>
      <c r="D13" s="2" t="s">
        <v>100</v>
      </c>
      <c r="E13" s="3">
        <v>180000</v>
      </c>
      <c r="F13" s="4">
        <v>45778</v>
      </c>
      <c r="G13" s="2">
        <v>12</v>
      </c>
      <c r="H13" s="3">
        <f t="shared" si="0"/>
        <v>90000</v>
      </c>
      <c r="I13" s="2">
        <v>10</v>
      </c>
      <c r="J13" s="1" t="str" cm="1">
        <f t="array" ref="J13">fn비고(E13,I13)</f>
        <v/>
      </c>
    </row>
    <row r="14" spans="1:13">
      <c r="A14" s="2" t="s">
        <v>104</v>
      </c>
      <c r="B14" s="2" t="s">
        <v>105</v>
      </c>
      <c r="C14" s="2" t="s">
        <v>106</v>
      </c>
      <c r="D14" s="2" t="s">
        <v>107</v>
      </c>
      <c r="E14" s="3">
        <v>45000</v>
      </c>
      <c r="F14" s="4">
        <v>45810</v>
      </c>
      <c r="G14" s="2">
        <v>12</v>
      </c>
      <c r="H14" s="3">
        <f t="shared" si="0"/>
        <v>22500</v>
      </c>
      <c r="I14" s="2">
        <v>8</v>
      </c>
      <c r="J14" s="1" t="str" cm="1">
        <f t="array" ref="J14">fn비고(E14,I14)</f>
        <v/>
      </c>
    </row>
    <row r="15" spans="1:13">
      <c r="A15" s="2" t="s">
        <v>108</v>
      </c>
      <c r="B15" s="2" t="s">
        <v>51</v>
      </c>
      <c r="C15" s="2" t="s">
        <v>109</v>
      </c>
      <c r="D15" s="2" t="s">
        <v>30</v>
      </c>
      <c r="E15" s="3">
        <v>50000</v>
      </c>
      <c r="F15" s="4">
        <v>45814</v>
      </c>
      <c r="G15" s="2">
        <v>18</v>
      </c>
      <c r="H15" s="3">
        <f t="shared" si="0"/>
        <v>32500</v>
      </c>
      <c r="I15" s="2">
        <v>7</v>
      </c>
      <c r="J15" s="1" t="str" cm="1">
        <f t="array" ref="J15">fn비고(E15,I15)</f>
        <v/>
      </c>
    </row>
    <row r="16" spans="1:13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45783</v>
      </c>
      <c r="G16" s="2">
        <v>24</v>
      </c>
      <c r="H16" s="3">
        <f t="shared" si="0"/>
        <v>30400</v>
      </c>
      <c r="I16" s="2">
        <v>30</v>
      </c>
      <c r="J16" s="1" t="str" cm="1">
        <f t="array" ref="J16">fn비고(E16,I16)</f>
        <v/>
      </c>
    </row>
    <row r="17" spans="1:13">
      <c r="A17" s="2" t="s">
        <v>110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45751</v>
      </c>
      <c r="G17" s="2">
        <v>12</v>
      </c>
      <c r="H17" s="3">
        <f t="shared" si="0"/>
        <v>60000</v>
      </c>
      <c r="I17" s="2">
        <v>20</v>
      </c>
      <c r="J17" s="1" t="str" cm="1">
        <f t="array" ref="J17">fn비고(E17,I17)</f>
        <v>사은선물 증정</v>
      </c>
    </row>
    <row r="18" spans="1:13">
      <c r="A18" s="2" t="s">
        <v>111</v>
      </c>
      <c r="B18" s="2" t="s">
        <v>58</v>
      </c>
      <c r="C18" s="2" t="s">
        <v>33</v>
      </c>
      <c r="D18" s="2" t="s">
        <v>100</v>
      </c>
      <c r="E18" s="3">
        <v>70000</v>
      </c>
      <c r="F18" s="4">
        <v>45719</v>
      </c>
      <c r="G18" s="2">
        <v>12</v>
      </c>
      <c r="H18" s="3">
        <f t="shared" si="0"/>
        <v>35000</v>
      </c>
      <c r="I18" s="2">
        <v>10</v>
      </c>
      <c r="J18" s="1" t="str" cm="1">
        <f t="array" ref="J18">fn비고(E18,I18)</f>
        <v/>
      </c>
    </row>
    <row r="19" spans="1:13">
      <c r="A19" s="2" t="s">
        <v>112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45690</v>
      </c>
      <c r="G19" s="2">
        <v>12</v>
      </c>
      <c r="H19" s="3">
        <f t="shared" si="0"/>
        <v>85000</v>
      </c>
      <c r="I19" s="2">
        <v>9</v>
      </c>
      <c r="J19" s="1" t="str" cm="1">
        <f t="array" ref="J19">fn비고(E19,I19)</f>
        <v/>
      </c>
    </row>
    <row r="20" spans="1:13">
      <c r="A20" s="2" t="s">
        <v>113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46019</v>
      </c>
      <c r="G20" s="2">
        <v>12</v>
      </c>
      <c r="H20" s="3">
        <f t="shared" si="0"/>
        <v>51200</v>
      </c>
      <c r="I20" s="2">
        <v>8</v>
      </c>
      <c r="J20" s="1" t="str" cm="1">
        <f t="array" ref="J20">fn비고(E20,I20)</f>
        <v/>
      </c>
    </row>
    <row r="21" spans="1:13">
      <c r="A21" s="2" t="s">
        <v>114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45991</v>
      </c>
      <c r="G21" s="2">
        <v>12</v>
      </c>
      <c r="H21" s="3">
        <f t="shared" si="0"/>
        <v>162500</v>
      </c>
      <c r="I21" s="2">
        <v>15</v>
      </c>
      <c r="J21" s="1" t="str" cm="1">
        <f t="array" ref="J21">fn비고(E21,I21)</f>
        <v>사은선물 증정</v>
      </c>
    </row>
    <row r="22" spans="1:13">
      <c r="A22" s="2" t="s">
        <v>115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45961</v>
      </c>
      <c r="G22" s="2">
        <v>24</v>
      </c>
      <c r="H22" s="3">
        <f t="shared" si="0"/>
        <v>24000</v>
      </c>
      <c r="I22" s="2">
        <v>20</v>
      </c>
      <c r="J22" s="1" t="str" cm="1">
        <f t="array" ref="J22">fn비고(E22,I22)</f>
        <v/>
      </c>
    </row>
    <row r="23" spans="1:13">
      <c r="A23" s="2" t="s">
        <v>69</v>
      </c>
      <c r="B23" s="2" t="s">
        <v>70</v>
      </c>
      <c r="C23" s="2" t="s">
        <v>109</v>
      </c>
      <c r="D23" s="2" t="s">
        <v>19</v>
      </c>
      <c r="E23" s="3">
        <v>50000</v>
      </c>
      <c r="F23" s="4">
        <v>45930</v>
      </c>
      <c r="G23" s="2">
        <v>12</v>
      </c>
      <c r="H23" s="3">
        <f t="shared" si="0"/>
        <v>32500</v>
      </c>
      <c r="I23" s="2">
        <v>18</v>
      </c>
      <c r="J23" s="1" t="str" cm="1">
        <f t="array" ref="J23">fn비고(E23,I23)</f>
        <v/>
      </c>
    </row>
    <row r="24" spans="1:13">
      <c r="A24" s="2" t="s">
        <v>116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45900</v>
      </c>
      <c r="G24" s="2">
        <v>12</v>
      </c>
      <c r="H24" s="3">
        <f t="shared" si="0"/>
        <v>22750</v>
      </c>
      <c r="I24" s="2">
        <v>16</v>
      </c>
      <c r="J24" s="1" t="str" cm="1">
        <f t="array" ref="J24">fn비고(E24,I24)</f>
        <v/>
      </c>
    </row>
    <row r="25" spans="1:13">
      <c r="A25" s="2" t="s">
        <v>117</v>
      </c>
      <c r="B25" s="2" t="s">
        <v>118</v>
      </c>
      <c r="C25" s="2" t="s">
        <v>25</v>
      </c>
      <c r="D25" s="2" t="s">
        <v>11</v>
      </c>
      <c r="E25" s="3">
        <v>43000</v>
      </c>
      <c r="F25" s="4">
        <v>45869</v>
      </c>
      <c r="G25" s="2">
        <v>18</v>
      </c>
      <c r="H25" s="3">
        <f t="shared" si="0"/>
        <v>34400</v>
      </c>
      <c r="I25" s="2">
        <v>21</v>
      </c>
      <c r="J25" s="1" t="str" cm="1">
        <f t="array" ref="J25">fn비고(E25,I25)</f>
        <v/>
      </c>
    </row>
    <row r="26" spans="1:13">
      <c r="A26" s="2" t="s">
        <v>119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45838</v>
      </c>
      <c r="G26" s="2">
        <v>18</v>
      </c>
      <c r="H26" s="3">
        <f t="shared" si="0"/>
        <v>44000</v>
      </c>
      <c r="I26" s="2">
        <v>18</v>
      </c>
      <c r="J26" s="1" t="str" cm="1">
        <f t="array" ref="J26">fn비고(E26,I26)</f>
        <v/>
      </c>
    </row>
    <row r="28" spans="1:13">
      <c r="A28" s="10" t="s">
        <v>120</v>
      </c>
      <c r="G28" t="s">
        <v>121</v>
      </c>
      <c r="K28" t="s">
        <v>122</v>
      </c>
    </row>
    <row r="29" spans="1:13">
      <c r="A29" s="1" t="s">
        <v>123</v>
      </c>
      <c r="B29" s="6" t="s">
        <v>15</v>
      </c>
      <c r="C29" s="6" t="s">
        <v>19</v>
      </c>
      <c r="D29" s="6" t="s">
        <v>30</v>
      </c>
      <c r="E29" s="6" t="s">
        <v>64</v>
      </c>
      <c r="G29" s="1" t="s">
        <v>123</v>
      </c>
      <c r="H29" s="6" t="s">
        <v>81</v>
      </c>
      <c r="I29" s="6" t="s">
        <v>124</v>
      </c>
      <c r="K29" s="7" t="s">
        <v>125</v>
      </c>
      <c r="L29" s="11" t="s">
        <v>126</v>
      </c>
      <c r="M29" s="12" t="s">
        <v>127</v>
      </c>
    </row>
    <row r="30" spans="1:13">
      <c r="A30" s="1" t="s">
        <v>10</v>
      </c>
      <c r="B30" s="7">
        <f>SUMIFS($I$3:$I$26,$C$3:$C$26,$A30,$D$3:$D$26,B$29)</f>
        <v>15</v>
      </c>
      <c r="C30" s="7">
        <f t="shared" ref="C30:E30" si="1">SUMIFS($I$3:$I$26,$C$3:$C$26,$A30,$D$3:$D$26,C$29)</f>
        <v>10</v>
      </c>
      <c r="D30" s="7">
        <f t="shared" si="1"/>
        <v>30</v>
      </c>
      <c r="E30" s="7">
        <f t="shared" si="1"/>
        <v>18</v>
      </c>
      <c r="G30" s="1" t="s">
        <v>10</v>
      </c>
      <c r="H30" s="7" t="str">
        <f t="array" ref="H30">INDEX($A$3:$I$26,MATCH(MAX(($I$3:$I$26)*($C$3:$C$26=$G30)),($I$3:$I$26)*($C$3:$C$26=$G30),0),2)</f>
        <v>비타민C</v>
      </c>
      <c r="I30" s="7">
        <f t="array" ref="I30">INDEX($A$3:$I$26,MATCH(MAX(($I$3:$I$26)*($C$3:$C$26=$G30)),($I$3:$I$26)*($C$3:$C$26=$G30),0),9)</f>
        <v>30</v>
      </c>
      <c r="J30" s="13"/>
      <c r="K30" s="7">
        <v>10</v>
      </c>
      <c r="L30" s="8" t="s">
        <v>128</v>
      </c>
      <c r="M30" s="14">
        <f t="array" ref="M30">SUM((MID($A$3:$A$26,3,2)*1=K30)*1)/COUNTA($A$3:$A$26)</f>
        <v>0.41666666666666669</v>
      </c>
    </row>
    <row r="31" spans="1:13">
      <c r="A31" s="1" t="s">
        <v>33</v>
      </c>
      <c r="B31" s="7">
        <f t="shared" ref="B31:E34" si="2">SUMIFS($I$3:$I$26,$C$3:$C$26,$A31,$D$3:$D$26,B$29)</f>
        <v>31</v>
      </c>
      <c r="C31" s="7">
        <f t="shared" si="2"/>
        <v>18</v>
      </c>
      <c r="D31" s="7">
        <f t="shared" si="2"/>
        <v>7</v>
      </c>
      <c r="E31" s="7">
        <f t="shared" si="2"/>
        <v>10</v>
      </c>
      <c r="G31" s="1" t="s">
        <v>33</v>
      </c>
      <c r="H31" s="7" t="str">
        <f t="array" ref="H31">INDEX($A$3:$I$26,MATCH(MAX(($I$3:$I$26)*($C$3:$C$26=$G31)),($I$3:$I$26)*($C$3:$C$26=$G31),0),2)</f>
        <v>아사히베리</v>
      </c>
      <c r="I31" s="7">
        <f t="array" ref="I31">INDEX($A$3:$I$26,MATCH(MAX(($I$3:$I$26)*($C$3:$C$26=$G31)),($I$3:$I$26)*($C$3:$C$26=$G31),0),9)</f>
        <v>20</v>
      </c>
      <c r="J31" s="13"/>
      <c r="K31" s="7">
        <v>20</v>
      </c>
      <c r="L31" s="8" t="s">
        <v>129</v>
      </c>
      <c r="M31" s="14">
        <f t="array" ref="M31">SUM((MID($A$3:$A$26,3,2)*1=K31)*1)/COUNTA($A$3:$A$26)</f>
        <v>0.20833333333333334</v>
      </c>
    </row>
    <row r="32" spans="1:13">
      <c r="A32" s="1" t="s">
        <v>18</v>
      </c>
      <c r="B32" s="7">
        <f t="shared" si="2"/>
        <v>23</v>
      </c>
      <c r="C32" s="7">
        <f t="shared" si="2"/>
        <v>9</v>
      </c>
      <c r="D32" s="7">
        <f t="shared" si="2"/>
        <v>8</v>
      </c>
      <c r="E32" s="7">
        <f t="shared" si="2"/>
        <v>23</v>
      </c>
      <c r="G32" s="1" t="s">
        <v>18</v>
      </c>
      <c r="H32" s="7" t="str">
        <f t="array" ref="H32">INDEX($A$3:$I$26,MATCH(MAX(($I$3:$I$26)*($C$3:$C$26=$G32)),($I$3:$I$26)*($C$3:$C$26=$G32),0),2)</f>
        <v>영지버섯 농축액</v>
      </c>
      <c r="I32" s="7">
        <f t="array" ref="I32">INDEX($A$3:$I$26,MATCH(MAX(($I$3:$I$26)*($C$3:$C$26=$G32)),($I$3:$I$26)*($C$3:$C$26=$G32),0),9)</f>
        <v>15</v>
      </c>
      <c r="J32" s="13"/>
      <c r="K32" s="7">
        <v>30</v>
      </c>
      <c r="L32" s="8" t="s">
        <v>130</v>
      </c>
      <c r="M32" s="14">
        <f t="array" ref="M32">SUM((MID($A$3:$A$26,3,2)*1=K32)*1)/COUNTA($A$3:$A$26)</f>
        <v>8.3333333333333329E-2</v>
      </c>
    </row>
    <row r="33" spans="1:13">
      <c r="A33" s="1" t="s">
        <v>22</v>
      </c>
      <c r="B33" s="7">
        <f t="shared" si="2"/>
        <v>20</v>
      </c>
      <c r="C33" s="7">
        <f t="shared" si="2"/>
        <v>45</v>
      </c>
      <c r="D33" s="7">
        <f t="shared" si="2"/>
        <v>8</v>
      </c>
      <c r="E33" s="7">
        <f t="shared" si="2"/>
        <v>10</v>
      </c>
      <c r="G33" s="1" t="s">
        <v>22</v>
      </c>
      <c r="H33" s="7" t="str">
        <f t="array" ref="H33">INDEX($A$3:$I$26,MATCH(MAX(($I$3:$I$26)*($C$3:$C$26=$G33)),($I$3:$I$26)*($C$3:$C$26=$G33),0),2)</f>
        <v>홍삼액</v>
      </c>
      <c r="I33" s="7">
        <f t="array" ref="I33">INDEX($A$3:$I$26,MATCH(MAX(($I$3:$I$26)*($C$3:$C$26=$G33)),($I$3:$I$26)*($C$3:$C$26=$G33),0),9)</f>
        <v>25</v>
      </c>
      <c r="J33" s="13"/>
      <c r="K33" s="7">
        <v>40</v>
      </c>
      <c r="L33" s="8" t="s">
        <v>131</v>
      </c>
      <c r="M33" s="14">
        <f t="array" ref="M33">SUM((MID($A$3:$A$26,3,2)*1=K33)*1)/COUNTA($A$3:$A$26)</f>
        <v>0.29166666666666669</v>
      </c>
    </row>
    <row r="34" spans="1:13">
      <c r="A34" s="1" t="s">
        <v>25</v>
      </c>
      <c r="B34" s="7">
        <f t="shared" si="2"/>
        <v>12</v>
      </c>
      <c r="C34" s="7">
        <f t="shared" si="2"/>
        <v>21</v>
      </c>
      <c r="D34" s="7">
        <f t="shared" si="2"/>
        <v>16</v>
      </c>
      <c r="E34" s="7">
        <f t="shared" si="2"/>
        <v>17</v>
      </c>
      <c r="G34" s="1" t="s">
        <v>25</v>
      </c>
      <c r="H34" s="7" t="str">
        <f t="array" ref="H34">INDEX($A$3:$I$26,MATCH(MAX(($I$3:$I$26)*($C$3:$C$26=$G34)),($I$3:$I$26)*($C$3:$C$26=$G34),0),2)</f>
        <v>홍삼장군</v>
      </c>
      <c r="I34" s="7">
        <f t="array" ref="I34">INDEX($A$3:$I$26,MATCH(MAX(($I$3:$I$26)*($C$3:$C$26=$G34)),($I$3:$I$26)*($C$3:$C$26=$G34),0),9)</f>
        <v>21</v>
      </c>
      <c r="J34" s="1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I22"/>
  <sheetViews>
    <sheetView workbookViewId="0"/>
  </sheetViews>
  <sheetFormatPr defaultRowHeight="16.5"/>
  <cols>
    <col min="2" max="2" width="14.5" customWidth="1"/>
    <col min="3" max="3" width="10.75" customWidth="1"/>
    <col min="4" max="7" width="10.625" bestFit="1" customWidth="1"/>
    <col min="8" max="8" width="10.625" customWidth="1"/>
    <col min="9" max="9" width="6.875" customWidth="1"/>
  </cols>
  <sheetData>
    <row r="2" spans="2:9">
      <c r="B2" s="15" t="s">
        <v>3</v>
      </c>
      <c r="C2" t="s">
        <v>181</v>
      </c>
    </row>
    <row r="4" spans="2:9">
      <c r="B4" s="15" t="s">
        <v>195</v>
      </c>
      <c r="D4" s="15" t="s">
        <v>2</v>
      </c>
    </row>
    <row r="5" spans="2:9">
      <c r="B5" s="15" t="s">
        <v>196</v>
      </c>
      <c r="C5" s="15" t="s">
        <v>5</v>
      </c>
      <c r="D5" t="s">
        <v>22</v>
      </c>
      <c r="E5" t="s">
        <v>25</v>
      </c>
      <c r="F5" t="s">
        <v>18</v>
      </c>
      <c r="G5" t="s">
        <v>33</v>
      </c>
      <c r="H5" t="s">
        <v>10</v>
      </c>
      <c r="I5" t="s">
        <v>182</v>
      </c>
    </row>
    <row r="6" spans="2:9">
      <c r="B6" t="s">
        <v>197</v>
      </c>
      <c r="C6" t="s">
        <v>183</v>
      </c>
      <c r="D6" s="16"/>
      <c r="E6" s="16"/>
      <c r="F6" s="16"/>
      <c r="G6" s="16">
        <v>15</v>
      </c>
      <c r="H6" s="16"/>
      <c r="I6" s="16">
        <v>15</v>
      </c>
    </row>
    <row r="7" spans="2:9">
      <c r="C7" t="s">
        <v>184</v>
      </c>
      <c r="D7" s="16"/>
      <c r="E7" s="16"/>
      <c r="F7" s="16">
        <v>9</v>
      </c>
      <c r="G7" s="16"/>
      <c r="H7" s="16"/>
      <c r="I7" s="16">
        <v>9</v>
      </c>
    </row>
    <row r="8" spans="2:9">
      <c r="C8" t="s">
        <v>185</v>
      </c>
      <c r="D8" s="16"/>
      <c r="E8" s="16">
        <v>12</v>
      </c>
      <c r="F8" s="16">
        <v>9</v>
      </c>
      <c r="G8" s="16">
        <v>10</v>
      </c>
      <c r="H8" s="16"/>
      <c r="I8" s="16">
        <v>31</v>
      </c>
    </row>
    <row r="9" spans="2:9">
      <c r="B9" t="s">
        <v>201</v>
      </c>
      <c r="D9" s="16"/>
      <c r="E9" s="16">
        <v>12</v>
      </c>
      <c r="F9" s="16">
        <v>18</v>
      </c>
      <c r="G9" s="16">
        <v>25</v>
      </c>
      <c r="H9" s="16"/>
      <c r="I9" s="16">
        <v>55</v>
      </c>
    </row>
    <row r="10" spans="2:9">
      <c r="B10" t="s">
        <v>198</v>
      </c>
      <c r="C10" t="s">
        <v>186</v>
      </c>
      <c r="D10" s="16">
        <v>25</v>
      </c>
      <c r="E10" s="16"/>
      <c r="F10" s="16"/>
      <c r="G10" s="16">
        <v>12</v>
      </c>
      <c r="H10" s="16"/>
      <c r="I10" s="16">
        <v>37</v>
      </c>
    </row>
    <row r="11" spans="2:9">
      <c r="C11" t="s">
        <v>187</v>
      </c>
      <c r="D11" s="16"/>
      <c r="E11" s="16"/>
      <c r="F11" s="16"/>
      <c r="G11" s="16"/>
      <c r="H11" s="16">
        <v>30</v>
      </c>
      <c r="I11" s="16">
        <v>30</v>
      </c>
    </row>
    <row r="12" spans="2:9">
      <c r="C12" t="s">
        <v>188</v>
      </c>
      <c r="D12" s="16"/>
      <c r="E12" s="16"/>
      <c r="F12" s="16"/>
      <c r="G12" s="16"/>
      <c r="H12" s="16">
        <v>25</v>
      </c>
      <c r="I12" s="16">
        <v>25</v>
      </c>
    </row>
    <row r="13" spans="2:9">
      <c r="B13" t="s">
        <v>202</v>
      </c>
      <c r="D13" s="16">
        <v>25</v>
      </c>
      <c r="E13" s="16"/>
      <c r="F13" s="16"/>
      <c r="G13" s="16">
        <v>12</v>
      </c>
      <c r="H13" s="16">
        <v>55</v>
      </c>
      <c r="I13" s="16">
        <v>92</v>
      </c>
    </row>
    <row r="14" spans="2:9">
      <c r="B14" t="s">
        <v>199</v>
      </c>
      <c r="C14" t="s">
        <v>189</v>
      </c>
      <c r="D14" s="16"/>
      <c r="E14" s="16">
        <v>34</v>
      </c>
      <c r="F14" s="16"/>
      <c r="G14" s="16"/>
      <c r="H14" s="16"/>
      <c r="I14" s="16">
        <v>34</v>
      </c>
    </row>
    <row r="15" spans="2:9">
      <c r="C15" t="s">
        <v>190</v>
      </c>
      <c r="D15" s="16">
        <v>20</v>
      </c>
      <c r="E15" s="16">
        <v>16</v>
      </c>
      <c r="F15" s="16"/>
      <c r="G15" s="16"/>
      <c r="H15" s="16"/>
      <c r="I15" s="16">
        <v>36</v>
      </c>
    </row>
    <row r="16" spans="2:9">
      <c r="C16" t="s">
        <v>191</v>
      </c>
      <c r="D16" s="16">
        <v>18</v>
      </c>
      <c r="E16" s="16"/>
      <c r="F16" s="16">
        <v>14</v>
      </c>
      <c r="G16" s="16"/>
      <c r="H16" s="16"/>
      <c r="I16" s="16">
        <v>32</v>
      </c>
    </row>
    <row r="17" spans="2:9">
      <c r="B17" t="s">
        <v>203</v>
      </c>
      <c r="D17" s="16">
        <v>38</v>
      </c>
      <c r="E17" s="16">
        <v>50</v>
      </c>
      <c r="F17" s="16">
        <v>14</v>
      </c>
      <c r="G17" s="16"/>
      <c r="H17" s="16"/>
      <c r="I17" s="16">
        <v>102</v>
      </c>
    </row>
    <row r="18" spans="2:9">
      <c r="B18" t="s">
        <v>200</v>
      </c>
      <c r="C18" t="s">
        <v>192</v>
      </c>
      <c r="D18" s="16">
        <v>20</v>
      </c>
      <c r="E18" s="16"/>
      <c r="F18" s="16"/>
      <c r="G18" s="16">
        <v>11</v>
      </c>
      <c r="H18" s="16">
        <v>10</v>
      </c>
      <c r="I18" s="16">
        <v>41</v>
      </c>
    </row>
    <row r="19" spans="2:9">
      <c r="C19" t="s">
        <v>193</v>
      </c>
      <c r="D19" s="16"/>
      <c r="E19" s="16"/>
      <c r="F19" s="16">
        <v>15</v>
      </c>
      <c r="G19" s="16"/>
      <c r="H19" s="16"/>
      <c r="I19" s="16">
        <v>15</v>
      </c>
    </row>
    <row r="20" spans="2:9">
      <c r="C20" t="s">
        <v>194</v>
      </c>
      <c r="D20" s="16"/>
      <c r="E20" s="16"/>
      <c r="F20" s="16">
        <v>8</v>
      </c>
      <c r="G20" s="16"/>
      <c r="H20" s="16">
        <v>8</v>
      </c>
      <c r="I20" s="16">
        <v>16</v>
      </c>
    </row>
    <row r="21" spans="2:9">
      <c r="B21" t="s">
        <v>204</v>
      </c>
      <c r="D21" s="16">
        <v>20</v>
      </c>
      <c r="E21" s="16"/>
      <c r="F21" s="16">
        <v>23</v>
      </c>
      <c r="G21" s="16">
        <v>11</v>
      </c>
      <c r="H21" s="16">
        <v>18</v>
      </c>
      <c r="I21" s="16">
        <v>72</v>
      </c>
    </row>
    <row r="22" spans="2:9">
      <c r="B22" t="s">
        <v>182</v>
      </c>
      <c r="D22" s="16">
        <v>83</v>
      </c>
      <c r="E22" s="16">
        <v>62</v>
      </c>
      <c r="F22" s="16">
        <v>55</v>
      </c>
      <c r="G22" s="16">
        <v>48</v>
      </c>
      <c r="H22" s="16">
        <v>73</v>
      </c>
      <c r="I22" s="16">
        <v>321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H24"/>
  <sheetViews>
    <sheetView workbookViewId="0"/>
  </sheetViews>
  <sheetFormatPr defaultRowHeight="16.5"/>
  <cols>
    <col min="1" max="1" width="17" bestFit="1" customWidth="1"/>
    <col min="2" max="2" width="10.375" bestFit="1" customWidth="1"/>
    <col min="3" max="3" width="10.625" bestFit="1" customWidth="1"/>
    <col min="4" max="4" width="14.5" bestFit="1" customWidth="1"/>
    <col min="5" max="5" width="10.75" bestFit="1" customWidth="1"/>
    <col min="6" max="6" width="13.875" bestFit="1" customWidth="1"/>
    <col min="7" max="7" width="12.5" bestFit="1" customWidth="1"/>
  </cols>
  <sheetData>
    <row r="1" spans="1:8">
      <c r="A1" t="s">
        <v>78</v>
      </c>
    </row>
    <row r="2" spans="1:8">
      <c r="A2" s="18" t="s">
        <v>205</v>
      </c>
      <c r="B2" s="18" t="s">
        <v>2</v>
      </c>
      <c r="C2" s="18" t="s">
        <v>3</v>
      </c>
      <c r="D2" s="18" t="s">
        <v>4</v>
      </c>
      <c r="E2" s="18" t="s">
        <v>5</v>
      </c>
      <c r="F2" s="18" t="s">
        <v>206</v>
      </c>
      <c r="G2" s="18" t="s">
        <v>83</v>
      </c>
      <c r="H2" s="18" t="s">
        <v>7</v>
      </c>
    </row>
    <row r="3" spans="1:8" hidden="1">
      <c r="A3" s="2" t="s">
        <v>207</v>
      </c>
      <c r="B3" s="1" t="s">
        <v>10</v>
      </c>
      <c r="C3" s="1" t="s">
        <v>208</v>
      </c>
      <c r="D3" s="3">
        <v>27000</v>
      </c>
      <c r="E3" s="4">
        <v>45939</v>
      </c>
      <c r="F3" s="2">
        <v>24</v>
      </c>
      <c r="G3" s="3">
        <v>25000</v>
      </c>
      <c r="H3" s="2">
        <v>10</v>
      </c>
    </row>
    <row r="4" spans="1:8">
      <c r="A4" s="2" t="s">
        <v>13</v>
      </c>
      <c r="B4" s="1" t="s">
        <v>33</v>
      </c>
      <c r="C4" s="1" t="s">
        <v>15</v>
      </c>
      <c r="D4" s="3">
        <v>30000</v>
      </c>
      <c r="E4" s="4">
        <v>45662</v>
      </c>
      <c r="F4" s="2">
        <v>18</v>
      </c>
      <c r="G4" s="3">
        <v>27000</v>
      </c>
      <c r="H4" s="2">
        <v>15</v>
      </c>
    </row>
    <row r="5" spans="1:8" hidden="1">
      <c r="A5" s="2" t="s">
        <v>17</v>
      </c>
      <c r="B5" s="1" t="s">
        <v>18</v>
      </c>
      <c r="C5" s="1" t="s">
        <v>19</v>
      </c>
      <c r="D5" s="3">
        <v>50000</v>
      </c>
      <c r="E5" s="4">
        <v>45725</v>
      </c>
      <c r="F5" s="2">
        <v>24</v>
      </c>
      <c r="G5" s="3">
        <v>47000</v>
      </c>
      <c r="H5" s="2">
        <v>9</v>
      </c>
    </row>
    <row r="6" spans="1:8" hidden="1">
      <c r="A6" s="2" t="s">
        <v>21</v>
      </c>
      <c r="B6" s="1" t="s">
        <v>22</v>
      </c>
      <c r="C6" s="1" t="s">
        <v>19</v>
      </c>
      <c r="D6" s="3">
        <v>200000</v>
      </c>
      <c r="E6" s="4">
        <v>45752</v>
      </c>
      <c r="F6" s="2">
        <v>24</v>
      </c>
      <c r="G6" s="3">
        <v>185000</v>
      </c>
      <c r="H6" s="2">
        <v>25</v>
      </c>
    </row>
    <row r="7" spans="1:8" hidden="1">
      <c r="A7" s="2" t="s">
        <v>24</v>
      </c>
      <c r="B7" s="1" t="s">
        <v>25</v>
      </c>
      <c r="C7" s="1" t="s">
        <v>30</v>
      </c>
      <c r="D7" s="3">
        <v>35000</v>
      </c>
      <c r="E7" s="4">
        <v>45746</v>
      </c>
      <c r="F7" s="2">
        <v>12</v>
      </c>
      <c r="G7" s="3">
        <v>32000</v>
      </c>
      <c r="H7" s="2">
        <v>12</v>
      </c>
    </row>
    <row r="8" spans="1:8" hidden="1">
      <c r="A8" s="2" t="s">
        <v>28</v>
      </c>
      <c r="B8" s="1" t="s">
        <v>10</v>
      </c>
      <c r="C8" s="1" t="s">
        <v>30</v>
      </c>
      <c r="D8" s="3">
        <v>65000</v>
      </c>
      <c r="E8" s="4">
        <v>46001</v>
      </c>
      <c r="F8" s="2">
        <v>12</v>
      </c>
      <c r="G8" s="3">
        <v>61000</v>
      </c>
      <c r="H8" s="2">
        <v>8</v>
      </c>
    </row>
    <row r="9" spans="1:8" hidden="1">
      <c r="A9" s="2" t="s">
        <v>32</v>
      </c>
      <c r="B9" s="1" t="s">
        <v>33</v>
      </c>
      <c r="C9" s="1" t="s">
        <v>15</v>
      </c>
      <c r="D9" s="3">
        <v>100000</v>
      </c>
      <c r="E9" s="4">
        <v>45939</v>
      </c>
      <c r="F9" s="2">
        <v>12</v>
      </c>
      <c r="G9" s="3">
        <v>95000</v>
      </c>
      <c r="H9" s="2">
        <v>11</v>
      </c>
    </row>
    <row r="10" spans="1:8">
      <c r="A10" s="2" t="s">
        <v>35</v>
      </c>
      <c r="B10" s="1" t="s">
        <v>18</v>
      </c>
      <c r="C10" s="1" t="s">
        <v>15</v>
      </c>
      <c r="D10" s="3">
        <v>150000</v>
      </c>
      <c r="E10" s="4">
        <v>45909</v>
      </c>
      <c r="F10" s="2">
        <v>12</v>
      </c>
      <c r="G10" s="3">
        <v>141000</v>
      </c>
      <c r="H10" s="2">
        <v>14</v>
      </c>
    </row>
    <row r="11" spans="1:8" hidden="1">
      <c r="A11" s="2" t="s">
        <v>37</v>
      </c>
      <c r="B11" s="1" t="s">
        <v>22</v>
      </c>
      <c r="C11" s="1" t="s">
        <v>19</v>
      </c>
      <c r="D11" s="3">
        <v>80000</v>
      </c>
      <c r="E11" s="4">
        <v>45877</v>
      </c>
      <c r="F11" s="2">
        <v>24</v>
      </c>
      <c r="G11" s="3">
        <v>76000</v>
      </c>
      <c r="H11" s="2">
        <v>20</v>
      </c>
    </row>
    <row r="12" spans="1:8" hidden="1">
      <c r="A12" s="2" t="s">
        <v>40</v>
      </c>
      <c r="B12" s="1" t="s">
        <v>25</v>
      </c>
      <c r="C12" s="1" t="s">
        <v>208</v>
      </c>
      <c r="D12" s="3">
        <v>40000</v>
      </c>
      <c r="E12" s="4">
        <v>45845</v>
      </c>
      <c r="F12" s="2">
        <v>18</v>
      </c>
      <c r="G12" s="3">
        <v>34000</v>
      </c>
      <c r="H12" s="2">
        <v>17</v>
      </c>
    </row>
    <row r="13" spans="1:8" hidden="1">
      <c r="A13" s="2" t="s">
        <v>51</v>
      </c>
      <c r="B13" s="1" t="s">
        <v>10</v>
      </c>
      <c r="C13" s="1" t="s">
        <v>30</v>
      </c>
      <c r="D13" s="3">
        <v>50000</v>
      </c>
      <c r="E13" s="4">
        <v>45814</v>
      </c>
      <c r="F13" s="2">
        <v>18</v>
      </c>
      <c r="G13" s="3">
        <v>47000</v>
      </c>
      <c r="H13" s="2">
        <v>7</v>
      </c>
    </row>
    <row r="14" spans="1:8" hidden="1">
      <c r="A14" s="2" t="s">
        <v>54</v>
      </c>
      <c r="B14" s="1" t="s">
        <v>10</v>
      </c>
      <c r="C14" s="1" t="s">
        <v>30</v>
      </c>
      <c r="D14" s="3">
        <v>38000</v>
      </c>
      <c r="E14" s="4">
        <v>45783</v>
      </c>
      <c r="F14" s="2">
        <v>24</v>
      </c>
      <c r="G14" s="3">
        <v>32000</v>
      </c>
      <c r="H14" s="2">
        <v>30</v>
      </c>
    </row>
    <row r="15" spans="1:8">
      <c r="A15" s="2" t="s">
        <v>56</v>
      </c>
      <c r="B15" s="1" t="s">
        <v>33</v>
      </c>
      <c r="C15" s="1" t="s">
        <v>15</v>
      </c>
      <c r="D15" s="3">
        <v>120000</v>
      </c>
      <c r="E15" s="4">
        <v>45751</v>
      </c>
      <c r="F15" s="2">
        <v>12</v>
      </c>
      <c r="G15" s="3">
        <v>115000</v>
      </c>
      <c r="H15" s="2">
        <v>12</v>
      </c>
    </row>
    <row r="16" spans="1:8" hidden="1">
      <c r="A16" s="2" t="s">
        <v>58</v>
      </c>
      <c r="B16" s="1" t="s">
        <v>33</v>
      </c>
      <c r="C16" s="1" t="s">
        <v>30</v>
      </c>
      <c r="D16" s="3">
        <v>70000</v>
      </c>
      <c r="E16" s="4">
        <v>45719</v>
      </c>
      <c r="F16" s="2">
        <v>12</v>
      </c>
      <c r="G16" s="3">
        <v>65000</v>
      </c>
      <c r="H16" s="2">
        <v>10</v>
      </c>
    </row>
    <row r="17" spans="1:8" hidden="1">
      <c r="A17" s="2" t="s">
        <v>61</v>
      </c>
      <c r="B17" s="1" t="s">
        <v>18</v>
      </c>
      <c r="C17" s="1" t="s">
        <v>15</v>
      </c>
      <c r="D17" s="3">
        <v>170000</v>
      </c>
      <c r="E17" s="4">
        <v>45690</v>
      </c>
      <c r="F17" s="2">
        <v>12</v>
      </c>
      <c r="G17" s="3">
        <v>160000</v>
      </c>
      <c r="H17" s="2">
        <v>9</v>
      </c>
    </row>
    <row r="18" spans="1:8">
      <c r="A18" s="2" t="s">
        <v>63</v>
      </c>
      <c r="B18" s="1" t="s">
        <v>18</v>
      </c>
      <c r="C18" s="1" t="s">
        <v>64</v>
      </c>
      <c r="D18" s="3">
        <v>64000</v>
      </c>
      <c r="E18" s="4">
        <v>46019</v>
      </c>
      <c r="F18" s="2">
        <v>12</v>
      </c>
      <c r="G18" s="3">
        <v>61000</v>
      </c>
      <c r="H18" s="2">
        <v>8</v>
      </c>
    </row>
    <row r="19" spans="1:8" hidden="1">
      <c r="A19" s="2" t="s">
        <v>66</v>
      </c>
      <c r="B19" s="1" t="s">
        <v>18</v>
      </c>
      <c r="C19" s="1" t="s">
        <v>64</v>
      </c>
      <c r="D19" s="3">
        <v>250000</v>
      </c>
      <c r="E19" s="4">
        <v>45991</v>
      </c>
      <c r="F19" s="2">
        <v>12</v>
      </c>
      <c r="G19" s="3">
        <v>242000</v>
      </c>
      <c r="H19" s="2">
        <v>15</v>
      </c>
    </row>
    <row r="20" spans="1:8" hidden="1">
      <c r="A20" s="2" t="s">
        <v>68</v>
      </c>
      <c r="B20" s="1" t="s">
        <v>22</v>
      </c>
      <c r="C20" s="1" t="s">
        <v>19</v>
      </c>
      <c r="D20" s="3">
        <v>30000</v>
      </c>
      <c r="E20" s="4">
        <v>45961</v>
      </c>
      <c r="F20" s="2">
        <v>24</v>
      </c>
      <c r="G20" s="3">
        <v>28000</v>
      </c>
      <c r="H20" s="2">
        <v>20</v>
      </c>
    </row>
    <row r="21" spans="1:8" hidden="1">
      <c r="A21" s="2" t="s">
        <v>70</v>
      </c>
      <c r="B21" s="1" t="s">
        <v>22</v>
      </c>
      <c r="C21" s="1" t="s">
        <v>19</v>
      </c>
      <c r="D21" s="3">
        <v>50000</v>
      </c>
      <c r="E21" s="4">
        <v>45930</v>
      </c>
      <c r="F21" s="2">
        <v>12</v>
      </c>
      <c r="G21" s="3">
        <v>46000</v>
      </c>
      <c r="H21" s="2">
        <v>18</v>
      </c>
    </row>
    <row r="22" spans="1:8" hidden="1">
      <c r="A22" s="2" t="s">
        <v>72</v>
      </c>
      <c r="B22" s="1" t="s">
        <v>25</v>
      </c>
      <c r="C22" s="1" t="s">
        <v>30</v>
      </c>
      <c r="D22" s="3">
        <v>35000</v>
      </c>
      <c r="E22" s="4">
        <v>45900</v>
      </c>
      <c r="F22" s="2">
        <v>12</v>
      </c>
      <c r="G22" s="3">
        <v>31000</v>
      </c>
      <c r="H22" s="2">
        <v>16</v>
      </c>
    </row>
    <row r="23" spans="1:8">
      <c r="A23" s="2" t="s">
        <v>209</v>
      </c>
      <c r="B23" s="1" t="s">
        <v>25</v>
      </c>
      <c r="C23" s="1" t="s">
        <v>30</v>
      </c>
      <c r="D23" s="3">
        <v>43000</v>
      </c>
      <c r="E23" s="4">
        <v>45869</v>
      </c>
      <c r="F23" s="2">
        <v>18</v>
      </c>
      <c r="G23" s="3">
        <v>39000</v>
      </c>
      <c r="H23" s="2">
        <v>17</v>
      </c>
    </row>
    <row r="24" spans="1:8">
      <c r="A24" s="2" t="s">
        <v>77</v>
      </c>
      <c r="B24" s="1" t="s">
        <v>10</v>
      </c>
      <c r="C24" s="1" t="s">
        <v>64</v>
      </c>
      <c r="D24" s="3">
        <v>55000</v>
      </c>
      <c r="E24" s="4">
        <v>45838</v>
      </c>
      <c r="F24" s="2">
        <v>18</v>
      </c>
      <c r="G24" s="3">
        <v>51000</v>
      </c>
      <c r="H24" s="2">
        <v>18</v>
      </c>
    </row>
  </sheetData>
  <autoFilter ref="A2:H24" xr:uid="{00000000-0009-0000-0000-000004000000}">
    <filterColumn colId="0">
      <customFilters>
        <customFilter val="*아*"/>
        <customFilter val="*오*"/>
      </customFilters>
    </filterColumn>
  </autoFilter>
  <phoneticPr fontId="1" type="noConversion"/>
  <dataValidations count="1">
    <dataValidation type="whole" operator="lessThanOrEqual" allowBlank="1" showInputMessage="1" showErrorMessage="1" errorTitle="유통기한" error="유통기한은 24개월 이하로 입력합니다." promptTitle="유통기한" prompt="24개월 이하" sqref="F3:F24" xr:uid="{00000000-0002-0000-0400-000000000000}">
      <formula1>24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D7"/>
  <sheetViews>
    <sheetView workbookViewId="0">
      <selection activeCell="H43" sqref="H43"/>
    </sheetView>
  </sheetViews>
  <sheetFormatPr defaultRowHeight="16.5"/>
  <cols>
    <col min="2" max="2" width="10.375" bestFit="1" customWidth="1"/>
  </cols>
  <sheetData>
    <row r="1" spans="2:4">
      <c r="B1" t="s">
        <v>172</v>
      </c>
    </row>
    <row r="2" spans="2:4">
      <c r="B2" s="1" t="s">
        <v>173</v>
      </c>
      <c r="C2" s="7" t="s">
        <v>174</v>
      </c>
      <c r="D2" s="7" t="s">
        <v>175</v>
      </c>
    </row>
    <row r="3" spans="2:4">
      <c r="B3" s="1" t="s">
        <v>10</v>
      </c>
      <c r="C3" s="8">
        <v>158</v>
      </c>
      <c r="D3" s="14">
        <f>C3/SUM($C$3:$C$7)</f>
        <v>0.16155419222903886</v>
      </c>
    </row>
    <row r="4" spans="2:4">
      <c r="B4" s="1" t="s">
        <v>33</v>
      </c>
      <c r="C4" s="8">
        <v>100</v>
      </c>
      <c r="D4" s="14">
        <f t="shared" ref="D4:D7" si="0">C4/SUM($C$3:$C$7)</f>
        <v>0.10224948875255624</v>
      </c>
    </row>
    <row r="5" spans="2:4">
      <c r="B5" s="1" t="s">
        <v>18</v>
      </c>
      <c r="C5" s="8">
        <v>250</v>
      </c>
      <c r="D5" s="14">
        <f t="shared" si="0"/>
        <v>0.2556237218813906</v>
      </c>
    </row>
    <row r="6" spans="2:4">
      <c r="B6" s="1" t="s">
        <v>22</v>
      </c>
      <c r="C6" s="8">
        <v>350</v>
      </c>
      <c r="D6" s="14">
        <f t="shared" si="0"/>
        <v>0.35787321063394684</v>
      </c>
    </row>
    <row r="7" spans="2:4">
      <c r="B7" s="1" t="s">
        <v>25</v>
      </c>
      <c r="C7" s="8">
        <v>120</v>
      </c>
      <c r="D7" s="14">
        <f t="shared" si="0"/>
        <v>0.12269938650306748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5:H29"/>
  <sheetViews>
    <sheetView workbookViewId="0"/>
  </sheetViews>
  <sheetFormatPr defaultRowHeight="16.5"/>
  <cols>
    <col min="1" max="1" width="10.625" bestFit="1" customWidth="1"/>
    <col min="2" max="2" width="17" bestFit="1" customWidth="1"/>
    <col min="3" max="4" width="10.375" bestFit="1" customWidth="1"/>
    <col min="5" max="5" width="14.375" bestFit="1" customWidth="1"/>
    <col min="6" max="6" width="14.625" bestFit="1" customWidth="1"/>
    <col min="7" max="7" width="13.625" bestFit="1" customWidth="1"/>
    <col min="8" max="8" width="8.5" bestFit="1" customWidth="1"/>
  </cols>
  <sheetData>
    <row r="5" spans="1:8">
      <c r="A5" s="1" t="s">
        <v>132</v>
      </c>
      <c r="B5" s="1" t="s">
        <v>133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134</v>
      </c>
      <c r="H5" s="1" t="s">
        <v>7</v>
      </c>
    </row>
    <row r="6" spans="1:8">
      <c r="A6" s="2" t="s">
        <v>135</v>
      </c>
      <c r="B6" s="2" t="s">
        <v>136</v>
      </c>
      <c r="C6" s="2" t="s">
        <v>10</v>
      </c>
      <c r="D6" s="2" t="s">
        <v>137</v>
      </c>
      <c r="E6" s="19">
        <v>27000</v>
      </c>
      <c r="F6" s="20">
        <v>45939</v>
      </c>
      <c r="G6" s="2">
        <v>24</v>
      </c>
      <c r="H6" s="2">
        <v>10</v>
      </c>
    </row>
    <row r="7" spans="1:8">
      <c r="A7" s="2" t="s">
        <v>138</v>
      </c>
      <c r="B7" s="2" t="s">
        <v>13</v>
      </c>
      <c r="C7" s="2" t="s">
        <v>139</v>
      </c>
      <c r="D7" s="2" t="s">
        <v>15</v>
      </c>
      <c r="E7" s="19">
        <v>30000</v>
      </c>
      <c r="F7" s="20">
        <v>45662</v>
      </c>
      <c r="G7" s="2">
        <v>18</v>
      </c>
      <c r="H7" s="2">
        <v>15</v>
      </c>
    </row>
    <row r="8" spans="1:8">
      <c r="A8" s="2" t="s">
        <v>140</v>
      </c>
      <c r="B8" s="2" t="s">
        <v>17</v>
      </c>
      <c r="C8" s="2" t="s">
        <v>18</v>
      </c>
      <c r="D8" s="2" t="s">
        <v>19</v>
      </c>
      <c r="E8" s="19">
        <v>50000</v>
      </c>
      <c r="F8" s="20">
        <v>45725</v>
      </c>
      <c r="G8" s="2">
        <v>36</v>
      </c>
      <c r="H8" s="2">
        <v>9</v>
      </c>
    </row>
    <row r="9" spans="1:8">
      <c r="A9" s="2" t="s">
        <v>141</v>
      </c>
      <c r="B9" s="2" t="s">
        <v>21</v>
      </c>
      <c r="C9" s="2" t="s">
        <v>22</v>
      </c>
      <c r="D9" s="2" t="s">
        <v>19</v>
      </c>
      <c r="E9" s="19">
        <v>200000</v>
      </c>
      <c r="F9" s="20">
        <v>45752</v>
      </c>
      <c r="G9" s="2">
        <v>24</v>
      </c>
      <c r="H9" s="2">
        <v>25</v>
      </c>
    </row>
    <row r="10" spans="1:8">
      <c r="A10" s="2" t="s">
        <v>142</v>
      </c>
      <c r="B10" s="2" t="s">
        <v>24</v>
      </c>
      <c r="C10" s="2" t="s">
        <v>25</v>
      </c>
      <c r="D10" s="2" t="s">
        <v>143</v>
      </c>
      <c r="E10" s="19">
        <v>35000</v>
      </c>
      <c r="F10" s="20">
        <v>45746</v>
      </c>
      <c r="G10" s="2">
        <v>12</v>
      </c>
      <c r="H10" s="2">
        <v>12</v>
      </c>
    </row>
    <row r="11" spans="1:8">
      <c r="A11" s="2" t="s">
        <v>144</v>
      </c>
      <c r="B11" s="2" t="s">
        <v>28</v>
      </c>
      <c r="C11" s="2" t="s">
        <v>145</v>
      </c>
      <c r="D11" s="2" t="s">
        <v>30</v>
      </c>
      <c r="E11" s="19">
        <v>65000</v>
      </c>
      <c r="F11" s="20">
        <v>46001</v>
      </c>
      <c r="G11" s="2">
        <v>12</v>
      </c>
      <c r="H11" s="2">
        <v>8</v>
      </c>
    </row>
    <row r="12" spans="1:8">
      <c r="A12" s="2" t="s">
        <v>146</v>
      </c>
      <c r="B12" s="2" t="s">
        <v>32</v>
      </c>
      <c r="C12" s="2" t="s">
        <v>33</v>
      </c>
      <c r="D12" s="2" t="s">
        <v>15</v>
      </c>
      <c r="E12" s="19">
        <v>100000</v>
      </c>
      <c r="F12" s="20">
        <v>45939</v>
      </c>
      <c r="G12" s="2">
        <v>12</v>
      </c>
      <c r="H12" s="2">
        <v>11</v>
      </c>
    </row>
    <row r="13" spans="1:8">
      <c r="A13" s="2" t="s">
        <v>147</v>
      </c>
      <c r="B13" s="2" t="s">
        <v>35</v>
      </c>
      <c r="C13" s="2" t="s">
        <v>18</v>
      </c>
      <c r="D13" s="2" t="s">
        <v>15</v>
      </c>
      <c r="E13" s="19">
        <v>150000</v>
      </c>
      <c r="F13" s="20">
        <v>45909</v>
      </c>
      <c r="G13" s="2">
        <v>12</v>
      </c>
      <c r="H13" s="2">
        <v>14</v>
      </c>
    </row>
    <row r="14" spans="1:8">
      <c r="A14" s="2" t="s">
        <v>148</v>
      </c>
      <c r="B14" s="2" t="s">
        <v>37</v>
      </c>
      <c r="C14" s="2" t="s">
        <v>22</v>
      </c>
      <c r="D14" s="2" t="s">
        <v>143</v>
      </c>
      <c r="E14" s="19">
        <v>80000</v>
      </c>
      <c r="F14" s="20">
        <v>45877</v>
      </c>
      <c r="G14" s="2">
        <v>24</v>
      </c>
      <c r="H14" s="2">
        <v>20</v>
      </c>
    </row>
    <row r="15" spans="1:8">
      <c r="A15" s="2" t="s">
        <v>149</v>
      </c>
      <c r="B15" s="2" t="s">
        <v>40</v>
      </c>
      <c r="C15" s="2" t="s">
        <v>25</v>
      </c>
      <c r="D15" s="2" t="s">
        <v>150</v>
      </c>
      <c r="E15" s="19">
        <v>40000</v>
      </c>
      <c r="F15" s="20">
        <v>45845</v>
      </c>
      <c r="G15" s="2">
        <v>18</v>
      </c>
      <c r="H15" s="2">
        <v>17</v>
      </c>
    </row>
    <row r="16" spans="1:8">
      <c r="A16" s="2" t="s">
        <v>151</v>
      </c>
      <c r="B16" s="2" t="s">
        <v>152</v>
      </c>
      <c r="C16" s="2" t="s">
        <v>153</v>
      </c>
      <c r="D16" s="2" t="s">
        <v>154</v>
      </c>
      <c r="E16" s="19">
        <v>180000</v>
      </c>
      <c r="F16" s="20">
        <v>45778</v>
      </c>
      <c r="G16" s="2">
        <v>12</v>
      </c>
      <c r="H16" s="2">
        <v>10</v>
      </c>
    </row>
    <row r="17" spans="1:8">
      <c r="A17" s="2" t="s">
        <v>155</v>
      </c>
      <c r="B17" s="2" t="s">
        <v>156</v>
      </c>
      <c r="C17" s="2" t="s">
        <v>153</v>
      </c>
      <c r="D17" s="2" t="s">
        <v>157</v>
      </c>
      <c r="E17" s="19">
        <v>45000</v>
      </c>
      <c r="F17" s="20">
        <v>45810</v>
      </c>
      <c r="G17" s="2">
        <v>12</v>
      </c>
      <c r="H17" s="2">
        <v>8</v>
      </c>
    </row>
    <row r="18" spans="1:8">
      <c r="A18" s="2" t="s">
        <v>158</v>
      </c>
      <c r="B18" s="2" t="s">
        <v>51</v>
      </c>
      <c r="C18" s="2" t="s">
        <v>159</v>
      </c>
      <c r="D18" s="2" t="s">
        <v>30</v>
      </c>
      <c r="E18" s="19">
        <v>50000</v>
      </c>
      <c r="F18" s="20">
        <v>45814</v>
      </c>
      <c r="G18" s="2">
        <v>18</v>
      </c>
      <c r="H18" s="2">
        <v>7</v>
      </c>
    </row>
    <row r="19" spans="1:8">
      <c r="A19" s="2" t="s">
        <v>160</v>
      </c>
      <c r="B19" s="2" t="s">
        <v>54</v>
      </c>
      <c r="C19" s="2" t="s">
        <v>10</v>
      </c>
      <c r="D19" s="2" t="s">
        <v>30</v>
      </c>
      <c r="E19" s="19">
        <v>38000</v>
      </c>
      <c r="F19" s="20">
        <v>45783</v>
      </c>
      <c r="G19" s="2">
        <v>24</v>
      </c>
      <c r="H19" s="2">
        <v>30</v>
      </c>
    </row>
    <row r="20" spans="1:8">
      <c r="A20" s="2" t="s">
        <v>161</v>
      </c>
      <c r="B20" s="2" t="s">
        <v>56</v>
      </c>
      <c r="C20" s="2" t="s">
        <v>33</v>
      </c>
      <c r="D20" s="2" t="s">
        <v>15</v>
      </c>
      <c r="E20" s="19">
        <v>120000</v>
      </c>
      <c r="F20" s="20">
        <v>45751</v>
      </c>
      <c r="G20" s="2">
        <v>12</v>
      </c>
      <c r="H20" s="2">
        <v>20</v>
      </c>
    </row>
    <row r="21" spans="1:8">
      <c r="A21" s="2" t="s">
        <v>162</v>
      </c>
      <c r="B21" s="2" t="s">
        <v>58</v>
      </c>
      <c r="C21" s="2" t="s">
        <v>33</v>
      </c>
      <c r="D21" s="2" t="s">
        <v>150</v>
      </c>
      <c r="E21" s="19">
        <v>70000</v>
      </c>
      <c r="F21" s="20">
        <v>45719</v>
      </c>
      <c r="G21" s="2">
        <v>12</v>
      </c>
      <c r="H21" s="2">
        <v>10</v>
      </c>
    </row>
    <row r="22" spans="1:8">
      <c r="A22" s="2" t="s">
        <v>163</v>
      </c>
      <c r="B22" s="2" t="s">
        <v>61</v>
      </c>
      <c r="C22" s="2" t="s">
        <v>18</v>
      </c>
      <c r="D22" s="2" t="s">
        <v>15</v>
      </c>
      <c r="E22" s="19">
        <v>170000</v>
      </c>
      <c r="F22" s="20">
        <v>45690</v>
      </c>
      <c r="G22" s="2">
        <v>12</v>
      </c>
      <c r="H22" s="2">
        <v>9</v>
      </c>
    </row>
    <row r="23" spans="1:8">
      <c r="A23" s="2" t="s">
        <v>164</v>
      </c>
      <c r="B23" s="2" t="s">
        <v>63</v>
      </c>
      <c r="C23" s="2" t="s">
        <v>18</v>
      </c>
      <c r="D23" s="2" t="s">
        <v>64</v>
      </c>
      <c r="E23" s="19">
        <v>64000</v>
      </c>
      <c r="F23" s="20">
        <v>46019</v>
      </c>
      <c r="G23" s="2">
        <v>12</v>
      </c>
      <c r="H23" s="2">
        <v>8</v>
      </c>
    </row>
    <row r="24" spans="1:8">
      <c r="A24" s="2" t="s">
        <v>165</v>
      </c>
      <c r="B24" s="2" t="s">
        <v>66</v>
      </c>
      <c r="C24" s="2" t="s">
        <v>18</v>
      </c>
      <c r="D24" s="2" t="s">
        <v>64</v>
      </c>
      <c r="E24" s="19">
        <v>250000</v>
      </c>
      <c r="F24" s="20">
        <v>45991</v>
      </c>
      <c r="G24" s="2">
        <v>12</v>
      </c>
      <c r="H24" s="2">
        <v>15</v>
      </c>
    </row>
    <row r="25" spans="1:8">
      <c r="A25" s="2" t="s">
        <v>166</v>
      </c>
      <c r="B25" s="2" t="s">
        <v>68</v>
      </c>
      <c r="C25" s="2" t="s">
        <v>22</v>
      </c>
      <c r="D25" s="2" t="s">
        <v>19</v>
      </c>
      <c r="E25" s="19">
        <v>30000</v>
      </c>
      <c r="F25" s="20">
        <v>45961</v>
      </c>
      <c r="G25" s="2">
        <v>24</v>
      </c>
      <c r="H25" s="2">
        <v>20</v>
      </c>
    </row>
    <row r="26" spans="1:8">
      <c r="A26" s="2" t="s">
        <v>167</v>
      </c>
      <c r="B26" s="2" t="s">
        <v>70</v>
      </c>
      <c r="C26" s="2" t="s">
        <v>159</v>
      </c>
      <c r="D26" s="2" t="s">
        <v>19</v>
      </c>
      <c r="E26" s="19">
        <v>50000</v>
      </c>
      <c r="F26" s="20">
        <v>45930</v>
      </c>
      <c r="G26" s="2">
        <v>12</v>
      </c>
      <c r="H26" s="2">
        <v>18</v>
      </c>
    </row>
    <row r="27" spans="1:8">
      <c r="A27" s="2" t="s">
        <v>168</v>
      </c>
      <c r="B27" s="2" t="s">
        <v>72</v>
      </c>
      <c r="C27" s="2" t="s">
        <v>25</v>
      </c>
      <c r="D27" s="2" t="s">
        <v>30</v>
      </c>
      <c r="E27" s="19">
        <v>35000</v>
      </c>
      <c r="F27" s="20">
        <v>45900</v>
      </c>
      <c r="G27" s="2">
        <v>12</v>
      </c>
      <c r="H27" s="2">
        <v>16</v>
      </c>
    </row>
    <row r="28" spans="1:8">
      <c r="A28" s="2" t="s">
        <v>169</v>
      </c>
      <c r="B28" s="2" t="s">
        <v>170</v>
      </c>
      <c r="C28" s="2" t="s">
        <v>25</v>
      </c>
      <c r="D28" s="2" t="s">
        <v>137</v>
      </c>
      <c r="E28" s="19">
        <v>43000</v>
      </c>
      <c r="F28" s="20">
        <v>45869</v>
      </c>
      <c r="G28" s="2">
        <v>18</v>
      </c>
      <c r="H28" s="2">
        <v>21</v>
      </c>
    </row>
    <row r="29" spans="1:8">
      <c r="A29" s="2" t="s">
        <v>171</v>
      </c>
      <c r="B29" s="2" t="s">
        <v>77</v>
      </c>
      <c r="C29" s="2" t="s">
        <v>10</v>
      </c>
      <c r="D29" s="2" t="s">
        <v>64</v>
      </c>
      <c r="E29" s="19">
        <v>55000</v>
      </c>
      <c r="F29" s="20">
        <v>45838</v>
      </c>
      <c r="G29" s="2">
        <v>18</v>
      </c>
      <c r="H29" s="2">
        <v>18</v>
      </c>
    </row>
  </sheetData>
  <dataConsolidate function="average" topLabels="1">
    <dataRefs count="1">
      <dataRef ref="D2:H26" sheet="분석작업-2" r:id="rId1"/>
    </dataRefs>
  </dataConsolidate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가격서식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날짜서식">
                <anchor moveWithCells="1" sizeWithCells="1">
                  <from>
                    <xdr:col>4</xdr:col>
                    <xdr:colOff>0</xdr:colOff>
                    <xdr:row>0</xdr:row>
                    <xdr:rowOff>209550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J10"/>
  <sheetViews>
    <sheetView workbookViewId="0"/>
  </sheetViews>
  <sheetFormatPr defaultRowHeight="16.5"/>
  <cols>
    <col min="3" max="3" width="10.625" bestFit="1" customWidth="1"/>
    <col min="6" max="6" width="13.625" bestFit="1" customWidth="1"/>
    <col min="7" max="7" width="12.125" bestFit="1" customWidth="1"/>
    <col min="10" max="10" width="10.375" bestFit="1" customWidth="1"/>
  </cols>
  <sheetData>
    <row r="2" spans="1:10">
      <c r="A2" s="1" t="s">
        <v>2</v>
      </c>
      <c r="B2" s="1" t="s">
        <v>176</v>
      </c>
      <c r="C2" s="1" t="s">
        <v>5</v>
      </c>
      <c r="D2" s="1" t="s">
        <v>177</v>
      </c>
      <c r="E2" s="1" t="s">
        <v>7</v>
      </c>
      <c r="F2" s="1" t="s">
        <v>178</v>
      </c>
      <c r="G2" s="1" t="s">
        <v>179</v>
      </c>
    </row>
    <row r="3" spans="1:10">
      <c r="C3" s="5"/>
      <c r="D3" s="17"/>
    </row>
    <row r="6" spans="1:10">
      <c r="J6" s="1" t="s">
        <v>10</v>
      </c>
    </row>
    <row r="7" spans="1:10">
      <c r="J7" s="1" t="s">
        <v>33</v>
      </c>
    </row>
    <row r="8" spans="1:10">
      <c r="J8" s="1" t="s">
        <v>18</v>
      </c>
    </row>
    <row r="9" spans="1:10">
      <c r="J9" s="1" t="s">
        <v>22</v>
      </c>
    </row>
    <row r="10" spans="1:10">
      <c r="J10" s="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md판매등록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771525</xdr:colOff>
                <xdr:row>3</xdr:row>
                <xdr:rowOff>9525</xdr:rowOff>
              </to>
            </anchor>
          </controlPr>
        </control>
      </mc:Choice>
      <mc:Fallback>
        <control shapeId="7170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2021-06-18T06:45:49Z</cp:lastPrinted>
  <dcterms:created xsi:type="dcterms:W3CDTF">2020-04-07T06:00:22Z</dcterms:created>
  <dcterms:modified xsi:type="dcterms:W3CDTF">2023-11-06T12:39:11Z</dcterms:modified>
</cp:coreProperties>
</file>