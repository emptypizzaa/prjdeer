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EA32BA2D-76BE-4633-9EE1-06E7D30B93D9}" xr6:coauthVersionLast="47" xr6:coauthVersionMax="47" xr10:uidLastSave="{00000000-0000-0000-0000-000000000000}"/>
  <bookViews>
    <workbookView xWindow="11895" yWindow="1320" windowWidth="29130" windowHeight="16500" tabRatio="803" xr2:uid="{00000000-000D-0000-FFFF-FFFF00000000}"/>
  </bookViews>
  <sheets>
    <sheet name="기본작업-1" sheetId="9" r:id="rId1"/>
    <sheet name="기본작업-2" sheetId="2" r:id="rId2"/>
    <sheet name="계산작업" sheetId="3" r:id="rId3"/>
    <sheet name="분석작업-1" sheetId="8" r:id="rId4"/>
    <sheet name="분석작업-2" sheetId="11" r:id="rId5"/>
    <sheet name="기타작업-1" sheetId="6" r:id="rId6"/>
    <sheet name="기타작업-2" sheetId="10" r:id="rId7"/>
    <sheet name="기타작업-3" sheetId="7" r:id="rId8"/>
  </sheets>
  <functionGroups builtInGroupCount="19"/>
  <definedNames>
    <definedName name="_xlnm._FilterDatabase" localSheetId="0" hidden="1">'기본작업-1'!$A$2:$H$32</definedName>
    <definedName name="_xlnm._FilterDatabase" localSheetId="1" hidden="1">'기본작업-2'!$A$2:$H$32</definedName>
    <definedName name="_xlnm._FilterDatabase" localSheetId="4" hidden="1">'분석작업-2'!$A$2:$H$44</definedName>
    <definedName name="_xlnm.Criteria" localSheetId="0">'기본작업-1'!$J$2:$J$3</definedName>
    <definedName name="_xlnm.Criteria" localSheetId="1">'기본작업-2'!#REF!</definedName>
    <definedName name="_xlnm.Extract" localSheetId="0">'기본작업-1'!$J$5:$M$5</definedName>
    <definedName name="_xlnm.Extract" localSheetId="1">'기본작업-2'!#REF!</definedName>
    <definedName name="_xlnm.Print_Area" localSheetId="1">'기본작업-2'!$A$2:$H$32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9" l="1"/>
  <c r="H45" i="11"/>
  <c r="H42" i="11"/>
  <c r="H39" i="11"/>
  <c r="H36" i="11"/>
  <c r="H33" i="11"/>
  <c r="H27" i="11"/>
  <c r="H23" i="11"/>
  <c r="H20" i="11"/>
  <c r="H15" i="11"/>
  <c r="H10" i="11"/>
  <c r="H7" i="11"/>
  <c r="H5" i="11"/>
  <c r="H47" i="11" s="1"/>
  <c r="G46" i="11"/>
  <c r="G34" i="11"/>
  <c r="G16" i="11"/>
  <c r="G48" i="11" s="1"/>
  <c r="L4" i="3" a="1"/>
  <c r="L14" i="3" a="1"/>
  <c r="L24" i="3" a="1"/>
  <c r="L20" i="3" a="1"/>
  <c r="L5" i="3" a="1"/>
  <c r="L15" i="3" a="1"/>
  <c r="L25" i="3" a="1"/>
  <c r="L6" i="3" a="1"/>
  <c r="L16" i="3" a="1"/>
  <c r="L26" i="3" a="1"/>
  <c r="L7" i="3" a="1"/>
  <c r="L17" i="3" a="1"/>
  <c r="L27" i="3" a="1"/>
  <c r="L19" i="3" a="1"/>
  <c r="L10" i="3" a="1"/>
  <c r="L11" i="3" a="1"/>
  <c r="L31" i="3" a="1"/>
  <c r="L22" i="3" a="1"/>
  <c r="L13" i="3" a="1"/>
  <c r="L8" i="3" a="1"/>
  <c r="L18" i="3" a="1"/>
  <c r="L28" i="3" a="1"/>
  <c r="L9" i="3" a="1"/>
  <c r="L29" i="3" a="1"/>
  <c r="L30" i="3" a="1"/>
  <c r="L21" i="3" a="1"/>
  <c r="L12" i="3" a="1"/>
  <c r="L32" i="3" a="1"/>
  <c r="L23" i="3" a="1"/>
  <c r="L3" i="3" a="1"/>
  <c r="L23" i="3" l="1"/>
  <c r="L32" i="3"/>
  <c r="L12" i="3"/>
  <c r="L21" i="3"/>
  <c r="L30" i="3"/>
  <c r="L29" i="3"/>
  <c r="L9" i="3"/>
  <c r="L28" i="3"/>
  <c r="L18" i="3"/>
  <c r="L8" i="3"/>
  <c r="L13" i="3"/>
  <c r="L22" i="3"/>
  <c r="L31" i="3"/>
  <c r="L11" i="3"/>
  <c r="L10" i="3"/>
  <c r="L19" i="3"/>
  <c r="L27" i="3"/>
  <c r="L17" i="3"/>
  <c r="L7" i="3"/>
  <c r="L26" i="3"/>
  <c r="L16" i="3"/>
  <c r="L6" i="3"/>
  <c r="L25" i="3"/>
  <c r="L15" i="3"/>
  <c r="L5" i="3"/>
  <c r="L20" i="3"/>
  <c r="L24" i="3"/>
  <c r="L14" i="3"/>
  <c r="L4" i="3"/>
  <c r="L3" i="3"/>
  <c r="H36" i="3" a="1"/>
  <c r="H36" i="3" s="1"/>
  <c r="I36" i="3" a="1"/>
  <c r="I36" i="3" s="1"/>
  <c r="J36" i="3" a="1"/>
  <c r="J36" i="3" s="1"/>
  <c r="H37" i="3" a="1"/>
  <c r="H37" i="3" s="1"/>
  <c r="I37" i="3" a="1"/>
  <c r="I37" i="3" s="1"/>
  <c r="J37" i="3" a="1"/>
  <c r="J37" i="3" s="1"/>
  <c r="H38" i="3" a="1"/>
  <c r="H38" i="3" s="1"/>
  <c r="I38" i="3" a="1"/>
  <c r="I38" i="3" s="1"/>
  <c r="J38" i="3" a="1"/>
  <c r="J38" i="3" s="1"/>
  <c r="G37" i="3" a="1"/>
  <c r="G37" i="3" s="1"/>
  <c r="G38" i="3" a="1"/>
  <c r="G38" i="3" s="1"/>
  <c r="G36" i="3" a="1"/>
  <c r="G36" i="3" s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" i="3"/>
  <c r="D11" i="6" l="1"/>
  <c r="D10" i="6"/>
  <c r="D9" i="6"/>
  <c r="D8" i="6"/>
  <c r="D7" i="6"/>
  <c r="D6" i="6"/>
  <c r="D5" i="6"/>
  <c r="D4" i="6"/>
  <c r="D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1" type="1" refreshedVersion="6">
    <dbPr connection="DSN=MS Access Database;DBQ=E:\영진(2021년)\1급\excel\스프레드시트(파일) - 최종\기출문제\학원.accdb;DefaultDir=E:\영진(2021년)\1급\excel\스프레드시트(파일) - 최종\기출문제;DriverId=25;FIL=MS Access;MaxBufferSize=2048;PageTimeout=5;" command="SELECT 서초점.학년, 서초점.수업시작일, 서초점.강의과목, 서초점.수강인원_x000d__x000a_FROM 서초점 서초점"/>
  </connection>
  <connection id="2" xr16:uid="{C52EDF63-A133-4BCD-A14C-8A374E9750EE}" sourceFile="E:\영진(2024년)\1급\24년1급실기\3권_문제집\스프레드시트 상시시험문제\학원.accdb" keepAlive="1" name="학원" type="5" refreshedVersion="7" background="1">
    <dbPr connection="Provider=Microsoft.ACE.OLEDB.12.0;User ID=Admin;Data Source=E:\영진(2024년)\1급\24년1급실기\3권_문제집\스프레드시트 상시시험문제\학원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서초점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<sst xmlns="http://schemas.openxmlformats.org/spreadsheetml/2006/main" count="771" uniqueCount="178">
  <si>
    <t>강의코드</t>
  </si>
  <si>
    <t>수업시작일</t>
  </si>
  <si>
    <t>강사명</t>
  </si>
  <si>
    <t>학년</t>
  </si>
  <si>
    <t>강의과목</t>
  </si>
  <si>
    <t>현재강의수</t>
  </si>
  <si>
    <t>수강인원</t>
  </si>
  <si>
    <t>전체강의수</t>
  </si>
  <si>
    <t>M1-19-10KO</t>
  </si>
  <si>
    <t>황수경</t>
  </si>
  <si>
    <t>중1</t>
  </si>
  <si>
    <t>국어</t>
  </si>
  <si>
    <t>M2-20-01EN</t>
  </si>
  <si>
    <t>이가연</t>
  </si>
  <si>
    <t>중2</t>
  </si>
  <si>
    <t>영어</t>
  </si>
  <si>
    <t>M3-19-01MA</t>
  </si>
  <si>
    <t>김말자</t>
  </si>
  <si>
    <t>중3</t>
  </si>
  <si>
    <t>수학</t>
  </si>
  <si>
    <t>M2-20-01KO</t>
  </si>
  <si>
    <t>박유찬</t>
  </si>
  <si>
    <t>M3-20-02EN</t>
  </si>
  <si>
    <t>송찬희</t>
  </si>
  <si>
    <t>M1-20-02EN</t>
  </si>
  <si>
    <t>전미연</t>
  </si>
  <si>
    <t>M2-19-12KO</t>
  </si>
  <si>
    <t>M1-19-11MA</t>
  </si>
  <si>
    <t>M3-19-09EN</t>
  </si>
  <si>
    <t>M1-19-10SC</t>
  </si>
  <si>
    <t>유명아</t>
  </si>
  <si>
    <t>과학</t>
  </si>
  <si>
    <t>M1-19-11EN</t>
  </si>
  <si>
    <t>최재훈</t>
  </si>
  <si>
    <t>M2-19-12SC</t>
  </si>
  <si>
    <t>강연미</t>
  </si>
  <si>
    <t>M3-20-03MA</t>
  </si>
  <si>
    <t>양재연</t>
  </si>
  <si>
    <t>M1-20-03MA</t>
  </si>
  <si>
    <t>M3-19-10KO</t>
  </si>
  <si>
    <t>M2-20-11EN</t>
  </si>
  <si>
    <t>M3-19-12KO</t>
  </si>
  <si>
    <t>M1-19-09EN</t>
  </si>
  <si>
    <t>M2-20-01MA</t>
  </si>
  <si>
    <t>M2-19-12EN</t>
  </si>
  <si>
    <t>M2-19-11SC</t>
  </si>
  <si>
    <t>M2-19-10EN</t>
  </si>
  <si>
    <t>M2-20-09MA</t>
  </si>
  <si>
    <t>M1-19-12EN</t>
  </si>
  <si>
    <t>편소현</t>
  </si>
  <si>
    <t>M2-20-04SC</t>
  </si>
  <si>
    <t>정다연</t>
  </si>
  <si>
    <t>M1-20-04MA</t>
  </si>
  <si>
    <t>윤효빈</t>
  </si>
  <si>
    <t>M2-20-04EN</t>
  </si>
  <si>
    <t>M2-20-03MA</t>
  </si>
  <si>
    <t>M3-20-02SC</t>
  </si>
  <si>
    <t>M1-20-03SC</t>
  </si>
  <si>
    <t>[표1]</t>
    <phoneticPr fontId="1" type="noConversion"/>
  </si>
  <si>
    <t>코드</t>
    <phoneticPr fontId="1" type="noConversion"/>
  </si>
  <si>
    <t>강의코드</t>
    <phoneticPr fontId="1" type="noConversion"/>
  </si>
  <si>
    <t>할인율</t>
    <phoneticPr fontId="1" type="noConversion"/>
  </si>
  <si>
    <t>진행률</t>
    <phoneticPr fontId="1" type="noConversion"/>
  </si>
  <si>
    <t>비고</t>
    <phoneticPr fontId="1" type="noConversion"/>
  </si>
  <si>
    <t>M110KO</t>
    <phoneticPr fontId="1" type="noConversion"/>
  </si>
  <si>
    <t>M201EN</t>
  </si>
  <si>
    <t>M301MA</t>
  </si>
  <si>
    <t>M201KO</t>
  </si>
  <si>
    <t>M302EN</t>
  </si>
  <si>
    <t>M102EN</t>
  </si>
  <si>
    <t>M212KO</t>
  </si>
  <si>
    <t>이도원</t>
    <phoneticPr fontId="1" type="noConversion"/>
  </si>
  <si>
    <t>M111MA</t>
  </si>
  <si>
    <t>M309EN</t>
  </si>
  <si>
    <t>M110SC</t>
  </si>
  <si>
    <t>M111EN</t>
  </si>
  <si>
    <t>M212SC</t>
  </si>
  <si>
    <t>M303MA</t>
  </si>
  <si>
    <t>M103MA</t>
  </si>
  <si>
    <t>M310KO</t>
  </si>
  <si>
    <t>M211EN</t>
  </si>
  <si>
    <t>M312KO</t>
  </si>
  <si>
    <t>M109EN</t>
  </si>
  <si>
    <t>M201MA</t>
  </si>
  <si>
    <t>M212EN</t>
  </si>
  <si>
    <t>M211SC</t>
  </si>
  <si>
    <t>M210EN</t>
  </si>
  <si>
    <t>M209MA</t>
  </si>
  <si>
    <t>M112EN</t>
  </si>
  <si>
    <t>M204SC</t>
  </si>
  <si>
    <t>M104MA</t>
  </si>
  <si>
    <t>M204EN</t>
  </si>
  <si>
    <t>M203MA</t>
  </si>
  <si>
    <t>M302SC</t>
  </si>
  <si>
    <t>M103SC</t>
  </si>
  <si>
    <t>[표2] 할인율표</t>
    <phoneticPr fontId="1" type="noConversion"/>
  </si>
  <si>
    <t>[표3] 과목별 전체강의수별 강사명</t>
    <phoneticPr fontId="1" type="noConversion"/>
  </si>
  <si>
    <t>강의 과목</t>
    <phoneticPr fontId="1" type="noConversion"/>
  </si>
  <si>
    <t>중1</t>
    <phoneticPr fontId="1" type="noConversion"/>
  </si>
  <si>
    <t>중2</t>
    <phoneticPr fontId="1" type="noConversion"/>
  </si>
  <si>
    <t>중3</t>
    <phoneticPr fontId="1" type="noConversion"/>
  </si>
  <si>
    <t>순위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</si>
  <si>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</si>
  <si>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</si>
  <si>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</si>
  <si>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과학</t>
    <phoneticPr fontId="1" type="noConversion"/>
  </si>
  <si>
    <t>이외 과목</t>
    <phoneticPr fontId="1" type="noConversion"/>
  </si>
  <si>
    <t>이달 강의수</t>
    <phoneticPr fontId="1" type="noConversion"/>
  </si>
  <si>
    <t>수강인원</t>
    <phoneticPr fontId="1" type="noConversion"/>
  </si>
  <si>
    <t>평균수강생</t>
    <phoneticPr fontId="1" type="noConversion"/>
  </si>
  <si>
    <t>학년</t>
    <phoneticPr fontId="1" type="noConversion"/>
  </si>
  <si>
    <t>과목</t>
    <phoneticPr fontId="1" type="noConversion"/>
  </si>
  <si>
    <t>이름</t>
    <phoneticPr fontId="1" type="noConversion"/>
  </si>
  <si>
    <t>학년</t>
    <phoneticPr fontId="1" type="noConversion"/>
  </si>
  <si>
    <t>과목</t>
    <phoneticPr fontId="1" type="noConversion"/>
  </si>
  <si>
    <t>강사명</t>
    <phoneticPr fontId="1" type="noConversion"/>
  </si>
  <si>
    <t>수업시간</t>
    <phoneticPr fontId="1" type="noConversion"/>
  </si>
  <si>
    <t>성별</t>
    <phoneticPr fontId="1" type="noConversion"/>
  </si>
  <si>
    <t>중1</t>
    <phoneticPr fontId="1" type="noConversion"/>
  </si>
  <si>
    <t>영어</t>
    <phoneticPr fontId="1" type="noConversion"/>
  </si>
  <si>
    <t>중3</t>
    <phoneticPr fontId="1" type="noConversion"/>
  </si>
  <si>
    <t>수학</t>
    <phoneticPr fontId="1" type="noConversion"/>
  </si>
  <si>
    <t>이도원</t>
    <phoneticPr fontId="1" type="noConversion"/>
  </si>
  <si>
    <t>신청일 :</t>
    <phoneticPr fontId="1" type="noConversion"/>
  </si>
  <si>
    <t>조건</t>
    <phoneticPr fontId="1" type="noConversion"/>
  </si>
  <si>
    <t>총합계</t>
  </si>
  <si>
    <t>9월</t>
  </si>
  <si>
    <t>10월</t>
  </si>
  <si>
    <t>11월</t>
  </si>
  <si>
    <t>12월</t>
  </si>
  <si>
    <t>2월</t>
  </si>
  <si>
    <t>3월</t>
  </si>
  <si>
    <t>4월</t>
  </si>
  <si>
    <t>1월</t>
  </si>
  <si>
    <t>중1 요약</t>
  </si>
  <si>
    <t>중2 요약</t>
  </si>
  <si>
    <t>중3 요약</t>
  </si>
  <si>
    <t>평균 : 수강인원</t>
  </si>
  <si>
    <t>M110KO</t>
  </si>
  <si>
    <t>M2-25-01EN</t>
  </si>
  <si>
    <t>M2-25-01KO</t>
  </si>
  <si>
    <t>M3-25-02EN</t>
  </si>
  <si>
    <t>M1-25-02EN</t>
  </si>
  <si>
    <t>M3-25-03MA</t>
  </si>
  <si>
    <t>M1-25-03MA</t>
  </si>
  <si>
    <t>M2-25-11EN</t>
  </si>
  <si>
    <t>M2-25-01MA</t>
  </si>
  <si>
    <t>M2-25-09MA</t>
  </si>
  <si>
    <t>M2-25-04SC</t>
  </si>
  <si>
    <t>M1-25-04MA</t>
  </si>
  <si>
    <t>M2-25-04EN</t>
  </si>
  <si>
    <t>M2-25-03MA</t>
  </si>
  <si>
    <t>M3-25-02SC</t>
  </si>
  <si>
    <t>M1-25-03SC</t>
  </si>
  <si>
    <t>M1-24-10KO</t>
  </si>
  <si>
    <t>M3-24-01MA</t>
  </si>
  <si>
    <t>M2-24-12KO</t>
  </si>
  <si>
    <t>M1-24-11MA</t>
  </si>
  <si>
    <t>M3-24-09EN</t>
  </si>
  <si>
    <t>M1-24-10SC</t>
  </si>
  <si>
    <t>M1-24-11EN</t>
  </si>
  <si>
    <t>M2-24-12SC</t>
  </si>
  <si>
    <t>M3-24-10KO</t>
  </si>
  <si>
    <t>M3-24-12KO</t>
  </si>
  <si>
    <t>M1-24-09EN</t>
  </si>
  <si>
    <t>M2-24-12EN</t>
  </si>
  <si>
    <t>M2-24-11SC</t>
  </si>
  <si>
    <t>M2-24-10EN</t>
  </si>
  <si>
    <t>M1-24-12EN</t>
  </si>
  <si>
    <t>중1 평균</t>
  </si>
  <si>
    <t>중2 평균</t>
  </si>
  <si>
    <t>중3 평균</t>
  </si>
  <si>
    <t>전체 평균</t>
  </si>
  <si>
    <t>과학 개수</t>
  </si>
  <si>
    <t>국어 개수</t>
  </si>
  <si>
    <t>수학 개수</t>
  </si>
  <si>
    <t>영어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</si>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</sst>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@\ &quot;강사&quot;"/>
    <numFmt numFmtId="178" formatCode="[Blue][&gt;=100]0&quot;명&quot;;[Red][&lt;=50]0&quot;명&quot;;0&quot;명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</cellStyleXfs>
  <cellXfs count="30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9" fontId="3" fillId="0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>
      <alignment vertical="center"/>
    </xf>
    <xf numFmtId="9" fontId="5" fillId="0" borderId="1" xfId="2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3" fillId="0" borderId="1" xfId="0" applyNumberFormat="1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4" fontId="3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</cellXfs>
  <cellStyles count="3">
    <cellStyle name="백분율" xfId="1" builtinId="5"/>
    <cellStyle name="표준" xfId="0" builtinId="0"/>
    <cellStyle name="표준 2" xfId="2" xr:uid="{00000000-0005-0000-0000-000002000000}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강사별 강의수와 평균수강생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이달 강의수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cat>
            <c:strRef>
              <c:f>'기타작업-1'!$A$3:$A$11</c:f>
              <c:strCache>
                <c:ptCount val="9"/>
                <c:pt idx="0">
                  <c:v>황수경</c:v>
                </c:pt>
                <c:pt idx="1">
                  <c:v>이가연</c:v>
                </c:pt>
                <c:pt idx="2">
                  <c:v>박유찬</c:v>
                </c:pt>
                <c:pt idx="3">
                  <c:v>송찬희</c:v>
                </c:pt>
                <c:pt idx="4">
                  <c:v>전미연</c:v>
                </c:pt>
                <c:pt idx="5">
                  <c:v>최재훈</c:v>
                </c:pt>
                <c:pt idx="6">
                  <c:v>강연미</c:v>
                </c:pt>
                <c:pt idx="7">
                  <c:v>정다연</c:v>
                </c:pt>
                <c:pt idx="8">
                  <c:v>윤효빈</c:v>
                </c:pt>
              </c:strCache>
            </c:strRef>
          </c:cat>
          <c:val>
            <c:numRef>
              <c:f>'기타작업-1'!$B$3:$B$11</c:f>
              <c:numCache>
                <c:formatCode>General</c:formatCode>
                <c:ptCount val="9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C-4404-9659-DF461B04B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479671936"/>
        <c:axId val="1479670688"/>
      </c:barChart>
      <c:lineChart>
        <c:grouping val="standard"/>
        <c:varyColors val="0"/>
        <c:ser>
          <c:idx val="1"/>
          <c:order val="1"/>
          <c:tx>
            <c:strRef>
              <c:f>'기타작업-1'!$D$2</c:f>
              <c:strCache>
                <c:ptCount val="1"/>
                <c:pt idx="0">
                  <c:v>평균수강생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'기타작업-1'!$A$3:$A$11</c:f>
              <c:strCache>
                <c:ptCount val="9"/>
                <c:pt idx="0">
                  <c:v>황수경</c:v>
                </c:pt>
                <c:pt idx="1">
                  <c:v>이가연</c:v>
                </c:pt>
                <c:pt idx="2">
                  <c:v>박유찬</c:v>
                </c:pt>
                <c:pt idx="3">
                  <c:v>송찬희</c:v>
                </c:pt>
                <c:pt idx="4">
                  <c:v>전미연</c:v>
                </c:pt>
                <c:pt idx="5">
                  <c:v>최재훈</c:v>
                </c:pt>
                <c:pt idx="6">
                  <c:v>강연미</c:v>
                </c:pt>
                <c:pt idx="7">
                  <c:v>정다연</c:v>
                </c:pt>
                <c:pt idx="8">
                  <c:v>윤효빈</c:v>
                </c:pt>
              </c:strCache>
            </c:strRef>
          </c:cat>
          <c:val>
            <c:numRef>
              <c:f>'기타작업-1'!$D$3:$D$11</c:f>
              <c:numCache>
                <c:formatCode>General</c:formatCode>
                <c:ptCount val="9"/>
                <c:pt idx="0">
                  <c:v>36</c:v>
                </c:pt>
                <c:pt idx="1">
                  <c:v>25</c:v>
                </c:pt>
                <c:pt idx="2">
                  <c:v>16</c:v>
                </c:pt>
                <c:pt idx="3">
                  <c:v>10</c:v>
                </c:pt>
                <c:pt idx="4">
                  <c:v>12</c:v>
                </c:pt>
                <c:pt idx="5">
                  <c:v>16</c:v>
                </c:pt>
                <c:pt idx="6">
                  <c:v>18</c:v>
                </c:pt>
                <c:pt idx="7">
                  <c:v>25</c:v>
                </c:pt>
                <c:pt idx="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C-4404-9659-DF461B04B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9417856"/>
        <c:axId val="850376160"/>
      </c:lineChart>
      <c:catAx>
        <c:axId val="14796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9670688"/>
        <c:crosses val="autoZero"/>
        <c:auto val="1"/>
        <c:lblAlgn val="ctr"/>
        <c:lblOffset val="100"/>
        <c:noMultiLvlLbl val="0"/>
      </c:catAx>
      <c:valAx>
        <c:axId val="147967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강의수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9671936"/>
        <c:crosses val="autoZero"/>
        <c:crossBetween val="between"/>
      </c:valAx>
      <c:valAx>
        <c:axId val="850376160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수강생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39417856"/>
        <c:crosses val="max"/>
        <c:crossBetween val="between"/>
      </c:valAx>
      <c:catAx>
        <c:axId val="839417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0376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11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1</xdr:row>
      <xdr:rowOff>0</xdr:rowOff>
    </xdr:from>
    <xdr:to>
      <xdr:col>6</xdr:col>
      <xdr:colOff>320060</xdr:colOff>
      <xdr:row>5</xdr:row>
      <xdr:rowOff>95250</xdr:rowOff>
    </xdr:to>
    <xdr:pic>
      <xdr:nvPicPr>
        <xdr:cNvPr id="3" name="Picture 6" descr="C:\Program Files\Microsoft Office\MEDIA\CAGCAT10\j0292020.wm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606800" y="215900"/>
          <a:ext cx="980460" cy="9588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문자서식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숫자서식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0</xdr:row>
          <xdr:rowOff>200025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7169" name="cmd수강신청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65.912254745374" backgroundQuery="1" createdVersion="7" refreshedVersion="7" minRefreshableVersion="3" recordCount="30" xr:uid="{4F4ECD84-91FB-4137-B34A-FD9F293DEA92}">
  <cacheSource type="external" connectionId="2"/>
  <cacheFields count="8">
    <cacheField name="강의코드" numFmtId="0">
      <sharedItems count="30">
        <s v="M110KO"/>
        <s v="M201EN"/>
        <s v="M301MA"/>
        <s v="M201KO"/>
        <s v="M302EN"/>
        <s v="M102EN"/>
        <s v="M212KO"/>
        <s v="M111MA"/>
        <s v="M309EN"/>
        <s v="M110SC"/>
        <s v="M111EN"/>
        <s v="M212SC"/>
        <s v="M303MA"/>
        <s v="M103MA"/>
        <s v="M310KO"/>
        <s v="M211EN"/>
        <s v="M312KO"/>
        <s v="M109EN"/>
        <s v="M201MA"/>
        <s v="M212EN"/>
        <s v="M211SC"/>
        <s v="M210EN"/>
        <s v="M209MA"/>
        <s v="M112EN"/>
        <s v="M204SC"/>
        <s v="M104MA"/>
        <s v="M204EN"/>
        <s v="M203MA"/>
        <s v="M302SC"/>
        <s v="M103SC"/>
      </sharedItems>
    </cacheField>
    <cacheField name="수업시작일" numFmtId="0">
      <sharedItems containsSemiMixedTypes="0" containsNonDate="0" containsDate="1" containsString="0" minDate="2024-09-01T00:00:00" maxDate="2025-04-04T00:00:00" count="8">
        <d v="2024-10-01T00:00:00"/>
        <d v="2025-01-02T00:00:00"/>
        <d v="2025-02-01T00:00:00"/>
        <d v="2024-12-01T00:00:00"/>
        <d v="2024-11-01T00:00:00"/>
        <d v="2024-09-01T00:00:00"/>
        <d v="2025-03-02T00:00:00"/>
        <d v="2025-04-03T00:00:00"/>
      </sharedItems>
      <fieldGroup base="1">
        <rangePr groupBy="months" startDate="2024-09-01T00:00:00" endDate="2025-04-04T00:00:00"/>
        <groupItems count="14">
          <s v="&lt;2024-09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4-04"/>
        </groupItems>
      </fieldGroup>
    </cacheField>
    <cacheField name="강사명" numFmtId="0">
      <sharedItems count="13">
        <s v="황수경"/>
        <s v="이가연"/>
        <s v="김말자"/>
        <s v="박유찬"/>
        <s v="송찬희"/>
        <s v="전미연"/>
        <s v="유명아"/>
        <s v="최재훈"/>
        <s v="강연미"/>
        <s v="양재연"/>
        <s v="편소현"/>
        <s v="정다연"/>
        <s v="윤효빈"/>
      </sharedItems>
    </cacheField>
    <cacheField name="학년" numFmtId="0">
      <sharedItems count="3">
        <s v="중1"/>
        <s v="중2"/>
        <s v="중3"/>
      </sharedItems>
    </cacheField>
    <cacheField name="강의과목" numFmtId="0">
      <sharedItems count="4">
        <s v="국어"/>
        <s v="영어"/>
        <s v="수학"/>
        <s v="과학"/>
      </sharedItems>
    </cacheField>
    <cacheField name="현재강의수" numFmtId="0">
      <sharedItems containsSemiMixedTypes="0" containsString="0" containsNumber="1" containsInteger="1" minValue="3" maxValue="7" count="5">
        <n v="5"/>
        <n v="3"/>
        <n v="4"/>
        <n v="6"/>
        <n v="7"/>
      </sharedItems>
    </cacheField>
    <cacheField name="수강인원" numFmtId="0">
      <sharedItems containsSemiMixedTypes="0" containsString="0" containsNumber="1" containsInteger="1" minValue="45" maxValue="150" count="17">
        <n v="60"/>
        <n v="50"/>
        <n v="85"/>
        <n v="135"/>
        <n v="120"/>
        <n v="140"/>
        <n v="80"/>
        <n v="70"/>
        <n v="68"/>
        <n v="55"/>
        <n v="54"/>
        <n v="75"/>
        <n v="45"/>
        <n v="150"/>
        <n v="67"/>
        <n v="65"/>
        <n v="58"/>
      </sharedItems>
    </cacheField>
    <cacheField name="전체강의수" numFmtId="0">
      <sharedItems containsSemiMixedTypes="0" containsString="0" containsNumber="1" containsInteger="1" minValue="3" maxValue="7" count="5">
        <n v="7"/>
        <n v="5"/>
        <n v="6"/>
        <n v="3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  <x v="0"/>
    <x v="0"/>
    <x v="0"/>
  </r>
  <r>
    <x v="1"/>
    <x v="1"/>
    <x v="1"/>
    <x v="1"/>
    <x v="1"/>
    <x v="1"/>
    <x v="1"/>
    <x v="1"/>
  </r>
  <r>
    <x v="2"/>
    <x v="1"/>
    <x v="2"/>
    <x v="2"/>
    <x v="2"/>
    <x v="2"/>
    <x v="2"/>
    <x v="2"/>
  </r>
  <r>
    <x v="3"/>
    <x v="1"/>
    <x v="3"/>
    <x v="1"/>
    <x v="0"/>
    <x v="2"/>
    <x v="0"/>
    <x v="3"/>
  </r>
  <r>
    <x v="4"/>
    <x v="2"/>
    <x v="4"/>
    <x v="2"/>
    <x v="1"/>
    <x v="2"/>
    <x v="1"/>
    <x v="3"/>
  </r>
  <r>
    <x v="5"/>
    <x v="2"/>
    <x v="5"/>
    <x v="0"/>
    <x v="1"/>
    <x v="3"/>
    <x v="3"/>
    <x v="2"/>
  </r>
  <r>
    <x v="6"/>
    <x v="3"/>
    <x v="0"/>
    <x v="1"/>
    <x v="0"/>
    <x v="2"/>
    <x v="4"/>
    <x v="1"/>
  </r>
  <r>
    <x v="7"/>
    <x v="4"/>
    <x v="2"/>
    <x v="0"/>
    <x v="2"/>
    <x v="0"/>
    <x v="5"/>
    <x v="4"/>
  </r>
  <r>
    <x v="8"/>
    <x v="5"/>
    <x v="1"/>
    <x v="2"/>
    <x v="1"/>
    <x v="1"/>
    <x v="6"/>
    <x v="1"/>
  </r>
  <r>
    <x v="9"/>
    <x v="0"/>
    <x v="6"/>
    <x v="0"/>
    <x v="3"/>
    <x v="0"/>
    <x v="7"/>
    <x v="3"/>
  </r>
  <r>
    <x v="10"/>
    <x v="4"/>
    <x v="7"/>
    <x v="0"/>
    <x v="1"/>
    <x v="3"/>
    <x v="8"/>
    <x v="1"/>
  </r>
  <r>
    <x v="11"/>
    <x v="3"/>
    <x v="8"/>
    <x v="1"/>
    <x v="3"/>
    <x v="2"/>
    <x v="9"/>
    <x v="4"/>
  </r>
  <r>
    <x v="12"/>
    <x v="6"/>
    <x v="9"/>
    <x v="2"/>
    <x v="2"/>
    <x v="1"/>
    <x v="10"/>
    <x v="1"/>
  </r>
  <r>
    <x v="13"/>
    <x v="6"/>
    <x v="2"/>
    <x v="0"/>
    <x v="2"/>
    <x v="0"/>
    <x v="7"/>
    <x v="2"/>
  </r>
  <r>
    <x v="14"/>
    <x v="0"/>
    <x v="3"/>
    <x v="2"/>
    <x v="0"/>
    <x v="3"/>
    <x v="11"/>
    <x v="4"/>
  </r>
  <r>
    <x v="15"/>
    <x v="4"/>
    <x v="4"/>
    <x v="1"/>
    <x v="1"/>
    <x v="2"/>
    <x v="1"/>
    <x v="1"/>
  </r>
  <r>
    <x v="16"/>
    <x v="3"/>
    <x v="0"/>
    <x v="2"/>
    <x v="0"/>
    <x v="1"/>
    <x v="12"/>
    <x v="1"/>
  </r>
  <r>
    <x v="17"/>
    <x v="5"/>
    <x v="1"/>
    <x v="0"/>
    <x v="1"/>
    <x v="0"/>
    <x v="7"/>
    <x v="4"/>
  </r>
  <r>
    <x v="18"/>
    <x v="1"/>
    <x v="2"/>
    <x v="1"/>
    <x v="2"/>
    <x v="4"/>
    <x v="13"/>
    <x v="3"/>
  </r>
  <r>
    <x v="19"/>
    <x v="3"/>
    <x v="5"/>
    <x v="1"/>
    <x v="1"/>
    <x v="0"/>
    <x v="14"/>
    <x v="4"/>
  </r>
  <r>
    <x v="20"/>
    <x v="4"/>
    <x v="6"/>
    <x v="1"/>
    <x v="3"/>
    <x v="0"/>
    <x v="6"/>
    <x v="2"/>
  </r>
  <r>
    <x v="21"/>
    <x v="0"/>
    <x v="7"/>
    <x v="1"/>
    <x v="1"/>
    <x v="0"/>
    <x v="15"/>
    <x v="4"/>
  </r>
  <r>
    <x v="22"/>
    <x v="5"/>
    <x v="9"/>
    <x v="1"/>
    <x v="2"/>
    <x v="2"/>
    <x v="16"/>
    <x v="1"/>
  </r>
  <r>
    <x v="23"/>
    <x v="3"/>
    <x v="10"/>
    <x v="0"/>
    <x v="1"/>
    <x v="0"/>
    <x v="15"/>
    <x v="1"/>
  </r>
  <r>
    <x v="24"/>
    <x v="7"/>
    <x v="11"/>
    <x v="1"/>
    <x v="3"/>
    <x v="1"/>
    <x v="1"/>
    <x v="1"/>
  </r>
  <r>
    <x v="25"/>
    <x v="7"/>
    <x v="12"/>
    <x v="0"/>
    <x v="2"/>
    <x v="3"/>
    <x v="7"/>
    <x v="4"/>
  </r>
  <r>
    <x v="26"/>
    <x v="7"/>
    <x v="10"/>
    <x v="1"/>
    <x v="1"/>
    <x v="0"/>
    <x v="7"/>
    <x v="1"/>
  </r>
  <r>
    <x v="27"/>
    <x v="6"/>
    <x v="12"/>
    <x v="1"/>
    <x v="2"/>
    <x v="2"/>
    <x v="0"/>
    <x v="2"/>
  </r>
  <r>
    <x v="28"/>
    <x v="2"/>
    <x v="11"/>
    <x v="2"/>
    <x v="3"/>
    <x v="1"/>
    <x v="12"/>
    <x v="4"/>
  </r>
  <r>
    <x v="29"/>
    <x v="6"/>
    <x v="8"/>
    <x v="0"/>
    <x v="3"/>
    <x v="0"/>
    <x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5635B8-67BC-4C74-BE8B-82DA3AE68C5F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compactData="0" multipleFieldFilters="0" fieldListSortAscending="1">
  <location ref="B4:H29" firstHeaderRow="1" firstDataRow="2" firstDataCol="2"/>
  <pivotFields count="8">
    <pivotField compact="0" outline="0" showAll="0"/>
    <pivotField axis="axisRow"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axis="axisCol" compact="0" outline="0" showAll="0">
      <items count="5">
        <item x="3"/>
        <item x="0"/>
        <item x="2"/>
        <item x="1"/>
        <item t="default"/>
      </items>
    </pivotField>
    <pivotField compact="0" outline="0" showAll="0"/>
    <pivotField dataField="1" compact="0" outline="0" showAll="0"/>
    <pivotField compact="0" outline="0" showAll="0"/>
  </pivotFields>
  <rowFields count="2">
    <field x="3"/>
    <field x="1"/>
  </rowFields>
  <rowItems count="24">
    <i>
      <x/>
      <x v="2"/>
    </i>
    <i r="1">
      <x v="3"/>
    </i>
    <i r="1">
      <x v="4"/>
    </i>
    <i r="1">
      <x v="9"/>
    </i>
    <i r="1">
      <x v="10"/>
    </i>
    <i r="1">
      <x v="11"/>
    </i>
    <i r="1">
      <x v="12"/>
    </i>
    <i t="default">
      <x/>
    </i>
    <i>
      <x v="1"/>
      <x v="1"/>
    </i>
    <i r="1">
      <x v="3"/>
    </i>
    <i r="1">
      <x v="4"/>
    </i>
    <i r="1">
      <x v="9"/>
    </i>
    <i r="1">
      <x v="10"/>
    </i>
    <i r="1">
      <x v="11"/>
    </i>
    <i r="1">
      <x v="12"/>
    </i>
    <i t="default">
      <x v="1"/>
    </i>
    <i>
      <x v="2"/>
      <x v="1"/>
    </i>
    <i r="1">
      <x v="2"/>
    </i>
    <i r="1">
      <x v="3"/>
    </i>
    <i r="1">
      <x v="9"/>
    </i>
    <i r="1">
      <x v="10"/>
    </i>
    <i r="1">
      <x v="12"/>
    </i>
    <i t="default">
      <x v="2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평균 : 수강인원" fld="6" subtotal="average" baseField="1" baseItem="2" numFmtId="176"/>
  </dataField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2:M32"/>
  <sheetViews>
    <sheetView tabSelected="1" workbookViewId="0"/>
  </sheetViews>
  <sheetFormatPr defaultRowHeight="16.5"/>
  <cols>
    <col min="1" max="1" width="12.375" bestFit="1" customWidth="1"/>
    <col min="2" max="2" width="10.75" bestFit="1" customWidth="1"/>
    <col min="3" max="3" width="6.625" bestFit="1" customWidth="1"/>
    <col min="4" max="4" width="4.875" bestFit="1" customWidth="1"/>
    <col min="5" max="5" width="8.5" bestFit="1" customWidth="1"/>
    <col min="6" max="6" width="10.375" bestFit="1" customWidth="1"/>
    <col min="7" max="7" width="8.5" bestFit="1" customWidth="1"/>
    <col min="8" max="8" width="10.375" bestFit="1" customWidth="1"/>
    <col min="10" max="10" width="12.375" bestFit="1" customWidth="1"/>
    <col min="11" max="11" width="10.375" bestFit="1" customWidth="1"/>
  </cols>
  <sheetData>
    <row r="2" spans="1:1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J2" s="14" t="s">
        <v>124</v>
      </c>
    </row>
    <row r="3" spans="1:13">
      <c r="A3" s="1" t="s">
        <v>154</v>
      </c>
      <c r="B3" s="2">
        <v>45566</v>
      </c>
      <c r="C3" s="1" t="s">
        <v>9</v>
      </c>
      <c r="D3" s="1" t="s">
        <v>10</v>
      </c>
      <c r="E3" s="1" t="s">
        <v>11</v>
      </c>
      <c r="F3" s="1">
        <v>5</v>
      </c>
      <c r="G3" s="1">
        <v>60</v>
      </c>
      <c r="H3" s="1">
        <v>7</v>
      </c>
      <c r="J3" t="b">
        <f>AND(D3="중1",F3&gt;=_xlfn.PERCENTILE.INC($F$3:$F$32,90%))</f>
        <v>0</v>
      </c>
    </row>
    <row r="4" spans="1:13">
      <c r="A4" s="1" t="s">
        <v>139</v>
      </c>
      <c r="B4" s="2">
        <v>45659</v>
      </c>
      <c r="C4" s="1" t="s">
        <v>13</v>
      </c>
      <c r="D4" s="1" t="s">
        <v>14</v>
      </c>
      <c r="E4" s="1" t="s">
        <v>15</v>
      </c>
      <c r="F4" s="1">
        <v>3</v>
      </c>
      <c r="G4" s="1">
        <v>50</v>
      </c>
      <c r="H4" s="1">
        <v>5</v>
      </c>
    </row>
    <row r="5" spans="1:13">
      <c r="A5" s="1" t="s">
        <v>155</v>
      </c>
      <c r="B5" s="2">
        <v>45659</v>
      </c>
      <c r="C5" s="1" t="s">
        <v>17</v>
      </c>
      <c r="D5" s="1" t="s">
        <v>18</v>
      </c>
      <c r="E5" s="1" t="s">
        <v>19</v>
      </c>
      <c r="F5" s="1">
        <v>4</v>
      </c>
      <c r="G5" s="1">
        <v>85</v>
      </c>
      <c r="H5" s="1">
        <v>6</v>
      </c>
      <c r="J5" s="1" t="s">
        <v>0</v>
      </c>
      <c r="K5" s="1" t="s">
        <v>1</v>
      </c>
      <c r="L5" s="1" t="s">
        <v>2</v>
      </c>
      <c r="M5" s="1" t="s">
        <v>4</v>
      </c>
    </row>
    <row r="6" spans="1:13">
      <c r="A6" s="1" t="s">
        <v>140</v>
      </c>
      <c r="B6" s="2">
        <v>45659</v>
      </c>
      <c r="C6" s="1" t="s">
        <v>21</v>
      </c>
      <c r="D6" s="1" t="s">
        <v>14</v>
      </c>
      <c r="E6" s="1" t="s">
        <v>11</v>
      </c>
      <c r="F6" s="1">
        <v>4</v>
      </c>
      <c r="G6" s="1">
        <v>60</v>
      </c>
      <c r="H6" s="1">
        <v>3</v>
      </c>
      <c r="J6" s="1" t="s">
        <v>24</v>
      </c>
      <c r="K6" s="2">
        <v>45689</v>
      </c>
      <c r="L6" s="1" t="s">
        <v>25</v>
      </c>
      <c r="M6" s="1" t="s">
        <v>15</v>
      </c>
    </row>
    <row r="7" spans="1:13">
      <c r="A7" s="1" t="s">
        <v>141</v>
      </c>
      <c r="B7" s="2">
        <v>45689</v>
      </c>
      <c r="C7" s="1" t="s">
        <v>23</v>
      </c>
      <c r="D7" s="1" t="s">
        <v>18</v>
      </c>
      <c r="E7" s="1" t="s">
        <v>15</v>
      </c>
      <c r="F7" s="1">
        <v>4</v>
      </c>
      <c r="G7" s="1">
        <v>50</v>
      </c>
      <c r="H7" s="1">
        <v>3</v>
      </c>
      <c r="J7" s="1" t="s">
        <v>32</v>
      </c>
      <c r="K7" s="2">
        <v>45597</v>
      </c>
      <c r="L7" s="1" t="s">
        <v>33</v>
      </c>
      <c r="M7" s="1" t="s">
        <v>15</v>
      </c>
    </row>
    <row r="8" spans="1:13">
      <c r="A8" s="1" t="s">
        <v>142</v>
      </c>
      <c r="B8" s="2">
        <v>45689</v>
      </c>
      <c r="C8" s="1" t="s">
        <v>25</v>
      </c>
      <c r="D8" s="1" t="s">
        <v>10</v>
      </c>
      <c r="E8" s="1" t="s">
        <v>15</v>
      </c>
      <c r="F8" s="1">
        <v>6</v>
      </c>
      <c r="G8" s="1">
        <v>135</v>
      </c>
      <c r="H8" s="1">
        <v>6</v>
      </c>
      <c r="J8" s="1" t="s">
        <v>52</v>
      </c>
      <c r="K8" s="2">
        <v>45750</v>
      </c>
      <c r="L8" s="1" t="s">
        <v>53</v>
      </c>
      <c r="M8" s="1" t="s">
        <v>19</v>
      </c>
    </row>
    <row r="9" spans="1:13">
      <c r="A9" s="1" t="s">
        <v>156</v>
      </c>
      <c r="B9" s="2">
        <v>45627</v>
      </c>
      <c r="C9" s="1" t="s">
        <v>9</v>
      </c>
      <c r="D9" s="1" t="s">
        <v>14</v>
      </c>
      <c r="E9" s="1" t="s">
        <v>11</v>
      </c>
      <c r="F9" s="1">
        <v>4</v>
      </c>
      <c r="G9" s="1">
        <v>120</v>
      </c>
      <c r="H9" s="1">
        <v>5</v>
      </c>
    </row>
    <row r="10" spans="1:13">
      <c r="A10" s="1" t="s">
        <v>157</v>
      </c>
      <c r="B10" s="2">
        <v>45597</v>
      </c>
      <c r="C10" s="1" t="s">
        <v>17</v>
      </c>
      <c r="D10" s="1" t="s">
        <v>10</v>
      </c>
      <c r="E10" s="1" t="s">
        <v>19</v>
      </c>
      <c r="F10" s="1">
        <v>5</v>
      </c>
      <c r="G10" s="1">
        <v>140</v>
      </c>
      <c r="H10" s="1">
        <v>4</v>
      </c>
    </row>
    <row r="11" spans="1:13">
      <c r="A11" s="1" t="s">
        <v>158</v>
      </c>
      <c r="B11" s="2">
        <v>45536</v>
      </c>
      <c r="C11" s="1" t="s">
        <v>13</v>
      </c>
      <c r="D11" s="1" t="s">
        <v>18</v>
      </c>
      <c r="E11" s="1" t="s">
        <v>15</v>
      </c>
      <c r="F11" s="1">
        <v>3</v>
      </c>
      <c r="G11" s="1">
        <v>80</v>
      </c>
      <c r="H11" s="1">
        <v>5</v>
      </c>
    </row>
    <row r="12" spans="1:13">
      <c r="A12" s="1" t="s">
        <v>159</v>
      </c>
      <c r="B12" s="2">
        <v>45566</v>
      </c>
      <c r="C12" s="1" t="s">
        <v>30</v>
      </c>
      <c r="D12" s="1" t="s">
        <v>10</v>
      </c>
      <c r="E12" s="1" t="s">
        <v>31</v>
      </c>
      <c r="F12" s="1">
        <v>5</v>
      </c>
      <c r="G12" s="1">
        <v>70</v>
      </c>
      <c r="H12" s="1">
        <v>3</v>
      </c>
    </row>
    <row r="13" spans="1:13">
      <c r="A13" s="1" t="s">
        <v>160</v>
      </c>
      <c r="B13" s="2">
        <v>45597</v>
      </c>
      <c r="C13" s="1" t="s">
        <v>33</v>
      </c>
      <c r="D13" s="1" t="s">
        <v>10</v>
      </c>
      <c r="E13" s="1" t="s">
        <v>15</v>
      </c>
      <c r="F13" s="1">
        <v>6</v>
      </c>
      <c r="G13" s="1">
        <v>68</v>
      </c>
      <c r="H13" s="1">
        <v>5</v>
      </c>
    </row>
    <row r="14" spans="1:13">
      <c r="A14" s="1" t="s">
        <v>161</v>
      </c>
      <c r="B14" s="2">
        <v>45627</v>
      </c>
      <c r="C14" s="1" t="s">
        <v>35</v>
      </c>
      <c r="D14" s="1" t="s">
        <v>14</v>
      </c>
      <c r="E14" s="1" t="s">
        <v>31</v>
      </c>
      <c r="F14" s="1">
        <v>4</v>
      </c>
      <c r="G14" s="1">
        <v>55</v>
      </c>
      <c r="H14" s="1">
        <v>4</v>
      </c>
    </row>
    <row r="15" spans="1:13">
      <c r="A15" s="1" t="s">
        <v>143</v>
      </c>
      <c r="B15" s="2">
        <v>45718</v>
      </c>
      <c r="C15" s="1" t="s">
        <v>37</v>
      </c>
      <c r="D15" s="1" t="s">
        <v>18</v>
      </c>
      <c r="E15" s="1" t="s">
        <v>19</v>
      </c>
      <c r="F15" s="1">
        <v>3</v>
      </c>
      <c r="G15" s="1">
        <v>54</v>
      </c>
      <c r="H15" s="1">
        <v>5</v>
      </c>
    </row>
    <row r="16" spans="1:13">
      <c r="A16" s="1" t="s">
        <v>144</v>
      </c>
      <c r="B16" s="2">
        <v>45718</v>
      </c>
      <c r="C16" s="1" t="s">
        <v>17</v>
      </c>
      <c r="D16" s="1" t="s">
        <v>10</v>
      </c>
      <c r="E16" s="1" t="s">
        <v>19</v>
      </c>
      <c r="F16" s="1">
        <v>5</v>
      </c>
      <c r="G16" s="1">
        <v>70</v>
      </c>
      <c r="H16" s="1">
        <v>6</v>
      </c>
    </row>
    <row r="17" spans="1:8">
      <c r="A17" s="1" t="s">
        <v>162</v>
      </c>
      <c r="B17" s="2">
        <v>45566</v>
      </c>
      <c r="C17" s="1" t="s">
        <v>21</v>
      </c>
      <c r="D17" s="1" t="s">
        <v>18</v>
      </c>
      <c r="E17" s="1" t="s">
        <v>11</v>
      </c>
      <c r="F17" s="1">
        <v>6</v>
      </c>
      <c r="G17" s="1">
        <v>75</v>
      </c>
      <c r="H17" s="1">
        <v>4</v>
      </c>
    </row>
    <row r="18" spans="1:8">
      <c r="A18" s="1" t="s">
        <v>145</v>
      </c>
      <c r="B18" s="2">
        <v>45597</v>
      </c>
      <c r="C18" s="1" t="s">
        <v>23</v>
      </c>
      <c r="D18" s="1" t="s">
        <v>14</v>
      </c>
      <c r="E18" s="1" t="s">
        <v>15</v>
      </c>
      <c r="F18" s="1">
        <v>4</v>
      </c>
      <c r="G18" s="1">
        <v>50</v>
      </c>
      <c r="H18" s="1">
        <v>5</v>
      </c>
    </row>
    <row r="19" spans="1:8">
      <c r="A19" s="1" t="s">
        <v>163</v>
      </c>
      <c r="B19" s="2">
        <v>45627</v>
      </c>
      <c r="C19" s="1" t="s">
        <v>9</v>
      </c>
      <c r="D19" s="1" t="s">
        <v>18</v>
      </c>
      <c r="E19" s="1" t="s">
        <v>11</v>
      </c>
      <c r="F19" s="1">
        <v>3</v>
      </c>
      <c r="G19" s="1">
        <v>45</v>
      </c>
      <c r="H19" s="1">
        <v>5</v>
      </c>
    </row>
    <row r="20" spans="1:8">
      <c r="A20" s="1" t="s">
        <v>164</v>
      </c>
      <c r="B20" s="2">
        <v>45536</v>
      </c>
      <c r="C20" s="1" t="s">
        <v>13</v>
      </c>
      <c r="D20" s="1" t="s">
        <v>10</v>
      </c>
      <c r="E20" s="1" t="s">
        <v>15</v>
      </c>
      <c r="F20" s="1">
        <v>5</v>
      </c>
      <c r="G20" s="1">
        <v>70</v>
      </c>
      <c r="H20" s="1">
        <v>4</v>
      </c>
    </row>
    <row r="21" spans="1:8">
      <c r="A21" s="1" t="s">
        <v>146</v>
      </c>
      <c r="B21" s="2">
        <v>45659</v>
      </c>
      <c r="C21" s="1" t="s">
        <v>17</v>
      </c>
      <c r="D21" s="1" t="s">
        <v>14</v>
      </c>
      <c r="E21" s="1" t="s">
        <v>19</v>
      </c>
      <c r="F21" s="1">
        <v>7</v>
      </c>
      <c r="G21" s="1">
        <v>150</v>
      </c>
      <c r="H21" s="1">
        <v>3</v>
      </c>
    </row>
    <row r="22" spans="1:8">
      <c r="A22" s="1" t="s">
        <v>165</v>
      </c>
      <c r="B22" s="2">
        <v>45627</v>
      </c>
      <c r="C22" s="1" t="s">
        <v>25</v>
      </c>
      <c r="D22" s="1" t="s">
        <v>14</v>
      </c>
      <c r="E22" s="1" t="s">
        <v>15</v>
      </c>
      <c r="F22" s="1">
        <v>5</v>
      </c>
      <c r="G22" s="1">
        <v>67</v>
      </c>
      <c r="H22" s="1">
        <v>4</v>
      </c>
    </row>
    <row r="23" spans="1:8">
      <c r="A23" s="1" t="s">
        <v>166</v>
      </c>
      <c r="B23" s="2">
        <v>45597</v>
      </c>
      <c r="C23" s="1" t="s">
        <v>30</v>
      </c>
      <c r="D23" s="1" t="s">
        <v>14</v>
      </c>
      <c r="E23" s="1" t="s">
        <v>31</v>
      </c>
      <c r="F23" s="1">
        <v>5</v>
      </c>
      <c r="G23" s="1">
        <v>80</v>
      </c>
      <c r="H23" s="1">
        <v>6</v>
      </c>
    </row>
    <row r="24" spans="1:8">
      <c r="A24" s="1" t="s">
        <v>167</v>
      </c>
      <c r="B24" s="2">
        <v>45566</v>
      </c>
      <c r="C24" s="1" t="s">
        <v>33</v>
      </c>
      <c r="D24" s="1" t="s">
        <v>14</v>
      </c>
      <c r="E24" s="1" t="s">
        <v>15</v>
      </c>
      <c r="F24" s="1">
        <v>5</v>
      </c>
      <c r="G24" s="1">
        <v>65</v>
      </c>
      <c r="H24" s="1">
        <v>4</v>
      </c>
    </row>
    <row r="25" spans="1:8">
      <c r="A25" s="1" t="s">
        <v>147</v>
      </c>
      <c r="B25" s="2">
        <v>45536</v>
      </c>
      <c r="C25" s="1" t="s">
        <v>37</v>
      </c>
      <c r="D25" s="1" t="s">
        <v>14</v>
      </c>
      <c r="E25" s="1" t="s">
        <v>19</v>
      </c>
      <c r="F25" s="1">
        <v>4</v>
      </c>
      <c r="G25" s="1">
        <v>58</v>
      </c>
      <c r="H25" s="1">
        <v>5</v>
      </c>
    </row>
    <row r="26" spans="1:8">
      <c r="A26" s="1" t="s">
        <v>168</v>
      </c>
      <c r="B26" s="2">
        <v>45627</v>
      </c>
      <c r="C26" s="1" t="s">
        <v>49</v>
      </c>
      <c r="D26" s="1" t="s">
        <v>10</v>
      </c>
      <c r="E26" s="1" t="s">
        <v>15</v>
      </c>
      <c r="F26" s="1">
        <v>5</v>
      </c>
      <c r="G26" s="1">
        <v>65</v>
      </c>
      <c r="H26" s="1">
        <v>5</v>
      </c>
    </row>
    <row r="27" spans="1:8">
      <c r="A27" s="1" t="s">
        <v>148</v>
      </c>
      <c r="B27" s="2">
        <v>45750</v>
      </c>
      <c r="C27" s="1" t="s">
        <v>51</v>
      </c>
      <c r="D27" s="1" t="s">
        <v>14</v>
      </c>
      <c r="E27" s="1" t="s">
        <v>31</v>
      </c>
      <c r="F27" s="1">
        <v>3</v>
      </c>
      <c r="G27" s="1">
        <v>50</v>
      </c>
      <c r="H27" s="1">
        <v>5</v>
      </c>
    </row>
    <row r="28" spans="1:8">
      <c r="A28" s="1" t="s">
        <v>149</v>
      </c>
      <c r="B28" s="2">
        <v>45750</v>
      </c>
      <c r="C28" s="1" t="s">
        <v>53</v>
      </c>
      <c r="D28" s="1" t="s">
        <v>10</v>
      </c>
      <c r="E28" s="1" t="s">
        <v>19</v>
      </c>
      <c r="F28" s="1">
        <v>6</v>
      </c>
      <c r="G28" s="1">
        <v>70</v>
      </c>
      <c r="H28" s="1">
        <v>4</v>
      </c>
    </row>
    <row r="29" spans="1:8">
      <c r="A29" s="1" t="s">
        <v>150</v>
      </c>
      <c r="B29" s="2">
        <v>45750</v>
      </c>
      <c r="C29" s="1" t="s">
        <v>49</v>
      </c>
      <c r="D29" s="1" t="s">
        <v>14</v>
      </c>
      <c r="E29" s="1" t="s">
        <v>15</v>
      </c>
      <c r="F29" s="1">
        <v>5</v>
      </c>
      <c r="G29" s="1">
        <v>70</v>
      </c>
      <c r="H29" s="1">
        <v>5</v>
      </c>
    </row>
    <row r="30" spans="1:8">
      <c r="A30" s="1" t="s">
        <v>151</v>
      </c>
      <c r="B30" s="2">
        <v>45718</v>
      </c>
      <c r="C30" s="1" t="s">
        <v>53</v>
      </c>
      <c r="D30" s="1" t="s">
        <v>14</v>
      </c>
      <c r="E30" s="1" t="s">
        <v>19</v>
      </c>
      <c r="F30" s="1">
        <v>4</v>
      </c>
      <c r="G30" s="1">
        <v>60</v>
      </c>
      <c r="H30" s="1">
        <v>6</v>
      </c>
    </row>
    <row r="31" spans="1:8">
      <c r="A31" s="1" t="s">
        <v>152</v>
      </c>
      <c r="B31" s="2">
        <v>45689</v>
      </c>
      <c r="C31" s="1" t="s">
        <v>51</v>
      </c>
      <c r="D31" s="1" t="s">
        <v>18</v>
      </c>
      <c r="E31" s="1" t="s">
        <v>31</v>
      </c>
      <c r="F31" s="1">
        <v>3</v>
      </c>
      <c r="G31" s="1">
        <v>45</v>
      </c>
      <c r="H31" s="1">
        <v>4</v>
      </c>
    </row>
    <row r="32" spans="1:8">
      <c r="A32" s="1" t="s">
        <v>153</v>
      </c>
      <c r="B32" s="2">
        <v>45718</v>
      </c>
      <c r="C32" s="1" t="s">
        <v>35</v>
      </c>
      <c r="D32" s="1" t="s">
        <v>10</v>
      </c>
      <c r="E32" s="1" t="s">
        <v>31</v>
      </c>
      <c r="F32" s="1">
        <v>5</v>
      </c>
      <c r="G32" s="1">
        <v>50</v>
      </c>
      <c r="H32" s="1">
        <v>6</v>
      </c>
    </row>
  </sheetData>
  <phoneticPr fontId="1" type="noConversion"/>
  <conditionalFormatting sqref="A3:H32">
    <cfRule type="expression" dxfId="0" priority="1">
      <formula>VALUE("20"&amp;MID($A3,4,2))&lt;&gt;YEAR($B3)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H32"/>
  <sheetViews>
    <sheetView workbookViewId="0"/>
  </sheetViews>
  <sheetFormatPr defaultRowHeight="16.5"/>
  <cols>
    <col min="1" max="1" width="12.375" bestFit="1" customWidth="1"/>
    <col min="2" max="2" width="10.75" bestFit="1" customWidth="1"/>
    <col min="3" max="3" width="6.625" bestFit="1" customWidth="1"/>
    <col min="4" max="4" width="4.875" bestFit="1" customWidth="1"/>
    <col min="5" max="5" width="8.5" bestFit="1" customWidth="1"/>
    <col min="6" max="6" width="10.375" bestFit="1" customWidth="1"/>
    <col min="7" max="7" width="8.5" bestFit="1" customWidth="1"/>
    <col min="8" max="8" width="10.37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1" t="s">
        <v>154</v>
      </c>
      <c r="B3" s="2">
        <v>45566</v>
      </c>
      <c r="C3" s="1" t="s">
        <v>9</v>
      </c>
      <c r="D3" s="1" t="s">
        <v>10</v>
      </c>
      <c r="E3" s="1" t="s">
        <v>11</v>
      </c>
      <c r="F3" s="1">
        <v>5</v>
      </c>
      <c r="G3" s="1">
        <v>60</v>
      </c>
      <c r="H3" s="1">
        <v>7</v>
      </c>
    </row>
    <row r="4" spans="1:8">
      <c r="A4" s="1" t="s">
        <v>139</v>
      </c>
      <c r="B4" s="2">
        <v>45659</v>
      </c>
      <c r="C4" s="1" t="s">
        <v>13</v>
      </c>
      <c r="D4" s="1" t="s">
        <v>14</v>
      </c>
      <c r="E4" s="1" t="s">
        <v>15</v>
      </c>
      <c r="F4" s="1">
        <v>3</v>
      </c>
      <c r="G4" s="1">
        <v>50</v>
      </c>
      <c r="H4" s="1">
        <v>5</v>
      </c>
    </row>
    <row r="5" spans="1:8">
      <c r="A5" s="1" t="s">
        <v>155</v>
      </c>
      <c r="B5" s="2">
        <v>45659</v>
      </c>
      <c r="C5" s="1" t="s">
        <v>17</v>
      </c>
      <c r="D5" s="1" t="s">
        <v>18</v>
      </c>
      <c r="E5" s="1" t="s">
        <v>19</v>
      </c>
      <c r="F5" s="1">
        <v>4</v>
      </c>
      <c r="G5" s="1">
        <v>85</v>
      </c>
      <c r="H5" s="1">
        <v>6</v>
      </c>
    </row>
    <row r="6" spans="1:8">
      <c r="A6" s="1" t="s">
        <v>140</v>
      </c>
      <c r="B6" s="2">
        <v>45659</v>
      </c>
      <c r="C6" s="1" t="s">
        <v>21</v>
      </c>
      <c r="D6" s="1" t="s">
        <v>14</v>
      </c>
      <c r="E6" s="1" t="s">
        <v>11</v>
      </c>
      <c r="F6" s="1">
        <v>4</v>
      </c>
      <c r="G6" s="1">
        <v>60</v>
      </c>
      <c r="H6" s="1">
        <v>3</v>
      </c>
    </row>
    <row r="7" spans="1:8">
      <c r="A7" s="1" t="s">
        <v>141</v>
      </c>
      <c r="B7" s="2">
        <v>45689</v>
      </c>
      <c r="C7" s="1" t="s">
        <v>23</v>
      </c>
      <c r="D7" s="1" t="s">
        <v>18</v>
      </c>
      <c r="E7" s="1" t="s">
        <v>15</v>
      </c>
      <c r="F7" s="1">
        <v>4</v>
      </c>
      <c r="G7" s="1">
        <v>50</v>
      </c>
      <c r="H7" s="1">
        <v>3</v>
      </c>
    </row>
    <row r="8" spans="1:8">
      <c r="A8" s="1" t="s">
        <v>142</v>
      </c>
      <c r="B8" s="2">
        <v>45689</v>
      </c>
      <c r="C8" s="1" t="s">
        <v>25</v>
      </c>
      <c r="D8" s="1" t="s">
        <v>10</v>
      </c>
      <c r="E8" s="1" t="s">
        <v>15</v>
      </c>
      <c r="F8" s="1">
        <v>6</v>
      </c>
      <c r="G8" s="1">
        <v>135</v>
      </c>
      <c r="H8" s="1">
        <v>6</v>
      </c>
    </row>
    <row r="9" spans="1:8">
      <c r="A9" s="1" t="s">
        <v>156</v>
      </c>
      <c r="B9" s="2">
        <v>45627</v>
      </c>
      <c r="C9" s="1" t="s">
        <v>9</v>
      </c>
      <c r="D9" s="1" t="s">
        <v>14</v>
      </c>
      <c r="E9" s="1" t="s">
        <v>11</v>
      </c>
      <c r="F9" s="1">
        <v>4</v>
      </c>
      <c r="G9" s="1">
        <v>120</v>
      </c>
      <c r="H9" s="1">
        <v>5</v>
      </c>
    </row>
    <row r="10" spans="1:8">
      <c r="A10" s="1" t="s">
        <v>157</v>
      </c>
      <c r="B10" s="2">
        <v>45597</v>
      </c>
      <c r="C10" s="1" t="s">
        <v>17</v>
      </c>
      <c r="D10" s="1" t="s">
        <v>10</v>
      </c>
      <c r="E10" s="1" t="s">
        <v>19</v>
      </c>
      <c r="F10" s="1">
        <v>5</v>
      </c>
      <c r="G10" s="1">
        <v>140</v>
      </c>
      <c r="H10" s="1">
        <v>4</v>
      </c>
    </row>
    <row r="11" spans="1:8">
      <c r="A11" s="1" t="s">
        <v>158</v>
      </c>
      <c r="B11" s="2">
        <v>45536</v>
      </c>
      <c r="C11" s="1" t="s">
        <v>13</v>
      </c>
      <c r="D11" s="1" t="s">
        <v>18</v>
      </c>
      <c r="E11" s="1" t="s">
        <v>15</v>
      </c>
      <c r="F11" s="1">
        <v>3</v>
      </c>
      <c r="G11" s="1">
        <v>80</v>
      </c>
      <c r="H11" s="1">
        <v>5</v>
      </c>
    </row>
    <row r="12" spans="1:8">
      <c r="A12" s="1" t="s">
        <v>159</v>
      </c>
      <c r="B12" s="2">
        <v>45566</v>
      </c>
      <c r="C12" s="1" t="s">
        <v>30</v>
      </c>
      <c r="D12" s="1" t="s">
        <v>10</v>
      </c>
      <c r="E12" s="1" t="s">
        <v>31</v>
      </c>
      <c r="F12" s="1">
        <v>5</v>
      </c>
      <c r="G12" s="1">
        <v>70</v>
      </c>
      <c r="H12" s="1">
        <v>3</v>
      </c>
    </row>
    <row r="13" spans="1:8">
      <c r="A13" s="1" t="s">
        <v>160</v>
      </c>
      <c r="B13" s="2">
        <v>45597</v>
      </c>
      <c r="C13" s="1" t="s">
        <v>33</v>
      </c>
      <c r="D13" s="1" t="s">
        <v>10</v>
      </c>
      <c r="E13" s="1" t="s">
        <v>15</v>
      </c>
      <c r="F13" s="1">
        <v>6</v>
      </c>
      <c r="G13" s="1">
        <v>68</v>
      </c>
      <c r="H13" s="1">
        <v>5</v>
      </c>
    </row>
    <row r="14" spans="1:8">
      <c r="A14" s="1" t="s">
        <v>161</v>
      </c>
      <c r="B14" s="2">
        <v>45627</v>
      </c>
      <c r="C14" s="1" t="s">
        <v>35</v>
      </c>
      <c r="D14" s="1" t="s">
        <v>14</v>
      </c>
      <c r="E14" s="1" t="s">
        <v>31</v>
      </c>
      <c r="F14" s="1">
        <v>4</v>
      </c>
      <c r="G14" s="1">
        <v>55</v>
      </c>
      <c r="H14" s="1">
        <v>4</v>
      </c>
    </row>
    <row r="15" spans="1:8">
      <c r="A15" s="1" t="s">
        <v>143</v>
      </c>
      <c r="B15" s="2">
        <v>45718</v>
      </c>
      <c r="C15" s="1" t="s">
        <v>37</v>
      </c>
      <c r="D15" s="1" t="s">
        <v>18</v>
      </c>
      <c r="E15" s="1" t="s">
        <v>19</v>
      </c>
      <c r="F15" s="1">
        <v>3</v>
      </c>
      <c r="G15" s="1">
        <v>54</v>
      </c>
      <c r="H15" s="1">
        <v>5</v>
      </c>
    </row>
    <row r="16" spans="1:8">
      <c r="A16" s="1" t="s">
        <v>144</v>
      </c>
      <c r="B16" s="2">
        <v>45718</v>
      </c>
      <c r="C16" s="1" t="s">
        <v>17</v>
      </c>
      <c r="D16" s="1" t="s">
        <v>10</v>
      </c>
      <c r="E16" s="1" t="s">
        <v>19</v>
      </c>
      <c r="F16" s="1">
        <v>5</v>
      </c>
      <c r="G16" s="1">
        <v>70</v>
      </c>
      <c r="H16" s="1">
        <v>6</v>
      </c>
    </row>
    <row r="17" spans="1:8">
      <c r="A17" s="1" t="s">
        <v>162</v>
      </c>
      <c r="B17" s="2">
        <v>45566</v>
      </c>
      <c r="C17" s="1" t="s">
        <v>21</v>
      </c>
      <c r="D17" s="1" t="s">
        <v>18</v>
      </c>
      <c r="E17" s="1" t="s">
        <v>11</v>
      </c>
      <c r="F17" s="1">
        <v>6</v>
      </c>
      <c r="G17" s="1">
        <v>75</v>
      </c>
      <c r="H17" s="1">
        <v>4</v>
      </c>
    </row>
    <row r="18" spans="1:8">
      <c r="A18" s="1" t="s">
        <v>145</v>
      </c>
      <c r="B18" s="2">
        <v>45597</v>
      </c>
      <c r="C18" s="1" t="s">
        <v>23</v>
      </c>
      <c r="D18" s="1" t="s">
        <v>14</v>
      </c>
      <c r="E18" s="1" t="s">
        <v>15</v>
      </c>
      <c r="F18" s="1">
        <v>4</v>
      </c>
      <c r="G18" s="1">
        <v>50</v>
      </c>
      <c r="H18" s="1">
        <v>5</v>
      </c>
    </row>
    <row r="19" spans="1:8">
      <c r="A19" s="1" t="s">
        <v>163</v>
      </c>
      <c r="B19" s="2">
        <v>45627</v>
      </c>
      <c r="C19" s="1" t="s">
        <v>9</v>
      </c>
      <c r="D19" s="1" t="s">
        <v>18</v>
      </c>
      <c r="E19" s="1" t="s">
        <v>11</v>
      </c>
      <c r="F19" s="1">
        <v>3</v>
      </c>
      <c r="G19" s="1">
        <v>45</v>
      </c>
      <c r="H19" s="1">
        <v>5</v>
      </c>
    </row>
    <row r="20" spans="1:8">
      <c r="A20" s="1" t="s">
        <v>164</v>
      </c>
      <c r="B20" s="2">
        <v>45536</v>
      </c>
      <c r="C20" s="1" t="s">
        <v>13</v>
      </c>
      <c r="D20" s="1" t="s">
        <v>10</v>
      </c>
      <c r="E20" s="1" t="s">
        <v>15</v>
      </c>
      <c r="F20" s="1">
        <v>5</v>
      </c>
      <c r="G20" s="1">
        <v>70</v>
      </c>
      <c r="H20" s="1">
        <v>4</v>
      </c>
    </row>
    <row r="21" spans="1:8">
      <c r="A21" s="1" t="s">
        <v>146</v>
      </c>
      <c r="B21" s="2">
        <v>45659</v>
      </c>
      <c r="C21" s="1" t="s">
        <v>17</v>
      </c>
      <c r="D21" s="1" t="s">
        <v>14</v>
      </c>
      <c r="E21" s="1" t="s">
        <v>19</v>
      </c>
      <c r="F21" s="1">
        <v>7</v>
      </c>
      <c r="G21" s="1">
        <v>150</v>
      </c>
      <c r="H21" s="1">
        <v>3</v>
      </c>
    </row>
    <row r="22" spans="1:8">
      <c r="A22" s="1" t="s">
        <v>165</v>
      </c>
      <c r="B22" s="2">
        <v>45627</v>
      </c>
      <c r="C22" s="1" t="s">
        <v>25</v>
      </c>
      <c r="D22" s="1" t="s">
        <v>14</v>
      </c>
      <c r="E22" s="1" t="s">
        <v>15</v>
      </c>
      <c r="F22" s="1">
        <v>5</v>
      </c>
      <c r="G22" s="1">
        <v>67</v>
      </c>
      <c r="H22" s="1">
        <v>4</v>
      </c>
    </row>
    <row r="23" spans="1:8">
      <c r="A23" s="1" t="s">
        <v>166</v>
      </c>
      <c r="B23" s="2">
        <v>45597</v>
      </c>
      <c r="C23" s="1" t="s">
        <v>30</v>
      </c>
      <c r="D23" s="1" t="s">
        <v>14</v>
      </c>
      <c r="E23" s="1" t="s">
        <v>31</v>
      </c>
      <c r="F23" s="1">
        <v>5</v>
      </c>
      <c r="G23" s="1">
        <v>80</v>
      </c>
      <c r="H23" s="1">
        <v>6</v>
      </c>
    </row>
    <row r="24" spans="1:8">
      <c r="A24" s="1" t="s">
        <v>167</v>
      </c>
      <c r="B24" s="2">
        <v>45566</v>
      </c>
      <c r="C24" s="1" t="s">
        <v>33</v>
      </c>
      <c r="D24" s="1" t="s">
        <v>14</v>
      </c>
      <c r="E24" s="1" t="s">
        <v>15</v>
      </c>
      <c r="F24" s="1">
        <v>5</v>
      </c>
      <c r="G24" s="1">
        <v>65</v>
      </c>
      <c r="H24" s="1">
        <v>4</v>
      </c>
    </row>
    <row r="25" spans="1:8">
      <c r="A25" s="1" t="s">
        <v>147</v>
      </c>
      <c r="B25" s="2">
        <v>45536</v>
      </c>
      <c r="C25" s="1" t="s">
        <v>37</v>
      </c>
      <c r="D25" s="1" t="s">
        <v>14</v>
      </c>
      <c r="E25" s="1" t="s">
        <v>19</v>
      </c>
      <c r="F25" s="1">
        <v>4</v>
      </c>
      <c r="G25" s="1">
        <v>58</v>
      </c>
      <c r="H25" s="1">
        <v>5</v>
      </c>
    </row>
    <row r="26" spans="1:8">
      <c r="A26" s="1" t="s">
        <v>168</v>
      </c>
      <c r="B26" s="2">
        <v>45627</v>
      </c>
      <c r="C26" s="1" t="s">
        <v>49</v>
      </c>
      <c r="D26" s="1" t="s">
        <v>10</v>
      </c>
      <c r="E26" s="1" t="s">
        <v>15</v>
      </c>
      <c r="F26" s="1">
        <v>5</v>
      </c>
      <c r="G26" s="1">
        <v>65</v>
      </c>
      <c r="H26" s="1">
        <v>5</v>
      </c>
    </row>
    <row r="27" spans="1:8">
      <c r="A27" s="1" t="s">
        <v>148</v>
      </c>
      <c r="B27" s="2">
        <v>45750</v>
      </c>
      <c r="C27" s="1" t="s">
        <v>51</v>
      </c>
      <c r="D27" s="1" t="s">
        <v>14</v>
      </c>
      <c r="E27" s="1" t="s">
        <v>31</v>
      </c>
      <c r="F27" s="1">
        <v>3</v>
      </c>
      <c r="G27" s="1">
        <v>50</v>
      </c>
      <c r="H27" s="1">
        <v>5</v>
      </c>
    </row>
    <row r="28" spans="1:8">
      <c r="A28" s="1" t="s">
        <v>149</v>
      </c>
      <c r="B28" s="2">
        <v>45750</v>
      </c>
      <c r="C28" s="1" t="s">
        <v>53</v>
      </c>
      <c r="D28" s="1" t="s">
        <v>10</v>
      </c>
      <c r="E28" s="1" t="s">
        <v>19</v>
      </c>
      <c r="F28" s="1">
        <v>6</v>
      </c>
      <c r="G28" s="1">
        <v>70</v>
      </c>
      <c r="H28" s="1">
        <v>4</v>
      </c>
    </row>
    <row r="29" spans="1:8">
      <c r="A29" s="1" t="s">
        <v>150</v>
      </c>
      <c r="B29" s="2">
        <v>45750</v>
      </c>
      <c r="C29" s="1" t="s">
        <v>49</v>
      </c>
      <c r="D29" s="1" t="s">
        <v>14</v>
      </c>
      <c r="E29" s="1" t="s">
        <v>15</v>
      </c>
      <c r="F29" s="1">
        <v>5</v>
      </c>
      <c r="G29" s="1">
        <v>70</v>
      </c>
      <c r="H29" s="1">
        <v>5</v>
      </c>
    </row>
    <row r="30" spans="1:8">
      <c r="A30" s="1" t="s">
        <v>151</v>
      </c>
      <c r="B30" s="2">
        <v>45718</v>
      </c>
      <c r="C30" s="1" t="s">
        <v>53</v>
      </c>
      <c r="D30" s="1" t="s">
        <v>14</v>
      </c>
      <c r="E30" s="1" t="s">
        <v>19</v>
      </c>
      <c r="F30" s="1">
        <v>4</v>
      </c>
      <c r="G30" s="1">
        <v>60</v>
      </c>
      <c r="H30" s="1">
        <v>6</v>
      </c>
    </row>
    <row r="31" spans="1:8">
      <c r="A31" s="1" t="s">
        <v>152</v>
      </c>
      <c r="B31" s="2">
        <v>45689</v>
      </c>
      <c r="C31" s="1" t="s">
        <v>51</v>
      </c>
      <c r="D31" s="1" t="s">
        <v>18</v>
      </c>
      <c r="E31" s="1" t="s">
        <v>31</v>
      </c>
      <c r="F31" s="1">
        <v>3</v>
      </c>
      <c r="G31" s="1">
        <v>45</v>
      </c>
      <c r="H31" s="1">
        <v>4</v>
      </c>
    </row>
    <row r="32" spans="1:8">
      <c r="A32" s="1" t="s">
        <v>153</v>
      </c>
      <c r="B32" s="2">
        <v>45718</v>
      </c>
      <c r="C32" s="1" t="s">
        <v>35</v>
      </c>
      <c r="D32" s="1" t="s">
        <v>10</v>
      </c>
      <c r="E32" s="1" t="s">
        <v>31</v>
      </c>
      <c r="F32" s="1">
        <v>5</v>
      </c>
      <c r="G32" s="1">
        <v>50</v>
      </c>
      <c r="H32" s="1">
        <v>6</v>
      </c>
    </row>
  </sheetData>
  <phoneticPr fontId="1" type="noConversion"/>
  <printOptions horizontalCentered="1" verticalCentered="1"/>
  <pageMargins left="0.25" right="0.25" top="0.75" bottom="0.75" header="0.3" footer="0.3"/>
  <pageSetup paperSize="9" orientation="portrait" r:id="rId1"/>
  <headerFooter>
    <oddHeader>&amp;L인쇄 날짜 : 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38"/>
  <sheetViews>
    <sheetView workbookViewId="0">
      <selection activeCell="B3" sqref="B3"/>
    </sheetView>
  </sheetViews>
  <sheetFormatPr defaultRowHeight="16.5"/>
  <cols>
    <col min="2" max="2" width="12.375" bestFit="1" customWidth="1"/>
    <col min="3" max="3" width="10.75" bestFit="1" customWidth="1"/>
    <col min="7" max="7" width="9.625" customWidth="1"/>
    <col min="8" max="8" width="10.375" bestFit="1" customWidth="1"/>
    <col min="9" max="9" width="8.5" bestFit="1" customWidth="1"/>
    <col min="10" max="10" width="10.375" bestFit="1" customWidth="1"/>
    <col min="11" max="11" width="32.5" bestFit="1" customWidth="1"/>
  </cols>
  <sheetData>
    <row r="1" spans="1:12">
      <c r="A1" t="s">
        <v>58</v>
      </c>
    </row>
    <row r="2" spans="1:12">
      <c r="A2" s="1" t="s">
        <v>59</v>
      </c>
      <c r="B2" s="3" t="s">
        <v>60</v>
      </c>
      <c r="C2" s="1" t="s">
        <v>1</v>
      </c>
      <c r="D2" s="1" t="s">
        <v>2</v>
      </c>
      <c r="E2" s="1" t="s">
        <v>3</v>
      </c>
      <c r="F2" s="1" t="s">
        <v>4</v>
      </c>
      <c r="G2" s="3" t="s">
        <v>61</v>
      </c>
      <c r="H2" s="1" t="s">
        <v>5</v>
      </c>
      <c r="I2" s="1" t="s">
        <v>6</v>
      </c>
      <c r="J2" s="1" t="s">
        <v>7</v>
      </c>
      <c r="K2" s="3" t="s">
        <v>62</v>
      </c>
      <c r="L2" s="3" t="s">
        <v>63</v>
      </c>
    </row>
    <row r="3" spans="1:12">
      <c r="A3" s="1" t="s">
        <v>64</v>
      </c>
      <c r="B3" s="1" t="str">
        <f>REPLACE(A3,3,0,"-"&amp;RIGHT(YEAR(C3),2)&amp;"-")</f>
        <v>M1-24-10KO</v>
      </c>
      <c r="C3" s="2">
        <v>45566</v>
      </c>
      <c r="D3" s="1" t="s">
        <v>9</v>
      </c>
      <c r="E3" s="1" t="s">
        <v>10</v>
      </c>
      <c r="F3" s="1" t="s">
        <v>11</v>
      </c>
      <c r="G3" s="4">
        <f>HLOOKUP(E3,$B$35:$D$37,MATCH(F3,$A$36:$A$37,-1)+1)</f>
        <v>0.3</v>
      </c>
      <c r="H3" s="1">
        <v>5</v>
      </c>
      <c r="I3" s="1">
        <v>60</v>
      </c>
      <c r="J3" s="1">
        <v>7</v>
      </c>
      <c r="K3" s="5" t="str">
        <f>IFERROR(REPT("▶",(H3/J3)*10)&amp;TEXT(H3/J3,"0.0%"),"신생강의")</f>
        <v>▶▶▶▶▶▶▶71.4%</v>
      </c>
      <c r="L3" s="5" t="str" cm="1">
        <f t="array" ref="L3">fn비고(H3,I3)</f>
        <v/>
      </c>
    </row>
    <row r="4" spans="1:12">
      <c r="A4" s="1" t="s">
        <v>65</v>
      </c>
      <c r="B4" s="1" t="str">
        <f t="shared" ref="B4:B32" si="0">REPLACE(A4,3,0,"-"&amp;RIGHT(YEAR(C4),2)&amp;"-")</f>
        <v>M2-25-01EN</v>
      </c>
      <c r="C4" s="2">
        <v>45659</v>
      </c>
      <c r="D4" s="1" t="s">
        <v>13</v>
      </c>
      <c r="E4" s="1" t="s">
        <v>14</v>
      </c>
      <c r="F4" s="1" t="s">
        <v>15</v>
      </c>
      <c r="G4" s="4">
        <f t="shared" ref="G4:G32" si="1">HLOOKUP(E4,$B$35:$D$37,MATCH(F4,$A$36:$A$37,-1)+1)</f>
        <v>0.15</v>
      </c>
      <c r="H4" s="1">
        <v>3</v>
      </c>
      <c r="I4" s="1">
        <v>50</v>
      </c>
      <c r="J4" s="1">
        <v>6</v>
      </c>
      <c r="K4" s="5" t="str">
        <f t="shared" ref="K4:K32" si="2">IFERROR(REPT("▶",(H4/J4)*10)&amp;TEXT(H4/J4,"0.0%"),"신생강의")</f>
        <v>▶▶▶▶▶50.0%</v>
      </c>
      <c r="L4" s="5" t="str" cm="1">
        <f t="array" ref="L4">fn비고(H4,I4)</f>
        <v/>
      </c>
    </row>
    <row r="5" spans="1:12">
      <c r="A5" s="1" t="s">
        <v>66</v>
      </c>
      <c r="B5" s="1" t="str">
        <f t="shared" si="0"/>
        <v>M3-25-01MA</v>
      </c>
      <c r="C5" s="2">
        <v>45659</v>
      </c>
      <c r="D5" s="1" t="s">
        <v>17</v>
      </c>
      <c r="E5" s="1" t="s">
        <v>18</v>
      </c>
      <c r="F5" s="1" t="s">
        <v>19</v>
      </c>
      <c r="G5" s="4">
        <f t="shared" si="1"/>
        <v>0.15</v>
      </c>
      <c r="H5" s="1">
        <v>4</v>
      </c>
      <c r="I5" s="1">
        <v>85</v>
      </c>
      <c r="J5" s="1">
        <v>8</v>
      </c>
      <c r="K5" s="5" t="str">
        <f t="shared" si="2"/>
        <v>▶▶▶▶▶50.0%</v>
      </c>
      <c r="L5" s="5" t="str" cm="1">
        <f t="array" ref="L5">fn비고(H5,I5)</f>
        <v>강의증설</v>
      </c>
    </row>
    <row r="6" spans="1:12">
      <c r="A6" s="1" t="s">
        <v>67</v>
      </c>
      <c r="B6" s="1" t="str">
        <f t="shared" si="0"/>
        <v>M2-25-01KO</v>
      </c>
      <c r="C6" s="2">
        <v>45659</v>
      </c>
      <c r="D6" s="1" t="s">
        <v>21</v>
      </c>
      <c r="E6" s="1" t="s">
        <v>14</v>
      </c>
      <c r="F6" s="1" t="s">
        <v>11</v>
      </c>
      <c r="G6" s="4">
        <f t="shared" si="1"/>
        <v>0.25</v>
      </c>
      <c r="H6" s="1">
        <v>1</v>
      </c>
      <c r="I6" s="1">
        <v>15</v>
      </c>
      <c r="J6" s="1">
        <v>6</v>
      </c>
      <c r="K6" s="5" t="str">
        <f t="shared" si="2"/>
        <v>▶16.7%</v>
      </c>
      <c r="L6" s="5" t="str" cm="1">
        <f t="array" ref="L6">fn비고(H6,I6)</f>
        <v/>
      </c>
    </row>
    <row r="7" spans="1:12">
      <c r="A7" s="1" t="s">
        <v>68</v>
      </c>
      <c r="B7" s="1" t="str">
        <f t="shared" si="0"/>
        <v>M3-25-02EN</v>
      </c>
      <c r="C7" s="2">
        <v>45689</v>
      </c>
      <c r="D7" s="1" t="s">
        <v>23</v>
      </c>
      <c r="E7" s="1" t="s">
        <v>18</v>
      </c>
      <c r="F7" s="1" t="s">
        <v>15</v>
      </c>
      <c r="G7" s="4">
        <f t="shared" si="1"/>
        <v>0.1</v>
      </c>
      <c r="H7" s="1">
        <v>4</v>
      </c>
      <c r="I7" s="1">
        <v>16</v>
      </c>
      <c r="J7" s="1">
        <v>3</v>
      </c>
      <c r="K7" s="5" t="str">
        <f t="shared" si="2"/>
        <v>▶▶▶▶▶▶▶▶▶▶▶▶▶133.3%</v>
      </c>
      <c r="L7" s="5" t="str" cm="1">
        <f t="array" ref="L7">fn비고(H7,I7)</f>
        <v>강의폐강</v>
      </c>
    </row>
    <row r="8" spans="1:12">
      <c r="A8" s="1" t="s">
        <v>69</v>
      </c>
      <c r="B8" s="1" t="str">
        <f t="shared" si="0"/>
        <v>M1-25-02EN</v>
      </c>
      <c r="C8" s="2">
        <v>45689</v>
      </c>
      <c r="D8" s="1" t="s">
        <v>25</v>
      </c>
      <c r="E8" s="1" t="s">
        <v>10</v>
      </c>
      <c r="F8" s="1" t="s">
        <v>15</v>
      </c>
      <c r="G8" s="4">
        <f t="shared" si="1"/>
        <v>0.2</v>
      </c>
      <c r="H8" s="1">
        <v>6</v>
      </c>
      <c r="I8" s="1">
        <v>135</v>
      </c>
      <c r="J8" s="1">
        <v>7</v>
      </c>
      <c r="K8" s="5" t="str">
        <f t="shared" si="2"/>
        <v>▶▶▶▶▶▶▶▶85.7%</v>
      </c>
      <c r="L8" s="5" t="str" cm="1">
        <f t="array" ref="L8">fn비고(H8,I8)</f>
        <v>강의증설</v>
      </c>
    </row>
    <row r="9" spans="1:12">
      <c r="A9" s="1" t="s">
        <v>70</v>
      </c>
      <c r="B9" s="1" t="str">
        <f t="shared" si="0"/>
        <v>M2-24-12KO</v>
      </c>
      <c r="C9" s="2">
        <v>45627</v>
      </c>
      <c r="D9" s="1" t="s">
        <v>71</v>
      </c>
      <c r="E9" s="1" t="s">
        <v>14</v>
      </c>
      <c r="F9" s="1" t="s">
        <v>11</v>
      </c>
      <c r="G9" s="4">
        <f t="shared" si="1"/>
        <v>0.25</v>
      </c>
      <c r="H9" s="1">
        <v>4</v>
      </c>
      <c r="I9" s="1">
        <v>62</v>
      </c>
      <c r="J9" s="1">
        <v>5</v>
      </c>
      <c r="K9" s="5" t="str">
        <f t="shared" si="2"/>
        <v>▶▶▶▶▶▶▶▶80.0%</v>
      </c>
      <c r="L9" s="5" t="str" cm="1">
        <f t="array" ref="L9">fn비고(H9,I9)</f>
        <v/>
      </c>
    </row>
    <row r="10" spans="1:12">
      <c r="A10" s="1" t="s">
        <v>72</v>
      </c>
      <c r="B10" s="1" t="str">
        <f t="shared" si="0"/>
        <v>M1-24-11MA</v>
      </c>
      <c r="C10" s="2">
        <v>45597</v>
      </c>
      <c r="D10" s="1" t="s">
        <v>17</v>
      </c>
      <c r="E10" s="1" t="s">
        <v>10</v>
      </c>
      <c r="F10" s="1" t="s">
        <v>19</v>
      </c>
      <c r="G10" s="4">
        <f t="shared" si="1"/>
        <v>0.3</v>
      </c>
      <c r="H10" s="1">
        <v>5</v>
      </c>
      <c r="I10" s="1">
        <v>140</v>
      </c>
      <c r="J10" s="1">
        <v>4</v>
      </c>
      <c r="K10" s="5" t="str">
        <f t="shared" si="2"/>
        <v>▶▶▶▶▶▶▶▶▶▶▶▶125.0%</v>
      </c>
      <c r="L10" s="5" t="str" cm="1">
        <f t="array" ref="L10">fn비고(H10,I10)</f>
        <v>강의증설</v>
      </c>
    </row>
    <row r="11" spans="1:12">
      <c r="A11" s="1" t="s">
        <v>73</v>
      </c>
      <c r="B11" s="1" t="str">
        <f t="shared" si="0"/>
        <v>M3-24-09EN</v>
      </c>
      <c r="C11" s="2">
        <v>45536</v>
      </c>
      <c r="D11" s="1" t="s">
        <v>13</v>
      </c>
      <c r="E11" s="1" t="s">
        <v>18</v>
      </c>
      <c r="F11" s="1" t="s">
        <v>15</v>
      </c>
      <c r="G11" s="4">
        <f t="shared" si="1"/>
        <v>0.1</v>
      </c>
      <c r="H11" s="1">
        <v>3</v>
      </c>
      <c r="I11" s="1">
        <v>45</v>
      </c>
      <c r="J11" s="1">
        <v>0</v>
      </c>
      <c r="K11" s="5" t="str">
        <f t="shared" si="2"/>
        <v>신생강의</v>
      </c>
      <c r="L11" s="5" t="str" cm="1">
        <f t="array" ref="L11">fn비고(H11,I11)</f>
        <v/>
      </c>
    </row>
    <row r="12" spans="1:12">
      <c r="A12" s="1" t="s">
        <v>74</v>
      </c>
      <c r="B12" s="1" t="str">
        <f t="shared" si="0"/>
        <v>M1-24-10SC</v>
      </c>
      <c r="C12" s="2">
        <v>45566</v>
      </c>
      <c r="D12" s="1" t="s">
        <v>30</v>
      </c>
      <c r="E12" s="1" t="s">
        <v>10</v>
      </c>
      <c r="F12" s="1" t="s">
        <v>31</v>
      </c>
      <c r="G12" s="4">
        <f t="shared" si="1"/>
        <v>0.3</v>
      </c>
      <c r="H12" s="1">
        <v>3</v>
      </c>
      <c r="I12" s="1">
        <v>70</v>
      </c>
      <c r="J12" s="1">
        <v>3</v>
      </c>
      <c r="K12" s="5" t="str">
        <f t="shared" si="2"/>
        <v>▶▶▶▶▶▶▶▶▶▶100.0%</v>
      </c>
      <c r="L12" s="5" t="str" cm="1">
        <f t="array" ref="L12">fn비고(H12,I12)</f>
        <v>강의증설</v>
      </c>
    </row>
    <row r="13" spans="1:12">
      <c r="A13" s="1" t="s">
        <v>75</v>
      </c>
      <c r="B13" s="1" t="str">
        <f t="shared" si="0"/>
        <v>M1-24-11EN</v>
      </c>
      <c r="C13" s="2">
        <v>45597</v>
      </c>
      <c r="D13" s="1" t="s">
        <v>33</v>
      </c>
      <c r="E13" s="1" t="s">
        <v>10</v>
      </c>
      <c r="F13" s="1" t="s">
        <v>15</v>
      </c>
      <c r="G13" s="4">
        <f t="shared" si="1"/>
        <v>0.2</v>
      </c>
      <c r="H13" s="1">
        <v>6</v>
      </c>
      <c r="I13" s="1">
        <v>68</v>
      </c>
      <c r="J13" s="1">
        <v>0</v>
      </c>
      <c r="K13" s="5" t="str">
        <f t="shared" si="2"/>
        <v>신생강의</v>
      </c>
      <c r="L13" s="5" t="str" cm="1">
        <f t="array" ref="L13">fn비고(H13,I13)</f>
        <v/>
      </c>
    </row>
    <row r="14" spans="1:12">
      <c r="A14" s="1" t="s">
        <v>76</v>
      </c>
      <c r="B14" s="1" t="str">
        <f t="shared" si="0"/>
        <v>M2-24-12SC</v>
      </c>
      <c r="C14" s="2">
        <v>45627</v>
      </c>
      <c r="D14" s="1" t="s">
        <v>35</v>
      </c>
      <c r="E14" s="1" t="s">
        <v>14</v>
      </c>
      <c r="F14" s="1" t="s">
        <v>31</v>
      </c>
      <c r="G14" s="4">
        <f t="shared" si="1"/>
        <v>0.25</v>
      </c>
      <c r="H14" s="1">
        <v>4</v>
      </c>
      <c r="I14" s="1">
        <v>55</v>
      </c>
      <c r="J14" s="1">
        <v>3</v>
      </c>
      <c r="K14" s="5" t="str">
        <f t="shared" si="2"/>
        <v>▶▶▶▶▶▶▶▶▶▶▶▶▶133.3%</v>
      </c>
      <c r="L14" s="5" t="str" cm="1">
        <f t="array" ref="L14">fn비고(H14,I14)</f>
        <v/>
      </c>
    </row>
    <row r="15" spans="1:12">
      <c r="A15" s="1" t="s">
        <v>77</v>
      </c>
      <c r="B15" s="1" t="str">
        <f t="shared" si="0"/>
        <v>M3-25-03MA</v>
      </c>
      <c r="C15" s="2">
        <v>45718</v>
      </c>
      <c r="D15" s="1" t="s">
        <v>37</v>
      </c>
      <c r="E15" s="1" t="s">
        <v>18</v>
      </c>
      <c r="F15" s="1" t="s">
        <v>19</v>
      </c>
      <c r="G15" s="4">
        <f t="shared" si="1"/>
        <v>0.15</v>
      </c>
      <c r="H15" s="1">
        <v>3</v>
      </c>
      <c r="I15" s="1">
        <v>54</v>
      </c>
      <c r="J15" s="1">
        <v>7</v>
      </c>
      <c r="K15" s="5" t="str">
        <f t="shared" si="2"/>
        <v>▶▶▶▶42.9%</v>
      </c>
      <c r="L15" s="5" t="str" cm="1">
        <f t="array" ref="L15">fn비고(H15,I15)</f>
        <v/>
      </c>
    </row>
    <row r="16" spans="1:12">
      <c r="A16" s="1" t="s">
        <v>78</v>
      </c>
      <c r="B16" s="1" t="str">
        <f t="shared" si="0"/>
        <v>M1-25-03MA</v>
      </c>
      <c r="C16" s="2">
        <v>45718</v>
      </c>
      <c r="D16" s="1" t="s">
        <v>17</v>
      </c>
      <c r="E16" s="1" t="s">
        <v>10</v>
      </c>
      <c r="F16" s="1" t="s">
        <v>19</v>
      </c>
      <c r="G16" s="4">
        <f t="shared" si="1"/>
        <v>0.3</v>
      </c>
      <c r="H16" s="1">
        <v>5</v>
      </c>
      <c r="I16" s="1">
        <v>71</v>
      </c>
      <c r="J16" s="1">
        <v>5</v>
      </c>
      <c r="K16" s="5" t="str">
        <f t="shared" si="2"/>
        <v>▶▶▶▶▶▶▶▶▶▶100.0%</v>
      </c>
      <c r="L16" s="5" t="str" cm="1">
        <f t="array" ref="L16">fn비고(H16,I16)</f>
        <v/>
      </c>
    </row>
    <row r="17" spans="1:12">
      <c r="A17" s="1" t="s">
        <v>79</v>
      </c>
      <c r="B17" s="1" t="str">
        <f t="shared" si="0"/>
        <v>M3-24-10KO</v>
      </c>
      <c r="C17" s="2">
        <v>45566</v>
      </c>
      <c r="D17" s="1" t="s">
        <v>21</v>
      </c>
      <c r="E17" s="1" t="s">
        <v>18</v>
      </c>
      <c r="F17" s="1" t="s">
        <v>11</v>
      </c>
      <c r="G17" s="4">
        <f t="shared" si="1"/>
        <v>0.15</v>
      </c>
      <c r="H17" s="1">
        <v>6</v>
      </c>
      <c r="I17" s="1">
        <v>75</v>
      </c>
      <c r="J17" s="1">
        <v>5</v>
      </c>
      <c r="K17" s="5" t="str">
        <f t="shared" si="2"/>
        <v>▶▶▶▶▶▶▶▶▶▶▶▶120.0%</v>
      </c>
      <c r="L17" s="5" t="str" cm="1">
        <f t="array" ref="L17">fn비고(H17,I17)</f>
        <v/>
      </c>
    </row>
    <row r="18" spans="1:12">
      <c r="A18" s="1" t="s">
        <v>80</v>
      </c>
      <c r="B18" s="1" t="str">
        <f t="shared" si="0"/>
        <v>M2-24-11EN</v>
      </c>
      <c r="C18" s="2">
        <v>45597</v>
      </c>
      <c r="D18" s="1" t="s">
        <v>23</v>
      </c>
      <c r="E18" s="1" t="s">
        <v>14</v>
      </c>
      <c r="F18" s="1" t="s">
        <v>15</v>
      </c>
      <c r="G18" s="4">
        <f t="shared" si="1"/>
        <v>0.15</v>
      </c>
      <c r="H18" s="1">
        <v>4</v>
      </c>
      <c r="I18" s="1">
        <v>20</v>
      </c>
      <c r="J18" s="1">
        <v>5</v>
      </c>
      <c r="K18" s="5" t="str">
        <f t="shared" si="2"/>
        <v>▶▶▶▶▶▶▶▶80.0%</v>
      </c>
      <c r="L18" s="5" t="str" cm="1">
        <f t="array" ref="L18">fn비고(H18,I18)</f>
        <v>강의폐강</v>
      </c>
    </row>
    <row r="19" spans="1:12">
      <c r="A19" s="1" t="s">
        <v>81</v>
      </c>
      <c r="B19" s="1" t="str">
        <f t="shared" si="0"/>
        <v>M3-24-12KO</v>
      </c>
      <c r="C19" s="2">
        <v>45627</v>
      </c>
      <c r="D19" s="1" t="s">
        <v>9</v>
      </c>
      <c r="E19" s="1" t="s">
        <v>18</v>
      </c>
      <c r="F19" s="1" t="s">
        <v>11</v>
      </c>
      <c r="G19" s="4">
        <f t="shared" si="1"/>
        <v>0.15</v>
      </c>
      <c r="H19" s="1">
        <v>3</v>
      </c>
      <c r="I19" s="1">
        <v>46</v>
      </c>
      <c r="J19" s="1">
        <v>5</v>
      </c>
      <c r="K19" s="5" t="str">
        <f t="shared" si="2"/>
        <v>▶▶▶▶▶▶60.0%</v>
      </c>
      <c r="L19" s="5" t="str" cm="1">
        <f t="array" ref="L19">fn비고(H19,I19)</f>
        <v/>
      </c>
    </row>
    <row r="20" spans="1:12">
      <c r="A20" s="1" t="s">
        <v>82</v>
      </c>
      <c r="B20" s="1" t="str">
        <f t="shared" si="0"/>
        <v>M1-24-09EN</v>
      </c>
      <c r="C20" s="2">
        <v>45536</v>
      </c>
      <c r="D20" s="1" t="s">
        <v>13</v>
      </c>
      <c r="E20" s="1" t="s">
        <v>10</v>
      </c>
      <c r="F20" s="1" t="s">
        <v>15</v>
      </c>
      <c r="G20" s="4">
        <f t="shared" si="1"/>
        <v>0.2</v>
      </c>
      <c r="H20" s="1">
        <v>5</v>
      </c>
      <c r="I20" s="1">
        <v>69</v>
      </c>
      <c r="J20" s="1">
        <v>0</v>
      </c>
      <c r="K20" s="5" t="str">
        <f t="shared" si="2"/>
        <v>신생강의</v>
      </c>
      <c r="L20" s="5" t="str" cm="1">
        <f t="array" ref="L20">fn비고(H20,I20)</f>
        <v/>
      </c>
    </row>
    <row r="21" spans="1:12">
      <c r="A21" s="1" t="s">
        <v>83</v>
      </c>
      <c r="B21" s="1" t="str">
        <f t="shared" si="0"/>
        <v>M2-25-01MA</v>
      </c>
      <c r="C21" s="2">
        <v>45659</v>
      </c>
      <c r="D21" s="1" t="s">
        <v>17</v>
      </c>
      <c r="E21" s="1" t="s">
        <v>14</v>
      </c>
      <c r="F21" s="1" t="s">
        <v>19</v>
      </c>
      <c r="G21" s="4">
        <f t="shared" si="1"/>
        <v>0.25</v>
      </c>
      <c r="H21" s="1">
        <v>2</v>
      </c>
      <c r="I21" s="1">
        <v>150</v>
      </c>
      <c r="J21" s="1">
        <v>5</v>
      </c>
      <c r="K21" s="5" t="str">
        <f t="shared" si="2"/>
        <v>▶▶▶▶40.0%</v>
      </c>
      <c r="L21" s="5" t="str" cm="1">
        <f t="array" ref="L21">fn비고(H21,I21)</f>
        <v>강의증설</v>
      </c>
    </row>
    <row r="22" spans="1:12">
      <c r="A22" s="1" t="s">
        <v>84</v>
      </c>
      <c r="B22" s="1" t="str">
        <f t="shared" si="0"/>
        <v>M2-24-12EN</v>
      </c>
      <c r="C22" s="2">
        <v>45627</v>
      </c>
      <c r="D22" s="1" t="s">
        <v>25</v>
      </c>
      <c r="E22" s="1" t="s">
        <v>14</v>
      </c>
      <c r="F22" s="1" t="s">
        <v>15</v>
      </c>
      <c r="G22" s="4">
        <f t="shared" si="1"/>
        <v>0.15</v>
      </c>
      <c r="H22" s="1">
        <v>3</v>
      </c>
      <c r="I22" s="1">
        <v>67</v>
      </c>
      <c r="J22" s="1">
        <v>4</v>
      </c>
      <c r="K22" s="5" t="str">
        <f t="shared" si="2"/>
        <v>▶▶▶▶▶▶▶75.0%</v>
      </c>
      <c r="L22" s="5" t="str" cm="1">
        <f t="array" ref="L22">fn비고(H22,I22)</f>
        <v>강의증설</v>
      </c>
    </row>
    <row r="23" spans="1:12">
      <c r="A23" s="1" t="s">
        <v>85</v>
      </c>
      <c r="B23" s="1" t="str">
        <f t="shared" si="0"/>
        <v>M2-24-11SC</v>
      </c>
      <c r="C23" s="2">
        <v>45597</v>
      </c>
      <c r="D23" s="1" t="s">
        <v>30</v>
      </c>
      <c r="E23" s="1" t="s">
        <v>14</v>
      </c>
      <c r="F23" s="1" t="s">
        <v>31</v>
      </c>
      <c r="G23" s="4">
        <f t="shared" si="1"/>
        <v>0.25</v>
      </c>
      <c r="H23" s="1">
        <v>5</v>
      </c>
      <c r="I23" s="1">
        <v>80</v>
      </c>
      <c r="J23" s="1">
        <v>5</v>
      </c>
      <c r="K23" s="5" t="str">
        <f t="shared" si="2"/>
        <v>▶▶▶▶▶▶▶▶▶▶100.0%</v>
      </c>
      <c r="L23" s="5" t="str" cm="1">
        <f t="array" ref="L23">fn비고(H23,I23)</f>
        <v/>
      </c>
    </row>
    <row r="24" spans="1:12">
      <c r="A24" s="1" t="s">
        <v>86</v>
      </c>
      <c r="B24" s="1" t="str">
        <f t="shared" si="0"/>
        <v>M2-24-10EN</v>
      </c>
      <c r="C24" s="2">
        <v>45566</v>
      </c>
      <c r="D24" s="1" t="s">
        <v>33</v>
      </c>
      <c r="E24" s="1" t="s">
        <v>14</v>
      </c>
      <c r="F24" s="1" t="s">
        <v>15</v>
      </c>
      <c r="G24" s="4">
        <f t="shared" si="1"/>
        <v>0.15</v>
      </c>
      <c r="H24" s="1">
        <v>5</v>
      </c>
      <c r="I24" s="1">
        <v>65</v>
      </c>
      <c r="J24" s="1">
        <v>4</v>
      </c>
      <c r="K24" s="5" t="str">
        <f t="shared" si="2"/>
        <v>▶▶▶▶▶▶▶▶▶▶▶▶125.0%</v>
      </c>
      <c r="L24" s="5" t="str" cm="1">
        <f t="array" ref="L24">fn비고(H24,I24)</f>
        <v/>
      </c>
    </row>
    <row r="25" spans="1:12">
      <c r="A25" s="1" t="s">
        <v>87</v>
      </c>
      <c r="B25" s="1" t="str">
        <f t="shared" si="0"/>
        <v>M2-24-09MA</v>
      </c>
      <c r="C25" s="2">
        <v>45536</v>
      </c>
      <c r="D25" s="1" t="s">
        <v>37</v>
      </c>
      <c r="E25" s="1" t="s">
        <v>14</v>
      </c>
      <c r="F25" s="1" t="s">
        <v>19</v>
      </c>
      <c r="G25" s="4">
        <f t="shared" si="1"/>
        <v>0.25</v>
      </c>
      <c r="H25" s="1">
        <v>4</v>
      </c>
      <c r="I25" s="1">
        <v>58</v>
      </c>
      <c r="J25" s="1">
        <v>5</v>
      </c>
      <c r="K25" s="5" t="str">
        <f t="shared" si="2"/>
        <v>▶▶▶▶▶▶▶▶80.0%</v>
      </c>
      <c r="L25" s="5" t="str" cm="1">
        <f t="array" ref="L25">fn비고(H25,I25)</f>
        <v/>
      </c>
    </row>
    <row r="26" spans="1:12">
      <c r="A26" s="1" t="s">
        <v>88</v>
      </c>
      <c r="B26" s="1" t="str">
        <f t="shared" si="0"/>
        <v>M1-24-12EN</v>
      </c>
      <c r="C26" s="2">
        <v>45627</v>
      </c>
      <c r="D26" s="1" t="s">
        <v>49</v>
      </c>
      <c r="E26" s="1" t="s">
        <v>10</v>
      </c>
      <c r="F26" s="1" t="s">
        <v>15</v>
      </c>
      <c r="G26" s="4">
        <f t="shared" si="1"/>
        <v>0.2</v>
      </c>
      <c r="H26" s="1">
        <v>5</v>
      </c>
      <c r="I26" s="1">
        <v>100</v>
      </c>
      <c r="J26" s="1">
        <v>4</v>
      </c>
      <c r="K26" s="5" t="str">
        <f t="shared" si="2"/>
        <v>▶▶▶▶▶▶▶▶▶▶▶▶125.0%</v>
      </c>
      <c r="L26" s="5" t="str" cm="1">
        <f t="array" ref="L26">fn비고(H26,I26)</f>
        <v>강의증설</v>
      </c>
    </row>
    <row r="27" spans="1:12">
      <c r="A27" s="1" t="s">
        <v>89</v>
      </c>
      <c r="B27" s="1" t="str">
        <f t="shared" si="0"/>
        <v>M2-25-04SC</v>
      </c>
      <c r="C27" s="2">
        <v>45750</v>
      </c>
      <c r="D27" s="1" t="s">
        <v>51</v>
      </c>
      <c r="E27" s="1" t="s">
        <v>14</v>
      </c>
      <c r="F27" s="1" t="s">
        <v>31</v>
      </c>
      <c r="G27" s="4">
        <f t="shared" si="1"/>
        <v>0.25</v>
      </c>
      <c r="H27" s="1">
        <v>3</v>
      </c>
      <c r="I27" s="1">
        <v>51</v>
      </c>
      <c r="J27" s="1">
        <v>0</v>
      </c>
      <c r="K27" s="5" t="str">
        <f t="shared" si="2"/>
        <v>신생강의</v>
      </c>
      <c r="L27" s="5" t="str" cm="1">
        <f t="array" ref="L27">fn비고(H27,I27)</f>
        <v/>
      </c>
    </row>
    <row r="28" spans="1:12">
      <c r="A28" s="1" t="s">
        <v>90</v>
      </c>
      <c r="B28" s="1" t="str">
        <f t="shared" si="0"/>
        <v>M1-25-04MA</v>
      </c>
      <c r="C28" s="2">
        <v>45750</v>
      </c>
      <c r="D28" s="1" t="s">
        <v>53</v>
      </c>
      <c r="E28" s="1" t="s">
        <v>10</v>
      </c>
      <c r="F28" s="1" t="s">
        <v>19</v>
      </c>
      <c r="G28" s="4">
        <f t="shared" si="1"/>
        <v>0.3</v>
      </c>
      <c r="H28" s="1">
        <v>6</v>
      </c>
      <c r="I28" s="1">
        <v>72</v>
      </c>
      <c r="J28" s="1">
        <v>6</v>
      </c>
      <c r="K28" s="5" t="str">
        <f t="shared" si="2"/>
        <v>▶▶▶▶▶▶▶▶▶▶100.0%</v>
      </c>
      <c r="L28" s="5" t="str" cm="1">
        <f t="array" ref="L28">fn비고(H28,I28)</f>
        <v/>
      </c>
    </row>
    <row r="29" spans="1:12">
      <c r="A29" s="1" t="s">
        <v>91</v>
      </c>
      <c r="B29" s="1" t="str">
        <f t="shared" si="0"/>
        <v>M2-25-04EN</v>
      </c>
      <c r="C29" s="2">
        <v>45750</v>
      </c>
      <c r="D29" s="1" t="s">
        <v>49</v>
      </c>
      <c r="E29" s="1" t="s">
        <v>14</v>
      </c>
      <c r="F29" s="1" t="s">
        <v>15</v>
      </c>
      <c r="G29" s="4">
        <f t="shared" si="1"/>
        <v>0.15</v>
      </c>
      <c r="H29" s="1">
        <v>2</v>
      </c>
      <c r="I29" s="1">
        <v>73</v>
      </c>
      <c r="J29" s="1">
        <v>4</v>
      </c>
      <c r="K29" s="5" t="str">
        <f t="shared" si="2"/>
        <v>▶▶▶▶▶50.0%</v>
      </c>
      <c r="L29" s="5" t="str" cm="1">
        <f t="array" ref="L29">fn비고(H29,I29)</f>
        <v>강의증설</v>
      </c>
    </row>
    <row r="30" spans="1:12">
      <c r="A30" s="1" t="s">
        <v>92</v>
      </c>
      <c r="B30" s="1" t="str">
        <f t="shared" si="0"/>
        <v>M2-25-03MA</v>
      </c>
      <c r="C30" s="2">
        <v>45718</v>
      </c>
      <c r="D30" s="1" t="s">
        <v>53</v>
      </c>
      <c r="E30" s="1" t="s">
        <v>14</v>
      </c>
      <c r="F30" s="1" t="s">
        <v>19</v>
      </c>
      <c r="G30" s="4">
        <f t="shared" si="1"/>
        <v>0.25</v>
      </c>
      <c r="H30" s="1">
        <v>4</v>
      </c>
      <c r="I30" s="1">
        <v>66</v>
      </c>
      <c r="J30" s="1">
        <v>6</v>
      </c>
      <c r="K30" s="5" t="str">
        <f t="shared" si="2"/>
        <v>▶▶▶▶▶▶66.7%</v>
      </c>
      <c r="L30" s="5" t="str" cm="1">
        <f t="array" ref="L30">fn비고(H30,I30)</f>
        <v/>
      </c>
    </row>
    <row r="31" spans="1:12">
      <c r="A31" s="1" t="s">
        <v>93</v>
      </c>
      <c r="B31" s="1" t="str">
        <f t="shared" si="0"/>
        <v>M3-25-02SC</v>
      </c>
      <c r="C31" s="2">
        <v>45689</v>
      </c>
      <c r="D31" s="1" t="s">
        <v>51</v>
      </c>
      <c r="E31" s="1" t="s">
        <v>18</v>
      </c>
      <c r="F31" s="1" t="s">
        <v>31</v>
      </c>
      <c r="G31" s="4">
        <f t="shared" si="1"/>
        <v>0.15</v>
      </c>
      <c r="H31" s="1">
        <v>3</v>
      </c>
      <c r="I31" s="1">
        <v>47</v>
      </c>
      <c r="J31" s="1">
        <v>4</v>
      </c>
      <c r="K31" s="5" t="str">
        <f t="shared" si="2"/>
        <v>▶▶▶▶▶▶▶75.0%</v>
      </c>
      <c r="L31" s="5" t="str" cm="1">
        <f t="array" ref="L31">fn비고(H31,I31)</f>
        <v/>
      </c>
    </row>
    <row r="32" spans="1:12">
      <c r="A32" s="1" t="s">
        <v>94</v>
      </c>
      <c r="B32" s="1" t="str">
        <f t="shared" si="0"/>
        <v>M1-25-03SC</v>
      </c>
      <c r="C32" s="2">
        <v>45718</v>
      </c>
      <c r="D32" s="1" t="s">
        <v>35</v>
      </c>
      <c r="E32" s="1" t="s">
        <v>10</v>
      </c>
      <c r="F32" s="1" t="s">
        <v>31</v>
      </c>
      <c r="G32" s="4">
        <f t="shared" si="1"/>
        <v>0.3</v>
      </c>
      <c r="H32" s="1">
        <v>5</v>
      </c>
      <c r="I32" s="1">
        <v>52</v>
      </c>
      <c r="J32" s="1">
        <v>6</v>
      </c>
      <c r="K32" s="5" t="str">
        <f t="shared" si="2"/>
        <v>▶▶▶▶▶▶▶▶83.3%</v>
      </c>
      <c r="L32" s="5" t="str" cm="1">
        <f t="array" ref="L32">fn비고(H32,I32)</f>
        <v/>
      </c>
    </row>
    <row r="34" spans="1:10">
      <c r="A34" s="6" t="s">
        <v>95</v>
      </c>
      <c r="F34" s="6" t="s">
        <v>96</v>
      </c>
    </row>
    <row r="35" spans="1:10">
      <c r="A35" s="7" t="s">
        <v>97</v>
      </c>
      <c r="B35" s="7" t="s">
        <v>98</v>
      </c>
      <c r="C35" s="7" t="s">
        <v>99</v>
      </c>
      <c r="D35" s="7" t="s">
        <v>100</v>
      </c>
      <c r="F35" s="7" t="s">
        <v>101</v>
      </c>
      <c r="G35" s="8" t="s">
        <v>102</v>
      </c>
      <c r="H35" s="8" t="s">
        <v>103</v>
      </c>
      <c r="I35" s="8" t="s">
        <v>104</v>
      </c>
      <c r="J35" s="8" t="s">
        <v>105</v>
      </c>
    </row>
    <row r="36" spans="1:10">
      <c r="A36" s="7" t="s">
        <v>103</v>
      </c>
      <c r="B36" s="9">
        <v>0.2</v>
      </c>
      <c r="C36" s="9">
        <v>0.15</v>
      </c>
      <c r="D36" s="10">
        <v>0.1</v>
      </c>
      <c r="F36" s="7">
        <v>1</v>
      </c>
      <c r="G36" s="7" t="str">
        <f t="array" ref="G36">INDEX($D$3:$D$32,MATCH(LARGE(($F$3:$F$32=G$35)*$J$3:$J$32,$F36),($F$3:$F$32=G$35)*$J$3:$J$32,0))</f>
        <v>황수경</v>
      </c>
      <c r="H36" s="7" t="str">
        <f t="array" ref="H36">INDEX($D$3:$D$32,MATCH(LARGE(($F$3:$F$32=H$35)*$J$3:$J$32,$F36),($F$3:$F$32=H$35)*$J$3:$J$32,0))</f>
        <v>전미연</v>
      </c>
      <c r="I36" s="7" t="str">
        <f t="array" ref="I36">INDEX($D$3:$D$32,MATCH(LARGE(($F$3:$F$32=I$35)*$J$3:$J$32,$F36),($F$3:$F$32=I$35)*$J$3:$J$32,0))</f>
        <v>김말자</v>
      </c>
      <c r="J36" s="7" t="str">
        <f t="array" ref="J36">INDEX($D$3:$D$32,MATCH(LARGE(($F$3:$F$32=J$35)*$J$3:$J$32,$F36),($F$3:$F$32=J$35)*$J$3:$J$32,0))</f>
        <v>강연미</v>
      </c>
    </row>
    <row r="37" spans="1:10">
      <c r="A37" s="7" t="s">
        <v>106</v>
      </c>
      <c r="B37" s="9">
        <v>0.3</v>
      </c>
      <c r="C37" s="9">
        <v>0.25</v>
      </c>
      <c r="D37" s="11">
        <v>0.15</v>
      </c>
      <c r="F37" s="7">
        <v>2</v>
      </c>
      <c r="G37" s="7" t="str">
        <f t="array" ref="G37">INDEX($D$3:$D$32,MATCH(LARGE(($F$3:$F$32=G$35)*$J$3:$J$32,$F37),($F$3:$F$32=G$35)*$J$3:$J$32,0))</f>
        <v>박유찬</v>
      </c>
      <c r="H37" s="7" t="str">
        <f t="array" ref="H37">INDEX($D$3:$D$32,MATCH(LARGE(($F$3:$F$32=H$35)*$J$3:$J$32,$F37),($F$3:$F$32=H$35)*$J$3:$J$32,0))</f>
        <v>이가연</v>
      </c>
      <c r="I37" s="7" t="str">
        <f t="array" ref="I37">INDEX($D$3:$D$32,MATCH(LARGE(($F$3:$F$32=I$35)*$J$3:$J$32,$F37),($F$3:$F$32=I$35)*$J$3:$J$32,0))</f>
        <v>양재연</v>
      </c>
      <c r="J37" s="7" t="str">
        <f t="array" ref="J37">INDEX($D$3:$D$32,MATCH(LARGE(($F$3:$F$32=J$35)*$J$3:$J$32,$F37),($F$3:$F$32=J$35)*$J$3:$J$32,0))</f>
        <v>유명아</v>
      </c>
    </row>
    <row r="38" spans="1:10">
      <c r="F38" s="7">
        <v>3</v>
      </c>
      <c r="G38" s="7" t="str">
        <f t="array" ref="G38">INDEX($D$3:$D$32,MATCH(LARGE(($F$3:$F$32=G$35)*$J$3:$J$32,$F38),($F$3:$F$32=G$35)*$J$3:$J$32,0))</f>
        <v>이도원</v>
      </c>
      <c r="H38" s="7" t="str">
        <f t="array" ref="H38">INDEX($D$3:$D$32,MATCH(LARGE(($F$3:$F$32=H$35)*$J$3:$J$32,$F38),($F$3:$F$32=H$35)*$J$3:$J$32,0))</f>
        <v>송찬희</v>
      </c>
      <c r="I38" s="7" t="str">
        <f t="array" ref="I38">INDEX($D$3:$D$32,MATCH(LARGE(($F$3:$F$32=I$35)*$J$3:$J$32,$F38),($F$3:$F$32=I$35)*$J$3:$J$32,0))</f>
        <v>윤효빈</v>
      </c>
      <c r="J38" s="7" t="str">
        <f t="array" ref="J38">INDEX($D$3:$D$32,MATCH(LARGE(($F$3:$F$32=J$35)*$J$3:$J$32,$F38),($F$3:$F$32=J$35)*$J$3:$J$32,0))</f>
        <v>정다연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4:H29"/>
  <sheetViews>
    <sheetView workbookViewId="0"/>
  </sheetViews>
  <sheetFormatPr defaultRowHeight="16.5"/>
  <cols>
    <col min="2" max="2" width="14.5" bestFit="1" customWidth="1"/>
    <col min="3" max="3" width="12.625" bestFit="1" customWidth="1"/>
    <col min="4" max="7" width="10.75" bestFit="1" customWidth="1"/>
    <col min="8" max="8" width="6.875" bestFit="1" customWidth="1"/>
    <col min="9" max="10" width="13.5" bestFit="1" customWidth="1"/>
  </cols>
  <sheetData>
    <row r="4" spans="2:8">
      <c r="B4" s="15" t="s">
        <v>137</v>
      </c>
      <c r="D4" s="15" t="s">
        <v>4</v>
      </c>
    </row>
    <row r="5" spans="2:8">
      <c r="B5" s="15" t="s">
        <v>3</v>
      </c>
      <c r="C5" s="15" t="s">
        <v>1</v>
      </c>
      <c r="D5" t="s">
        <v>31</v>
      </c>
      <c r="E5" t="s">
        <v>11</v>
      </c>
      <c r="F5" t="s">
        <v>19</v>
      </c>
      <c r="G5" t="s">
        <v>15</v>
      </c>
      <c r="H5" t="s">
        <v>125</v>
      </c>
    </row>
    <row r="6" spans="2:8">
      <c r="B6" t="s">
        <v>10</v>
      </c>
      <c r="C6" t="s">
        <v>130</v>
      </c>
      <c r="D6" s="17"/>
      <c r="E6" s="17"/>
      <c r="F6" s="17"/>
      <c r="G6" s="17">
        <v>135</v>
      </c>
      <c r="H6" s="17">
        <v>135</v>
      </c>
    </row>
    <row r="7" spans="2:8">
      <c r="C7" t="s">
        <v>131</v>
      </c>
      <c r="D7" s="17">
        <v>50</v>
      </c>
      <c r="E7" s="17"/>
      <c r="F7" s="17">
        <v>70</v>
      </c>
      <c r="G7" s="17"/>
      <c r="H7" s="17">
        <v>60</v>
      </c>
    </row>
    <row r="8" spans="2:8">
      <c r="C8" t="s">
        <v>132</v>
      </c>
      <c r="D8" s="17"/>
      <c r="E8" s="17"/>
      <c r="F8" s="17">
        <v>70</v>
      </c>
      <c r="G8" s="17"/>
      <c r="H8" s="17">
        <v>70</v>
      </c>
    </row>
    <row r="9" spans="2:8">
      <c r="C9" t="s">
        <v>126</v>
      </c>
      <c r="D9" s="17"/>
      <c r="E9" s="17"/>
      <c r="F9" s="17"/>
      <c r="G9" s="17">
        <v>70</v>
      </c>
      <c r="H9" s="17">
        <v>70</v>
      </c>
    </row>
    <row r="10" spans="2:8">
      <c r="C10" t="s">
        <v>127</v>
      </c>
      <c r="D10" s="17">
        <v>70</v>
      </c>
      <c r="E10" s="17">
        <v>60</v>
      </c>
      <c r="F10" s="17"/>
      <c r="G10" s="17"/>
      <c r="H10" s="17">
        <v>65</v>
      </c>
    </row>
    <row r="11" spans="2:8">
      <c r="C11" t="s">
        <v>128</v>
      </c>
      <c r="D11" s="17"/>
      <c r="E11" s="17"/>
      <c r="F11" s="17">
        <v>140</v>
      </c>
      <c r="G11" s="17">
        <v>68</v>
      </c>
      <c r="H11" s="17">
        <v>104</v>
      </c>
    </row>
    <row r="12" spans="2:8">
      <c r="C12" t="s">
        <v>129</v>
      </c>
      <c r="D12" s="17"/>
      <c r="E12" s="17"/>
      <c r="F12" s="17"/>
      <c r="G12" s="17">
        <v>65</v>
      </c>
      <c r="H12" s="17">
        <v>65</v>
      </c>
    </row>
    <row r="13" spans="2:8">
      <c r="B13" t="s">
        <v>134</v>
      </c>
      <c r="D13" s="17">
        <v>60</v>
      </c>
      <c r="E13" s="17">
        <v>60</v>
      </c>
      <c r="F13" s="17">
        <v>93.333333333333329</v>
      </c>
      <c r="G13" s="17">
        <v>84.5</v>
      </c>
      <c r="H13" s="17">
        <v>79.8</v>
      </c>
    </row>
    <row r="14" spans="2:8">
      <c r="B14" t="s">
        <v>14</v>
      </c>
      <c r="C14" t="s">
        <v>133</v>
      </c>
      <c r="D14" s="17"/>
      <c r="E14" s="17">
        <v>60</v>
      </c>
      <c r="F14" s="17">
        <v>150</v>
      </c>
      <c r="G14" s="17">
        <v>50</v>
      </c>
      <c r="H14" s="17">
        <v>86.666666666666671</v>
      </c>
    </row>
    <row r="15" spans="2:8">
      <c r="C15" t="s">
        <v>131</v>
      </c>
      <c r="D15" s="17"/>
      <c r="E15" s="17"/>
      <c r="F15" s="17">
        <v>60</v>
      </c>
      <c r="G15" s="17"/>
      <c r="H15" s="17">
        <v>60</v>
      </c>
    </row>
    <row r="16" spans="2:8">
      <c r="C16" t="s">
        <v>132</v>
      </c>
      <c r="D16" s="17">
        <v>50</v>
      </c>
      <c r="E16" s="17"/>
      <c r="F16" s="17"/>
      <c r="G16" s="17">
        <v>70</v>
      </c>
      <c r="H16" s="17">
        <v>60</v>
      </c>
    </row>
    <row r="17" spans="2:8">
      <c r="C17" t="s">
        <v>126</v>
      </c>
      <c r="D17" s="17"/>
      <c r="E17" s="17"/>
      <c r="F17" s="17">
        <v>58</v>
      </c>
      <c r="G17" s="17"/>
      <c r="H17" s="17">
        <v>58</v>
      </c>
    </row>
    <row r="18" spans="2:8">
      <c r="C18" t="s">
        <v>127</v>
      </c>
      <c r="D18" s="17"/>
      <c r="E18" s="17"/>
      <c r="F18" s="17"/>
      <c r="G18" s="17">
        <v>65</v>
      </c>
      <c r="H18" s="17">
        <v>65</v>
      </c>
    </row>
    <row r="19" spans="2:8">
      <c r="C19" t="s">
        <v>128</v>
      </c>
      <c r="D19" s="17">
        <v>80</v>
      </c>
      <c r="E19" s="17"/>
      <c r="F19" s="17"/>
      <c r="G19" s="17">
        <v>50</v>
      </c>
      <c r="H19" s="17">
        <v>65</v>
      </c>
    </row>
    <row r="20" spans="2:8">
      <c r="C20" t="s">
        <v>129</v>
      </c>
      <c r="D20" s="17">
        <v>55</v>
      </c>
      <c r="E20" s="17">
        <v>120</v>
      </c>
      <c r="F20" s="17"/>
      <c r="G20" s="17">
        <v>67</v>
      </c>
      <c r="H20" s="17">
        <v>80.666666666666671</v>
      </c>
    </row>
    <row r="21" spans="2:8">
      <c r="B21" t="s">
        <v>135</v>
      </c>
      <c r="D21" s="17">
        <v>61.666666666666664</v>
      </c>
      <c r="E21" s="17">
        <v>90</v>
      </c>
      <c r="F21" s="17">
        <v>89.333333333333329</v>
      </c>
      <c r="G21" s="17">
        <v>60.4</v>
      </c>
      <c r="H21" s="17">
        <v>71.92307692307692</v>
      </c>
    </row>
    <row r="22" spans="2:8">
      <c r="B22" t="s">
        <v>18</v>
      </c>
      <c r="C22" t="s">
        <v>133</v>
      </c>
      <c r="D22" s="17"/>
      <c r="E22" s="17"/>
      <c r="F22" s="17">
        <v>85</v>
      </c>
      <c r="G22" s="17"/>
      <c r="H22" s="17">
        <v>85</v>
      </c>
    </row>
    <row r="23" spans="2:8">
      <c r="C23" t="s">
        <v>130</v>
      </c>
      <c r="D23" s="17">
        <v>45</v>
      </c>
      <c r="E23" s="17"/>
      <c r="F23" s="17"/>
      <c r="G23" s="17">
        <v>50</v>
      </c>
      <c r="H23" s="17">
        <v>47.5</v>
      </c>
    </row>
    <row r="24" spans="2:8">
      <c r="C24" t="s">
        <v>131</v>
      </c>
      <c r="D24" s="17"/>
      <c r="E24" s="17"/>
      <c r="F24" s="17">
        <v>54</v>
      </c>
      <c r="G24" s="17"/>
      <c r="H24" s="17">
        <v>54</v>
      </c>
    </row>
    <row r="25" spans="2:8">
      <c r="C25" t="s">
        <v>126</v>
      </c>
      <c r="D25" s="17"/>
      <c r="E25" s="17"/>
      <c r="F25" s="17"/>
      <c r="G25" s="17">
        <v>80</v>
      </c>
      <c r="H25" s="17">
        <v>80</v>
      </c>
    </row>
    <row r="26" spans="2:8">
      <c r="C26" t="s">
        <v>127</v>
      </c>
      <c r="D26" s="17"/>
      <c r="E26" s="17">
        <v>75</v>
      </c>
      <c r="F26" s="17"/>
      <c r="G26" s="17"/>
      <c r="H26" s="17">
        <v>75</v>
      </c>
    </row>
    <row r="27" spans="2:8">
      <c r="C27" t="s">
        <v>129</v>
      </c>
      <c r="D27" s="17"/>
      <c r="E27" s="17">
        <v>45</v>
      </c>
      <c r="F27" s="17"/>
      <c r="G27" s="17"/>
      <c r="H27" s="17">
        <v>45</v>
      </c>
    </row>
    <row r="28" spans="2:8">
      <c r="B28" t="s">
        <v>136</v>
      </c>
      <c r="D28" s="17">
        <v>45</v>
      </c>
      <c r="E28" s="17">
        <v>60</v>
      </c>
      <c r="F28" s="17">
        <v>69.5</v>
      </c>
      <c r="G28" s="17">
        <v>65</v>
      </c>
      <c r="H28" s="17">
        <v>62</v>
      </c>
    </row>
    <row r="29" spans="2:8">
      <c r="B29" t="s">
        <v>125</v>
      </c>
      <c r="D29" s="17">
        <v>58.333333333333336</v>
      </c>
      <c r="E29" s="17">
        <v>72</v>
      </c>
      <c r="F29" s="17">
        <v>85.875</v>
      </c>
      <c r="G29" s="17">
        <v>70</v>
      </c>
      <c r="H29" s="17">
        <v>72.233333333333334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48"/>
  <sheetViews>
    <sheetView workbookViewId="0"/>
  </sheetViews>
  <sheetFormatPr defaultRowHeight="16.5" outlineLevelRow="3"/>
  <cols>
    <col min="2" max="2" width="10.75" bestFit="1" customWidth="1"/>
    <col min="6" max="6" width="10.625" bestFit="1" customWidth="1"/>
    <col min="8" max="8" width="10.625" bestFit="1" customWidth="1"/>
  </cols>
  <sheetData>
    <row r="1" spans="1:8">
      <c r="A1" t="s">
        <v>58</v>
      </c>
    </row>
    <row r="2" spans="1:8">
      <c r="A2" s="20" t="s">
        <v>0</v>
      </c>
      <c r="B2" s="21" t="s">
        <v>1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H2" s="21" t="s">
        <v>7</v>
      </c>
    </row>
    <row r="3" spans="1:8" outlineLevel="3">
      <c r="A3" s="22" t="s">
        <v>74</v>
      </c>
      <c r="B3" s="23">
        <v>45566</v>
      </c>
      <c r="C3" s="22" t="s">
        <v>30</v>
      </c>
      <c r="D3" s="22" t="s">
        <v>10</v>
      </c>
      <c r="E3" s="22" t="s">
        <v>31</v>
      </c>
      <c r="F3" s="22">
        <v>5</v>
      </c>
      <c r="G3" s="22">
        <v>70</v>
      </c>
      <c r="H3" s="22">
        <v>3</v>
      </c>
    </row>
    <row r="4" spans="1:8" outlineLevel="3">
      <c r="A4" s="22" t="s">
        <v>94</v>
      </c>
      <c r="B4" s="23">
        <v>45718</v>
      </c>
      <c r="C4" s="22" t="s">
        <v>35</v>
      </c>
      <c r="D4" s="22" t="s">
        <v>10</v>
      </c>
      <c r="E4" s="22" t="s">
        <v>31</v>
      </c>
      <c r="F4" s="22">
        <v>5</v>
      </c>
      <c r="G4" s="22">
        <v>50</v>
      </c>
      <c r="H4" s="22">
        <v>6</v>
      </c>
    </row>
    <row r="5" spans="1:8" outlineLevel="2">
      <c r="A5" s="22"/>
      <c r="B5" s="23"/>
      <c r="C5" s="22"/>
      <c r="D5" s="22"/>
      <c r="E5" s="21" t="s">
        <v>173</v>
      </c>
      <c r="F5" s="22"/>
      <c r="G5" s="22"/>
      <c r="H5" s="22">
        <f>SUBTOTAL(3,H3:H4)</f>
        <v>2</v>
      </c>
    </row>
    <row r="6" spans="1:8" outlineLevel="3">
      <c r="A6" s="22" t="s">
        <v>138</v>
      </c>
      <c r="B6" s="23">
        <v>45566</v>
      </c>
      <c r="C6" s="22" t="s">
        <v>9</v>
      </c>
      <c r="D6" s="22" t="s">
        <v>10</v>
      </c>
      <c r="E6" s="22" t="s">
        <v>11</v>
      </c>
      <c r="F6" s="22">
        <v>5</v>
      </c>
      <c r="G6" s="22">
        <v>60</v>
      </c>
      <c r="H6" s="22">
        <v>7</v>
      </c>
    </row>
    <row r="7" spans="1:8" outlineLevel="2">
      <c r="A7" s="22"/>
      <c r="B7" s="23"/>
      <c r="C7" s="22"/>
      <c r="D7" s="22"/>
      <c r="E7" s="21" t="s">
        <v>174</v>
      </c>
      <c r="F7" s="22"/>
      <c r="G7" s="22"/>
      <c r="H7" s="22">
        <f>SUBTOTAL(3,H6:H6)</f>
        <v>1</v>
      </c>
    </row>
    <row r="8" spans="1:8" outlineLevel="3">
      <c r="A8" s="22" t="s">
        <v>72</v>
      </c>
      <c r="B8" s="23">
        <v>45597</v>
      </c>
      <c r="C8" s="22" t="s">
        <v>17</v>
      </c>
      <c r="D8" s="22" t="s">
        <v>10</v>
      </c>
      <c r="E8" s="22" t="s">
        <v>19</v>
      </c>
      <c r="F8" s="22">
        <v>5</v>
      </c>
      <c r="G8" s="22">
        <v>140</v>
      </c>
      <c r="H8" s="22">
        <v>4</v>
      </c>
    </row>
    <row r="9" spans="1:8" outlineLevel="3">
      <c r="A9" s="22" t="s">
        <v>90</v>
      </c>
      <c r="B9" s="23">
        <v>45750</v>
      </c>
      <c r="C9" s="22" t="s">
        <v>53</v>
      </c>
      <c r="D9" s="22" t="s">
        <v>10</v>
      </c>
      <c r="E9" s="22" t="s">
        <v>19</v>
      </c>
      <c r="F9" s="22">
        <v>6</v>
      </c>
      <c r="G9" s="22">
        <v>70</v>
      </c>
      <c r="H9" s="22">
        <v>4</v>
      </c>
    </row>
    <row r="10" spans="1:8" outlineLevel="2">
      <c r="A10" s="22"/>
      <c r="B10" s="23"/>
      <c r="C10" s="22"/>
      <c r="D10" s="22"/>
      <c r="E10" s="21" t="s">
        <v>175</v>
      </c>
      <c r="F10" s="22"/>
      <c r="G10" s="22"/>
      <c r="H10" s="22">
        <f>SUBTOTAL(3,H8:H9)</f>
        <v>2</v>
      </c>
    </row>
    <row r="11" spans="1:8" outlineLevel="3">
      <c r="A11" s="22" t="s">
        <v>69</v>
      </c>
      <c r="B11" s="23">
        <v>45689</v>
      </c>
      <c r="C11" s="22" t="s">
        <v>25</v>
      </c>
      <c r="D11" s="22" t="s">
        <v>10</v>
      </c>
      <c r="E11" s="22" t="s">
        <v>15</v>
      </c>
      <c r="F11" s="22">
        <v>6</v>
      </c>
      <c r="G11" s="22">
        <v>135</v>
      </c>
      <c r="H11" s="22">
        <v>6</v>
      </c>
    </row>
    <row r="12" spans="1:8" outlineLevel="3">
      <c r="A12" s="22" t="s">
        <v>75</v>
      </c>
      <c r="B12" s="23">
        <v>45597</v>
      </c>
      <c r="C12" s="22" t="s">
        <v>33</v>
      </c>
      <c r="D12" s="22" t="s">
        <v>10</v>
      </c>
      <c r="E12" s="22" t="s">
        <v>15</v>
      </c>
      <c r="F12" s="22">
        <v>6</v>
      </c>
      <c r="G12" s="22">
        <v>68</v>
      </c>
      <c r="H12" s="22">
        <v>5</v>
      </c>
    </row>
    <row r="13" spans="1:8" outlineLevel="3">
      <c r="A13" s="22" t="s">
        <v>82</v>
      </c>
      <c r="B13" s="23">
        <v>45536</v>
      </c>
      <c r="C13" s="22" t="s">
        <v>13</v>
      </c>
      <c r="D13" s="22" t="s">
        <v>10</v>
      </c>
      <c r="E13" s="22" t="s">
        <v>15</v>
      </c>
      <c r="F13" s="22">
        <v>5</v>
      </c>
      <c r="G13" s="22">
        <v>70</v>
      </c>
      <c r="H13" s="22">
        <v>4</v>
      </c>
    </row>
    <row r="14" spans="1:8" outlineLevel="3">
      <c r="A14" s="22" t="s">
        <v>88</v>
      </c>
      <c r="B14" s="23">
        <v>45627</v>
      </c>
      <c r="C14" s="22" t="s">
        <v>49</v>
      </c>
      <c r="D14" s="22" t="s">
        <v>10</v>
      </c>
      <c r="E14" s="22" t="s">
        <v>15</v>
      </c>
      <c r="F14" s="22">
        <v>5</v>
      </c>
      <c r="G14" s="22">
        <v>65</v>
      </c>
      <c r="H14" s="22">
        <v>5</v>
      </c>
    </row>
    <row r="15" spans="1:8" outlineLevel="2">
      <c r="A15" s="22"/>
      <c r="B15" s="23"/>
      <c r="C15" s="22"/>
      <c r="D15" s="22"/>
      <c r="E15" s="21" t="s">
        <v>176</v>
      </c>
      <c r="F15" s="22"/>
      <c r="G15" s="22"/>
      <c r="H15" s="22">
        <f>SUBTOTAL(3,H11:H14)</f>
        <v>4</v>
      </c>
    </row>
    <row r="16" spans="1:8" outlineLevel="1">
      <c r="A16" s="22"/>
      <c r="B16" s="23"/>
      <c r="C16" s="22"/>
      <c r="D16" s="21" t="s">
        <v>169</v>
      </c>
      <c r="E16" s="22"/>
      <c r="F16" s="22"/>
      <c r="G16" s="22">
        <f>SUBTOTAL(1,G3:G14)</f>
        <v>80.888888888888886</v>
      </c>
      <c r="H16" s="22"/>
    </row>
    <row r="17" spans="1:8" outlineLevel="3">
      <c r="A17" s="22" t="s">
        <v>76</v>
      </c>
      <c r="B17" s="23">
        <v>45627</v>
      </c>
      <c r="C17" s="22" t="s">
        <v>35</v>
      </c>
      <c r="D17" s="22" t="s">
        <v>14</v>
      </c>
      <c r="E17" s="22" t="s">
        <v>31</v>
      </c>
      <c r="F17" s="22">
        <v>4</v>
      </c>
      <c r="G17" s="22">
        <v>55</v>
      </c>
      <c r="H17" s="22">
        <v>4</v>
      </c>
    </row>
    <row r="18" spans="1:8" outlineLevel="3">
      <c r="A18" s="22" t="s">
        <v>85</v>
      </c>
      <c r="B18" s="23">
        <v>45597</v>
      </c>
      <c r="C18" s="22" t="s">
        <v>30</v>
      </c>
      <c r="D18" s="22" t="s">
        <v>14</v>
      </c>
      <c r="E18" s="22" t="s">
        <v>31</v>
      </c>
      <c r="F18" s="22">
        <v>5</v>
      </c>
      <c r="G18" s="22">
        <v>80</v>
      </c>
      <c r="H18" s="22">
        <v>6</v>
      </c>
    </row>
    <row r="19" spans="1:8" outlineLevel="3">
      <c r="A19" s="22" t="s">
        <v>89</v>
      </c>
      <c r="B19" s="23">
        <v>45750</v>
      </c>
      <c r="C19" s="22" t="s">
        <v>51</v>
      </c>
      <c r="D19" s="22" t="s">
        <v>14</v>
      </c>
      <c r="E19" s="22" t="s">
        <v>31</v>
      </c>
      <c r="F19" s="22">
        <v>3</v>
      </c>
      <c r="G19" s="22">
        <v>50</v>
      </c>
      <c r="H19" s="22">
        <v>5</v>
      </c>
    </row>
    <row r="20" spans="1:8" outlineLevel="2">
      <c r="A20" s="22"/>
      <c r="B20" s="23"/>
      <c r="C20" s="22"/>
      <c r="D20" s="22"/>
      <c r="E20" s="21" t="s">
        <v>173</v>
      </c>
      <c r="F20" s="22"/>
      <c r="G20" s="22"/>
      <c r="H20" s="22">
        <f>SUBTOTAL(3,H17:H19)</f>
        <v>3</v>
      </c>
    </row>
    <row r="21" spans="1:8" outlineLevel="3">
      <c r="A21" s="22" t="s">
        <v>67</v>
      </c>
      <c r="B21" s="23">
        <v>45659</v>
      </c>
      <c r="C21" s="22" t="s">
        <v>21</v>
      </c>
      <c r="D21" s="22" t="s">
        <v>14</v>
      </c>
      <c r="E21" s="22" t="s">
        <v>11</v>
      </c>
      <c r="F21" s="22">
        <v>4</v>
      </c>
      <c r="G21" s="22">
        <v>60</v>
      </c>
      <c r="H21" s="22">
        <v>3</v>
      </c>
    </row>
    <row r="22" spans="1:8" outlineLevel="3">
      <c r="A22" s="22" t="s">
        <v>70</v>
      </c>
      <c r="B22" s="23">
        <v>45627</v>
      </c>
      <c r="C22" s="22" t="s">
        <v>9</v>
      </c>
      <c r="D22" s="22" t="s">
        <v>14</v>
      </c>
      <c r="E22" s="22" t="s">
        <v>11</v>
      </c>
      <c r="F22" s="22">
        <v>4</v>
      </c>
      <c r="G22" s="22">
        <v>120</v>
      </c>
      <c r="H22" s="22">
        <v>5</v>
      </c>
    </row>
    <row r="23" spans="1:8" outlineLevel="2">
      <c r="A23" s="22"/>
      <c r="B23" s="23"/>
      <c r="C23" s="22"/>
      <c r="D23" s="22"/>
      <c r="E23" s="21" t="s">
        <v>174</v>
      </c>
      <c r="F23" s="22"/>
      <c r="G23" s="22"/>
      <c r="H23" s="22">
        <f>SUBTOTAL(3,H21:H22)</f>
        <v>2</v>
      </c>
    </row>
    <row r="24" spans="1:8" outlineLevel="3">
      <c r="A24" s="22" t="s">
        <v>83</v>
      </c>
      <c r="B24" s="23">
        <v>45659</v>
      </c>
      <c r="C24" s="22" t="s">
        <v>17</v>
      </c>
      <c r="D24" s="22" t="s">
        <v>14</v>
      </c>
      <c r="E24" s="22" t="s">
        <v>19</v>
      </c>
      <c r="F24" s="22">
        <v>7</v>
      </c>
      <c r="G24" s="22">
        <v>150</v>
      </c>
      <c r="H24" s="22">
        <v>3</v>
      </c>
    </row>
    <row r="25" spans="1:8" outlineLevel="3">
      <c r="A25" s="22" t="s">
        <v>87</v>
      </c>
      <c r="B25" s="23">
        <v>45536</v>
      </c>
      <c r="C25" s="22" t="s">
        <v>37</v>
      </c>
      <c r="D25" s="22" t="s">
        <v>14</v>
      </c>
      <c r="E25" s="22" t="s">
        <v>19</v>
      </c>
      <c r="F25" s="22">
        <v>4</v>
      </c>
      <c r="G25" s="22">
        <v>58</v>
      </c>
      <c r="H25" s="22">
        <v>5</v>
      </c>
    </row>
    <row r="26" spans="1:8" outlineLevel="3">
      <c r="A26" s="22" t="s">
        <v>92</v>
      </c>
      <c r="B26" s="23">
        <v>45718</v>
      </c>
      <c r="C26" s="22" t="s">
        <v>53</v>
      </c>
      <c r="D26" s="22" t="s">
        <v>14</v>
      </c>
      <c r="E26" s="22" t="s">
        <v>19</v>
      </c>
      <c r="F26" s="22">
        <v>4</v>
      </c>
      <c r="G26" s="22">
        <v>60</v>
      </c>
      <c r="H26" s="22">
        <v>6</v>
      </c>
    </row>
    <row r="27" spans="1:8" outlineLevel="2">
      <c r="A27" s="22"/>
      <c r="B27" s="23"/>
      <c r="C27" s="22"/>
      <c r="D27" s="22"/>
      <c r="E27" s="21" t="s">
        <v>175</v>
      </c>
      <c r="F27" s="22"/>
      <c r="G27" s="22"/>
      <c r="H27" s="22">
        <f>SUBTOTAL(3,H24:H26)</f>
        <v>3</v>
      </c>
    </row>
    <row r="28" spans="1:8" outlineLevel="3">
      <c r="A28" s="22" t="s">
        <v>65</v>
      </c>
      <c r="B28" s="23">
        <v>45659</v>
      </c>
      <c r="C28" s="22" t="s">
        <v>13</v>
      </c>
      <c r="D28" s="22" t="s">
        <v>14</v>
      </c>
      <c r="E28" s="22" t="s">
        <v>15</v>
      </c>
      <c r="F28" s="22">
        <v>3</v>
      </c>
      <c r="G28" s="22">
        <v>50</v>
      </c>
      <c r="H28" s="22">
        <v>5</v>
      </c>
    </row>
    <row r="29" spans="1:8" outlineLevel="3">
      <c r="A29" s="22" t="s">
        <v>80</v>
      </c>
      <c r="B29" s="23">
        <v>45597</v>
      </c>
      <c r="C29" s="22" t="s">
        <v>23</v>
      </c>
      <c r="D29" s="22" t="s">
        <v>14</v>
      </c>
      <c r="E29" s="22" t="s">
        <v>15</v>
      </c>
      <c r="F29" s="22">
        <v>4</v>
      </c>
      <c r="G29" s="22">
        <v>50</v>
      </c>
      <c r="H29" s="22">
        <v>5</v>
      </c>
    </row>
    <row r="30" spans="1:8" outlineLevel="3">
      <c r="A30" s="22" t="s">
        <v>84</v>
      </c>
      <c r="B30" s="23">
        <v>45627</v>
      </c>
      <c r="C30" s="22" t="s">
        <v>25</v>
      </c>
      <c r="D30" s="22" t="s">
        <v>14</v>
      </c>
      <c r="E30" s="22" t="s">
        <v>15</v>
      </c>
      <c r="F30" s="22">
        <v>5</v>
      </c>
      <c r="G30" s="22">
        <v>67</v>
      </c>
      <c r="H30" s="22">
        <v>4</v>
      </c>
    </row>
    <row r="31" spans="1:8" outlineLevel="3">
      <c r="A31" s="22" t="s">
        <v>86</v>
      </c>
      <c r="B31" s="23">
        <v>45566</v>
      </c>
      <c r="C31" s="22" t="s">
        <v>33</v>
      </c>
      <c r="D31" s="22" t="s">
        <v>14</v>
      </c>
      <c r="E31" s="22" t="s">
        <v>15</v>
      </c>
      <c r="F31" s="22">
        <v>5</v>
      </c>
      <c r="G31" s="22">
        <v>65</v>
      </c>
      <c r="H31" s="22">
        <v>4</v>
      </c>
    </row>
    <row r="32" spans="1:8" outlineLevel="3">
      <c r="A32" s="22" t="s">
        <v>91</v>
      </c>
      <c r="B32" s="23">
        <v>45750</v>
      </c>
      <c r="C32" s="22" t="s">
        <v>49</v>
      </c>
      <c r="D32" s="22" t="s">
        <v>14</v>
      </c>
      <c r="E32" s="22" t="s">
        <v>15</v>
      </c>
      <c r="F32" s="22">
        <v>5</v>
      </c>
      <c r="G32" s="22">
        <v>70</v>
      </c>
      <c r="H32" s="22">
        <v>5</v>
      </c>
    </row>
    <row r="33" spans="1:8" outlineLevel="2">
      <c r="A33" s="22"/>
      <c r="B33" s="23"/>
      <c r="C33" s="22"/>
      <c r="D33" s="22"/>
      <c r="E33" s="21" t="s">
        <v>176</v>
      </c>
      <c r="F33" s="22"/>
      <c r="G33" s="22"/>
      <c r="H33" s="22">
        <f>SUBTOTAL(3,H28:H32)</f>
        <v>5</v>
      </c>
    </row>
    <row r="34" spans="1:8" outlineLevel="1">
      <c r="A34" s="22"/>
      <c r="B34" s="23"/>
      <c r="C34" s="22"/>
      <c r="D34" s="21" t="s">
        <v>170</v>
      </c>
      <c r="E34" s="22"/>
      <c r="F34" s="22"/>
      <c r="G34" s="22">
        <f>SUBTOTAL(1,G17:G32)</f>
        <v>71.92307692307692</v>
      </c>
      <c r="H34" s="22"/>
    </row>
    <row r="35" spans="1:8" outlineLevel="3">
      <c r="A35" s="22" t="s">
        <v>93</v>
      </c>
      <c r="B35" s="23">
        <v>45689</v>
      </c>
      <c r="C35" s="22" t="s">
        <v>51</v>
      </c>
      <c r="D35" s="22" t="s">
        <v>18</v>
      </c>
      <c r="E35" s="22" t="s">
        <v>31</v>
      </c>
      <c r="F35" s="22">
        <v>3</v>
      </c>
      <c r="G35" s="22">
        <v>45</v>
      </c>
      <c r="H35" s="22">
        <v>4</v>
      </c>
    </row>
    <row r="36" spans="1:8" outlineLevel="2">
      <c r="A36" s="22"/>
      <c r="B36" s="23"/>
      <c r="C36" s="22"/>
      <c r="D36" s="22"/>
      <c r="E36" s="21" t="s">
        <v>173</v>
      </c>
      <c r="F36" s="22"/>
      <c r="G36" s="22"/>
      <c r="H36" s="22">
        <f>SUBTOTAL(3,H35:H35)</f>
        <v>1</v>
      </c>
    </row>
    <row r="37" spans="1:8" outlineLevel="3">
      <c r="A37" s="22" t="s">
        <v>79</v>
      </c>
      <c r="B37" s="23">
        <v>45566</v>
      </c>
      <c r="C37" s="22" t="s">
        <v>21</v>
      </c>
      <c r="D37" s="22" t="s">
        <v>18</v>
      </c>
      <c r="E37" s="22" t="s">
        <v>11</v>
      </c>
      <c r="F37" s="22">
        <v>6</v>
      </c>
      <c r="G37" s="22">
        <v>75</v>
      </c>
      <c r="H37" s="22">
        <v>4</v>
      </c>
    </row>
    <row r="38" spans="1:8" outlineLevel="3">
      <c r="A38" s="22" t="s">
        <v>81</v>
      </c>
      <c r="B38" s="23">
        <v>45627</v>
      </c>
      <c r="C38" s="22" t="s">
        <v>9</v>
      </c>
      <c r="D38" s="22" t="s">
        <v>18</v>
      </c>
      <c r="E38" s="22" t="s">
        <v>11</v>
      </c>
      <c r="F38" s="22">
        <v>3</v>
      </c>
      <c r="G38" s="22">
        <v>45</v>
      </c>
      <c r="H38" s="22">
        <v>5</v>
      </c>
    </row>
    <row r="39" spans="1:8" outlineLevel="2">
      <c r="A39" s="22"/>
      <c r="B39" s="23"/>
      <c r="C39" s="22"/>
      <c r="D39" s="22"/>
      <c r="E39" s="21" t="s">
        <v>174</v>
      </c>
      <c r="F39" s="22"/>
      <c r="G39" s="22"/>
      <c r="H39" s="22">
        <f>SUBTOTAL(3,H37:H38)</f>
        <v>2</v>
      </c>
    </row>
    <row r="40" spans="1:8" outlineLevel="3">
      <c r="A40" s="22" t="s">
        <v>66</v>
      </c>
      <c r="B40" s="23">
        <v>45659</v>
      </c>
      <c r="C40" s="22" t="s">
        <v>17</v>
      </c>
      <c r="D40" s="22" t="s">
        <v>18</v>
      </c>
      <c r="E40" s="22" t="s">
        <v>19</v>
      </c>
      <c r="F40" s="22">
        <v>4</v>
      </c>
      <c r="G40" s="22">
        <v>85</v>
      </c>
      <c r="H40" s="22">
        <v>6</v>
      </c>
    </row>
    <row r="41" spans="1:8" outlineLevel="3">
      <c r="A41" s="22" t="s">
        <v>77</v>
      </c>
      <c r="B41" s="23">
        <v>45718</v>
      </c>
      <c r="C41" s="22" t="s">
        <v>37</v>
      </c>
      <c r="D41" s="22" t="s">
        <v>18</v>
      </c>
      <c r="E41" s="22" t="s">
        <v>19</v>
      </c>
      <c r="F41" s="22">
        <v>3</v>
      </c>
      <c r="G41" s="22">
        <v>54</v>
      </c>
      <c r="H41" s="22">
        <v>5</v>
      </c>
    </row>
    <row r="42" spans="1:8" outlineLevel="2">
      <c r="A42" s="22"/>
      <c r="B42" s="23"/>
      <c r="C42" s="22"/>
      <c r="D42" s="22"/>
      <c r="E42" s="21" t="s">
        <v>175</v>
      </c>
      <c r="F42" s="22"/>
      <c r="G42" s="22"/>
      <c r="H42" s="22">
        <f>SUBTOTAL(3,H40:H41)</f>
        <v>2</v>
      </c>
    </row>
    <row r="43" spans="1:8" outlineLevel="3">
      <c r="A43" s="22" t="s">
        <v>68</v>
      </c>
      <c r="B43" s="23">
        <v>45689</v>
      </c>
      <c r="C43" s="22" t="s">
        <v>23</v>
      </c>
      <c r="D43" s="22" t="s">
        <v>18</v>
      </c>
      <c r="E43" s="22" t="s">
        <v>15</v>
      </c>
      <c r="F43" s="22">
        <v>4</v>
      </c>
      <c r="G43" s="22">
        <v>50</v>
      </c>
      <c r="H43" s="22">
        <v>3</v>
      </c>
    </row>
    <row r="44" spans="1:8" outlineLevel="3">
      <c r="A44" s="22" t="s">
        <v>73</v>
      </c>
      <c r="B44" s="23">
        <v>45536</v>
      </c>
      <c r="C44" s="22" t="s">
        <v>13</v>
      </c>
      <c r="D44" s="22" t="s">
        <v>18</v>
      </c>
      <c r="E44" s="22" t="s">
        <v>15</v>
      </c>
      <c r="F44" s="22">
        <v>3</v>
      </c>
      <c r="G44" s="22">
        <v>80</v>
      </c>
      <c r="H44" s="22">
        <v>5</v>
      </c>
    </row>
    <row r="45" spans="1:8" outlineLevel="2">
      <c r="A45" s="27"/>
      <c r="B45" s="28"/>
      <c r="C45" s="27"/>
      <c r="D45" s="27"/>
      <c r="E45" s="29" t="s">
        <v>176</v>
      </c>
      <c r="F45" s="27"/>
      <c r="G45" s="27"/>
      <c r="H45" s="27">
        <f>SUBTOTAL(3,H43:H44)</f>
        <v>2</v>
      </c>
    </row>
    <row r="46" spans="1:8" outlineLevel="1">
      <c r="A46" s="27"/>
      <c r="B46" s="28"/>
      <c r="C46" s="27"/>
      <c r="D46" s="29" t="s">
        <v>171</v>
      </c>
      <c r="E46" s="27"/>
      <c r="F46" s="27"/>
      <c r="G46" s="27">
        <f>SUBTOTAL(1,G35:G44)</f>
        <v>62</v>
      </c>
      <c r="H46" s="27"/>
    </row>
    <row r="47" spans="1:8">
      <c r="A47" s="27"/>
      <c r="B47" s="28"/>
      <c r="C47" s="27"/>
      <c r="D47" s="29"/>
      <c r="E47" s="29" t="s">
        <v>177</v>
      </c>
      <c r="F47" s="27"/>
      <c r="G47" s="27"/>
      <c r="H47" s="27">
        <f>SUBTOTAL(3,H3:H44)</f>
        <v>29</v>
      </c>
    </row>
    <row r="48" spans="1:8">
      <c r="A48" s="27"/>
      <c r="B48" s="28"/>
      <c r="C48" s="27"/>
      <c r="D48" s="29" t="s">
        <v>172</v>
      </c>
      <c r="E48" s="27"/>
      <c r="F48" s="27"/>
      <c r="G48" s="27">
        <f>SUBTOTAL(1,G3:G44)</f>
        <v>72.310344827586206</v>
      </c>
      <c r="H48" s="27"/>
    </row>
  </sheetData>
  <sortState xmlns:xlrd2="http://schemas.microsoft.com/office/spreadsheetml/2017/richdata2" ref="A3:H44">
    <sortCondition ref="D3:D44"/>
    <sortCondition ref="E3:E44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D11"/>
  <sheetViews>
    <sheetView workbookViewId="0"/>
  </sheetViews>
  <sheetFormatPr defaultRowHeight="16.5"/>
  <cols>
    <col min="2" max="2" width="11.125" bestFit="1" customWidth="1"/>
    <col min="3" max="3" width="8.5" bestFit="1" customWidth="1"/>
    <col min="4" max="4" width="10.375" bestFit="1" customWidth="1"/>
  </cols>
  <sheetData>
    <row r="2" spans="1:4">
      <c r="A2" s="1" t="s">
        <v>2</v>
      </c>
      <c r="B2" s="5" t="s">
        <v>107</v>
      </c>
      <c r="C2" s="5" t="s">
        <v>108</v>
      </c>
      <c r="D2" s="5" t="s">
        <v>109</v>
      </c>
    </row>
    <row r="3" spans="1:4">
      <c r="A3" s="1" t="s">
        <v>9</v>
      </c>
      <c r="B3" s="5">
        <v>5</v>
      </c>
      <c r="C3" s="5">
        <v>180</v>
      </c>
      <c r="D3" s="5">
        <f>INT(C3/B3)</f>
        <v>36</v>
      </c>
    </row>
    <row r="4" spans="1:4">
      <c r="A4" s="1" t="s">
        <v>13</v>
      </c>
      <c r="B4" s="5">
        <v>4</v>
      </c>
      <c r="C4" s="5">
        <v>100</v>
      </c>
      <c r="D4" s="5">
        <f t="shared" ref="D4:D11" si="0">INT(C4/B4)</f>
        <v>25</v>
      </c>
    </row>
    <row r="5" spans="1:4">
      <c r="A5" s="1" t="s">
        <v>21</v>
      </c>
      <c r="B5" s="5">
        <v>3</v>
      </c>
      <c r="C5" s="5">
        <v>50</v>
      </c>
      <c r="D5" s="5">
        <f t="shared" si="0"/>
        <v>16</v>
      </c>
    </row>
    <row r="6" spans="1:4">
      <c r="A6" s="1" t="s">
        <v>23</v>
      </c>
      <c r="B6" s="5">
        <v>6</v>
      </c>
      <c r="C6" s="5">
        <v>60</v>
      </c>
      <c r="D6" s="5">
        <f t="shared" si="0"/>
        <v>10</v>
      </c>
    </row>
    <row r="7" spans="1:4">
      <c r="A7" s="1" t="s">
        <v>25</v>
      </c>
      <c r="B7" s="5">
        <v>6</v>
      </c>
      <c r="C7" s="5">
        <v>75</v>
      </c>
      <c r="D7" s="5">
        <f t="shared" si="0"/>
        <v>12</v>
      </c>
    </row>
    <row r="8" spans="1:4">
      <c r="A8" s="1" t="s">
        <v>33</v>
      </c>
      <c r="B8" s="5">
        <v>5</v>
      </c>
      <c r="C8" s="5">
        <v>80</v>
      </c>
      <c r="D8" s="5">
        <f t="shared" si="0"/>
        <v>16</v>
      </c>
    </row>
    <row r="9" spans="1:4">
      <c r="A9" s="1" t="s">
        <v>35</v>
      </c>
      <c r="B9" s="5">
        <v>5</v>
      </c>
      <c r="C9" s="5">
        <v>90</v>
      </c>
      <c r="D9" s="5">
        <f t="shared" si="0"/>
        <v>18</v>
      </c>
    </row>
    <row r="10" spans="1:4">
      <c r="A10" s="1" t="s">
        <v>51</v>
      </c>
      <c r="B10" s="5">
        <v>4</v>
      </c>
      <c r="C10" s="5">
        <v>100</v>
      </c>
      <c r="D10" s="5">
        <f t="shared" si="0"/>
        <v>25</v>
      </c>
    </row>
    <row r="11" spans="1:4">
      <c r="A11" s="1" t="s">
        <v>53</v>
      </c>
      <c r="B11" s="5">
        <v>3</v>
      </c>
      <c r="C11" s="5">
        <v>60</v>
      </c>
      <c r="D11" s="5">
        <f t="shared" si="0"/>
        <v>20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5:H35"/>
  <sheetViews>
    <sheetView workbookViewId="0"/>
  </sheetViews>
  <sheetFormatPr defaultRowHeight="16.5"/>
  <cols>
    <col min="1" max="1" width="12.375" bestFit="1" customWidth="1"/>
    <col min="2" max="2" width="10.75" bestFit="1" customWidth="1"/>
    <col min="3" max="3" width="11.625" customWidth="1"/>
    <col min="4" max="4" width="4.875" bestFit="1" customWidth="1"/>
    <col min="5" max="5" width="8.5" bestFit="1" customWidth="1"/>
    <col min="6" max="6" width="10.375" bestFit="1" customWidth="1"/>
    <col min="7" max="7" width="8.5" bestFit="1" customWidth="1"/>
    <col min="8" max="8" width="10.375" bestFit="1" customWidth="1"/>
  </cols>
  <sheetData>
    <row r="5" spans="1:8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</row>
    <row r="6" spans="1:8">
      <c r="A6" s="1" t="s">
        <v>8</v>
      </c>
      <c r="B6" s="23">
        <v>45566</v>
      </c>
      <c r="C6" s="18" t="s">
        <v>9</v>
      </c>
      <c r="D6" s="1" t="s">
        <v>10</v>
      </c>
      <c r="E6" s="1" t="s">
        <v>11</v>
      </c>
      <c r="F6" s="1">
        <v>5</v>
      </c>
      <c r="G6" s="19">
        <v>60</v>
      </c>
      <c r="H6" s="1">
        <v>7</v>
      </c>
    </row>
    <row r="7" spans="1:8">
      <c r="A7" s="1" t="s">
        <v>12</v>
      </c>
      <c r="B7" s="23">
        <v>45659</v>
      </c>
      <c r="C7" s="18" t="s">
        <v>13</v>
      </c>
      <c r="D7" s="1" t="s">
        <v>14</v>
      </c>
      <c r="E7" s="1" t="s">
        <v>15</v>
      </c>
      <c r="F7" s="1">
        <v>3</v>
      </c>
      <c r="G7" s="19">
        <v>50</v>
      </c>
      <c r="H7" s="1">
        <v>5</v>
      </c>
    </row>
    <row r="8" spans="1:8">
      <c r="A8" s="1" t="s">
        <v>16</v>
      </c>
      <c r="B8" s="23">
        <v>45659</v>
      </c>
      <c r="C8" s="18" t="s">
        <v>17</v>
      </c>
      <c r="D8" s="1" t="s">
        <v>18</v>
      </c>
      <c r="E8" s="1" t="s">
        <v>19</v>
      </c>
      <c r="F8" s="1">
        <v>4</v>
      </c>
      <c r="G8" s="19">
        <v>85</v>
      </c>
      <c r="H8" s="1">
        <v>6</v>
      </c>
    </row>
    <row r="9" spans="1:8">
      <c r="A9" s="1" t="s">
        <v>20</v>
      </c>
      <c r="B9" s="23">
        <v>45659</v>
      </c>
      <c r="C9" s="18" t="s">
        <v>21</v>
      </c>
      <c r="D9" s="1" t="s">
        <v>14</v>
      </c>
      <c r="E9" s="1" t="s">
        <v>11</v>
      </c>
      <c r="F9" s="1">
        <v>4</v>
      </c>
      <c r="G9" s="19">
        <v>60</v>
      </c>
      <c r="H9" s="1">
        <v>3</v>
      </c>
    </row>
    <row r="10" spans="1:8">
      <c r="A10" s="1" t="s">
        <v>22</v>
      </c>
      <c r="B10" s="23">
        <v>45689</v>
      </c>
      <c r="C10" s="18" t="s">
        <v>23</v>
      </c>
      <c r="D10" s="1" t="s">
        <v>18</v>
      </c>
      <c r="E10" s="1" t="s">
        <v>15</v>
      </c>
      <c r="F10" s="1">
        <v>4</v>
      </c>
      <c r="G10" s="19">
        <v>50</v>
      </c>
      <c r="H10" s="1">
        <v>3</v>
      </c>
    </row>
    <row r="11" spans="1:8">
      <c r="A11" s="1" t="s">
        <v>24</v>
      </c>
      <c r="B11" s="23">
        <v>45689</v>
      </c>
      <c r="C11" s="18" t="s">
        <v>25</v>
      </c>
      <c r="D11" s="1" t="s">
        <v>10</v>
      </c>
      <c r="E11" s="1" t="s">
        <v>15</v>
      </c>
      <c r="F11" s="1">
        <v>6</v>
      </c>
      <c r="G11" s="19">
        <v>135</v>
      </c>
      <c r="H11" s="1">
        <v>6</v>
      </c>
    </row>
    <row r="12" spans="1:8">
      <c r="A12" s="1" t="s">
        <v>26</v>
      </c>
      <c r="B12" s="23">
        <v>45627</v>
      </c>
      <c r="C12" s="18" t="s">
        <v>9</v>
      </c>
      <c r="D12" s="1" t="s">
        <v>14</v>
      </c>
      <c r="E12" s="1" t="s">
        <v>11</v>
      </c>
      <c r="F12" s="1">
        <v>4</v>
      </c>
      <c r="G12" s="19">
        <v>120</v>
      </c>
      <c r="H12" s="1">
        <v>5</v>
      </c>
    </row>
    <row r="13" spans="1:8">
      <c r="A13" s="1" t="s">
        <v>27</v>
      </c>
      <c r="B13" s="23">
        <v>45597</v>
      </c>
      <c r="C13" s="18" t="s">
        <v>17</v>
      </c>
      <c r="D13" s="1" t="s">
        <v>10</v>
      </c>
      <c r="E13" s="1" t="s">
        <v>19</v>
      </c>
      <c r="F13" s="1">
        <v>5</v>
      </c>
      <c r="G13" s="19">
        <v>140</v>
      </c>
      <c r="H13" s="1">
        <v>4</v>
      </c>
    </row>
    <row r="14" spans="1:8">
      <c r="A14" s="1" t="s">
        <v>28</v>
      </c>
      <c r="B14" s="23">
        <v>45536</v>
      </c>
      <c r="C14" s="18" t="s">
        <v>13</v>
      </c>
      <c r="D14" s="1" t="s">
        <v>18</v>
      </c>
      <c r="E14" s="1" t="s">
        <v>15</v>
      </c>
      <c r="F14" s="1">
        <v>3</v>
      </c>
      <c r="G14" s="19">
        <v>80</v>
      </c>
      <c r="H14" s="1">
        <v>5</v>
      </c>
    </row>
    <row r="15" spans="1:8">
      <c r="A15" s="1" t="s">
        <v>29</v>
      </c>
      <c r="B15" s="23">
        <v>45566</v>
      </c>
      <c r="C15" s="18" t="s">
        <v>30</v>
      </c>
      <c r="D15" s="1" t="s">
        <v>10</v>
      </c>
      <c r="E15" s="1" t="s">
        <v>31</v>
      </c>
      <c r="F15" s="1">
        <v>5</v>
      </c>
      <c r="G15" s="19">
        <v>70</v>
      </c>
      <c r="H15" s="1">
        <v>3</v>
      </c>
    </row>
    <row r="16" spans="1:8">
      <c r="A16" s="1" t="s">
        <v>32</v>
      </c>
      <c r="B16" s="23">
        <v>45597</v>
      </c>
      <c r="C16" s="18" t="s">
        <v>33</v>
      </c>
      <c r="D16" s="1" t="s">
        <v>10</v>
      </c>
      <c r="E16" s="1" t="s">
        <v>15</v>
      </c>
      <c r="F16" s="1">
        <v>6</v>
      </c>
      <c r="G16" s="19">
        <v>68</v>
      </c>
      <c r="H16" s="1">
        <v>5</v>
      </c>
    </row>
    <row r="17" spans="1:8">
      <c r="A17" s="1" t="s">
        <v>34</v>
      </c>
      <c r="B17" s="23">
        <v>45627</v>
      </c>
      <c r="C17" s="18" t="s">
        <v>35</v>
      </c>
      <c r="D17" s="1" t="s">
        <v>14</v>
      </c>
      <c r="E17" s="1" t="s">
        <v>31</v>
      </c>
      <c r="F17" s="1">
        <v>4</v>
      </c>
      <c r="G17" s="19">
        <v>55</v>
      </c>
      <c r="H17" s="1">
        <v>4</v>
      </c>
    </row>
    <row r="18" spans="1:8">
      <c r="A18" s="1" t="s">
        <v>36</v>
      </c>
      <c r="B18" s="23">
        <v>45718</v>
      </c>
      <c r="C18" s="18" t="s">
        <v>37</v>
      </c>
      <c r="D18" s="1" t="s">
        <v>18</v>
      </c>
      <c r="E18" s="1" t="s">
        <v>19</v>
      </c>
      <c r="F18" s="1">
        <v>3</v>
      </c>
      <c r="G18" s="19">
        <v>54</v>
      </c>
      <c r="H18" s="1">
        <v>5</v>
      </c>
    </row>
    <row r="19" spans="1:8">
      <c r="A19" s="1" t="s">
        <v>38</v>
      </c>
      <c r="B19" s="23">
        <v>45718</v>
      </c>
      <c r="C19" s="18" t="s">
        <v>17</v>
      </c>
      <c r="D19" s="1" t="s">
        <v>10</v>
      </c>
      <c r="E19" s="1" t="s">
        <v>19</v>
      </c>
      <c r="F19" s="1">
        <v>5</v>
      </c>
      <c r="G19" s="19">
        <v>70</v>
      </c>
      <c r="H19" s="1">
        <v>6</v>
      </c>
    </row>
    <row r="20" spans="1:8">
      <c r="A20" s="1" t="s">
        <v>39</v>
      </c>
      <c r="B20" s="23">
        <v>45566</v>
      </c>
      <c r="C20" s="18" t="s">
        <v>21</v>
      </c>
      <c r="D20" s="1" t="s">
        <v>18</v>
      </c>
      <c r="E20" s="1" t="s">
        <v>11</v>
      </c>
      <c r="F20" s="1">
        <v>6</v>
      </c>
      <c r="G20" s="19">
        <v>75</v>
      </c>
      <c r="H20" s="1">
        <v>4</v>
      </c>
    </row>
    <row r="21" spans="1:8">
      <c r="A21" s="1" t="s">
        <v>40</v>
      </c>
      <c r="B21" s="23">
        <v>45597</v>
      </c>
      <c r="C21" s="18" t="s">
        <v>23</v>
      </c>
      <c r="D21" s="1" t="s">
        <v>14</v>
      </c>
      <c r="E21" s="1" t="s">
        <v>15</v>
      </c>
      <c r="F21" s="1">
        <v>4</v>
      </c>
      <c r="G21" s="19">
        <v>50</v>
      </c>
      <c r="H21" s="1">
        <v>5</v>
      </c>
    </row>
    <row r="22" spans="1:8">
      <c r="A22" s="1" t="s">
        <v>41</v>
      </c>
      <c r="B22" s="23">
        <v>45627</v>
      </c>
      <c r="C22" s="18" t="s">
        <v>9</v>
      </c>
      <c r="D22" s="1" t="s">
        <v>18</v>
      </c>
      <c r="E22" s="1" t="s">
        <v>11</v>
      </c>
      <c r="F22" s="1">
        <v>3</v>
      </c>
      <c r="G22" s="19">
        <v>45</v>
      </c>
      <c r="H22" s="1">
        <v>5</v>
      </c>
    </row>
    <row r="23" spans="1:8">
      <c r="A23" s="1" t="s">
        <v>42</v>
      </c>
      <c r="B23" s="23">
        <v>45536</v>
      </c>
      <c r="C23" s="18" t="s">
        <v>13</v>
      </c>
      <c r="D23" s="1" t="s">
        <v>10</v>
      </c>
      <c r="E23" s="1" t="s">
        <v>15</v>
      </c>
      <c r="F23" s="1">
        <v>5</v>
      </c>
      <c r="G23" s="19">
        <v>70</v>
      </c>
      <c r="H23" s="1">
        <v>4</v>
      </c>
    </row>
    <row r="24" spans="1:8">
      <c r="A24" s="1" t="s">
        <v>43</v>
      </c>
      <c r="B24" s="23">
        <v>45659</v>
      </c>
      <c r="C24" s="18" t="s">
        <v>17</v>
      </c>
      <c r="D24" s="1" t="s">
        <v>14</v>
      </c>
      <c r="E24" s="1" t="s">
        <v>19</v>
      </c>
      <c r="F24" s="1">
        <v>7</v>
      </c>
      <c r="G24" s="19">
        <v>150</v>
      </c>
      <c r="H24" s="1">
        <v>3</v>
      </c>
    </row>
    <row r="25" spans="1:8">
      <c r="A25" s="1" t="s">
        <v>44</v>
      </c>
      <c r="B25" s="23">
        <v>45627</v>
      </c>
      <c r="C25" s="18" t="s">
        <v>25</v>
      </c>
      <c r="D25" s="1" t="s">
        <v>14</v>
      </c>
      <c r="E25" s="1" t="s">
        <v>15</v>
      </c>
      <c r="F25" s="1">
        <v>5</v>
      </c>
      <c r="G25" s="19">
        <v>67</v>
      </c>
      <c r="H25" s="1">
        <v>4</v>
      </c>
    </row>
    <row r="26" spans="1:8">
      <c r="A26" s="1" t="s">
        <v>45</v>
      </c>
      <c r="B26" s="23">
        <v>45597</v>
      </c>
      <c r="C26" s="18" t="s">
        <v>30</v>
      </c>
      <c r="D26" s="1" t="s">
        <v>14</v>
      </c>
      <c r="E26" s="1" t="s">
        <v>31</v>
      </c>
      <c r="F26" s="1">
        <v>5</v>
      </c>
      <c r="G26" s="19">
        <v>80</v>
      </c>
      <c r="H26" s="1">
        <v>6</v>
      </c>
    </row>
    <row r="27" spans="1:8">
      <c r="A27" s="1" t="s">
        <v>46</v>
      </c>
      <c r="B27" s="23">
        <v>45566</v>
      </c>
      <c r="C27" s="18" t="s">
        <v>33</v>
      </c>
      <c r="D27" s="1" t="s">
        <v>14</v>
      </c>
      <c r="E27" s="1" t="s">
        <v>15</v>
      </c>
      <c r="F27" s="1">
        <v>5</v>
      </c>
      <c r="G27" s="19">
        <v>65</v>
      </c>
      <c r="H27" s="1">
        <v>4</v>
      </c>
    </row>
    <row r="28" spans="1:8">
      <c r="A28" s="1" t="s">
        <v>47</v>
      </c>
      <c r="B28" s="23">
        <v>45536</v>
      </c>
      <c r="C28" s="18" t="s">
        <v>37</v>
      </c>
      <c r="D28" s="1" t="s">
        <v>14</v>
      </c>
      <c r="E28" s="1" t="s">
        <v>19</v>
      </c>
      <c r="F28" s="1">
        <v>4</v>
      </c>
      <c r="G28" s="19">
        <v>58</v>
      </c>
      <c r="H28" s="1">
        <v>5</v>
      </c>
    </row>
    <row r="29" spans="1:8">
      <c r="A29" s="1" t="s">
        <v>48</v>
      </c>
      <c r="B29" s="23">
        <v>45627</v>
      </c>
      <c r="C29" s="18" t="s">
        <v>49</v>
      </c>
      <c r="D29" s="1" t="s">
        <v>10</v>
      </c>
      <c r="E29" s="1" t="s">
        <v>15</v>
      </c>
      <c r="F29" s="1">
        <v>5</v>
      </c>
      <c r="G29" s="19">
        <v>65</v>
      </c>
      <c r="H29" s="1">
        <v>5</v>
      </c>
    </row>
    <row r="30" spans="1:8">
      <c r="A30" s="1" t="s">
        <v>50</v>
      </c>
      <c r="B30" s="23">
        <v>45750</v>
      </c>
      <c r="C30" s="18" t="s">
        <v>51</v>
      </c>
      <c r="D30" s="1" t="s">
        <v>14</v>
      </c>
      <c r="E30" s="1" t="s">
        <v>31</v>
      </c>
      <c r="F30" s="1">
        <v>3</v>
      </c>
      <c r="G30" s="19">
        <v>50</v>
      </c>
      <c r="H30" s="1">
        <v>5</v>
      </c>
    </row>
    <row r="31" spans="1:8">
      <c r="A31" s="1" t="s">
        <v>52</v>
      </c>
      <c r="B31" s="23">
        <v>45750</v>
      </c>
      <c r="C31" s="18" t="s">
        <v>53</v>
      </c>
      <c r="D31" s="1" t="s">
        <v>10</v>
      </c>
      <c r="E31" s="1" t="s">
        <v>19</v>
      </c>
      <c r="F31" s="1">
        <v>6</v>
      </c>
      <c r="G31" s="19">
        <v>70</v>
      </c>
      <c r="H31" s="1">
        <v>4</v>
      </c>
    </row>
    <row r="32" spans="1:8">
      <c r="A32" s="1" t="s">
        <v>54</v>
      </c>
      <c r="B32" s="23">
        <v>45750</v>
      </c>
      <c r="C32" s="18" t="s">
        <v>49</v>
      </c>
      <c r="D32" s="1" t="s">
        <v>14</v>
      </c>
      <c r="E32" s="1" t="s">
        <v>15</v>
      </c>
      <c r="F32" s="1">
        <v>5</v>
      </c>
      <c r="G32" s="19">
        <v>70</v>
      </c>
      <c r="H32" s="1">
        <v>5</v>
      </c>
    </row>
    <row r="33" spans="1:8">
      <c r="A33" s="1" t="s">
        <v>55</v>
      </c>
      <c r="B33" s="23">
        <v>45718</v>
      </c>
      <c r="C33" s="18" t="s">
        <v>53</v>
      </c>
      <c r="D33" s="1" t="s">
        <v>14</v>
      </c>
      <c r="E33" s="1" t="s">
        <v>19</v>
      </c>
      <c r="F33" s="1">
        <v>4</v>
      </c>
      <c r="G33" s="19">
        <v>60</v>
      </c>
      <c r="H33" s="1">
        <v>6</v>
      </c>
    </row>
    <row r="34" spans="1:8">
      <c r="A34" s="1" t="s">
        <v>56</v>
      </c>
      <c r="B34" s="23">
        <v>45689</v>
      </c>
      <c r="C34" s="18" t="s">
        <v>51</v>
      </c>
      <c r="D34" s="1" t="s">
        <v>18</v>
      </c>
      <c r="E34" s="1" t="s">
        <v>31</v>
      </c>
      <c r="F34" s="1">
        <v>3</v>
      </c>
      <c r="G34" s="19">
        <v>45</v>
      </c>
      <c r="H34" s="1">
        <v>4</v>
      </c>
    </row>
    <row r="35" spans="1:8">
      <c r="A35" s="1" t="s">
        <v>57</v>
      </c>
      <c r="B35" s="23">
        <v>45718</v>
      </c>
      <c r="C35" s="18" t="s">
        <v>35</v>
      </c>
      <c r="D35" s="1" t="s">
        <v>10</v>
      </c>
      <c r="E35" s="1" t="s">
        <v>31</v>
      </c>
      <c r="F35" s="1">
        <v>5</v>
      </c>
      <c r="G35" s="19">
        <v>50</v>
      </c>
      <c r="H35" s="1">
        <v>6</v>
      </c>
    </row>
  </sheetData>
  <dataConsolidate function="average" topLabels="1">
    <dataRefs count="1">
      <dataRef ref="E2:H32" sheet="분석작업-2"/>
    </dataRefs>
  </dataConsolid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문자서식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숫자서식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M20"/>
  <sheetViews>
    <sheetView workbookViewId="0"/>
  </sheetViews>
  <sheetFormatPr defaultRowHeight="16.5"/>
  <cols>
    <col min="6" max="6" width="11.125" customWidth="1"/>
  </cols>
  <sheetData>
    <row r="2" spans="2:13">
      <c r="E2" t="s">
        <v>123</v>
      </c>
      <c r="F2" s="16">
        <v>45853</v>
      </c>
    </row>
    <row r="4" spans="2:13">
      <c r="J4" s="12" t="s">
        <v>110</v>
      </c>
      <c r="K4" s="7" t="s">
        <v>111</v>
      </c>
      <c r="L4" s="1" t="s">
        <v>2</v>
      </c>
      <c r="M4" s="1" t="s">
        <v>4</v>
      </c>
    </row>
    <row r="5" spans="2:13">
      <c r="B5" s="7" t="s">
        <v>112</v>
      </c>
      <c r="C5" s="7" t="s">
        <v>113</v>
      </c>
      <c r="D5" s="7" t="s">
        <v>114</v>
      </c>
      <c r="E5" s="7" t="s">
        <v>115</v>
      </c>
      <c r="F5" s="7" t="s">
        <v>116</v>
      </c>
      <c r="G5" s="7" t="s">
        <v>117</v>
      </c>
      <c r="J5" s="12" t="s">
        <v>118</v>
      </c>
      <c r="K5" s="7" t="s">
        <v>102</v>
      </c>
      <c r="L5" s="1" t="s">
        <v>30</v>
      </c>
      <c r="M5" s="24" t="s">
        <v>31</v>
      </c>
    </row>
    <row r="6" spans="2:13">
      <c r="B6" s="7"/>
      <c r="C6" s="7"/>
      <c r="D6" s="7"/>
      <c r="E6" s="7"/>
      <c r="F6" s="7"/>
      <c r="G6" s="7"/>
      <c r="J6" s="12" t="s">
        <v>99</v>
      </c>
      <c r="K6" s="7" t="s">
        <v>119</v>
      </c>
      <c r="L6" s="1" t="s">
        <v>35</v>
      </c>
      <c r="M6" s="25"/>
    </row>
    <row r="7" spans="2:13">
      <c r="B7" s="7"/>
      <c r="C7" s="7"/>
      <c r="D7" s="7"/>
      <c r="E7" s="7"/>
      <c r="F7" s="7"/>
      <c r="G7" s="7"/>
      <c r="J7" s="12" t="s">
        <v>120</v>
      </c>
      <c r="K7" s="7" t="s">
        <v>121</v>
      </c>
      <c r="L7" s="1" t="s">
        <v>51</v>
      </c>
      <c r="M7" s="26"/>
    </row>
    <row r="8" spans="2:13">
      <c r="B8" s="7"/>
      <c r="C8" s="7"/>
      <c r="D8" s="7"/>
      <c r="E8" s="7"/>
      <c r="F8" s="7"/>
      <c r="G8" s="7"/>
      <c r="J8" s="13"/>
      <c r="K8" s="7" t="s">
        <v>105</v>
      </c>
      <c r="L8" s="1" t="s">
        <v>9</v>
      </c>
      <c r="M8" s="24" t="s">
        <v>11</v>
      </c>
    </row>
    <row r="9" spans="2:13">
      <c r="B9" s="7"/>
      <c r="C9" s="7"/>
      <c r="D9" s="7"/>
      <c r="E9" s="7"/>
      <c r="F9" s="7"/>
      <c r="G9" s="7"/>
      <c r="L9" s="1" t="s">
        <v>21</v>
      </c>
      <c r="M9" s="25"/>
    </row>
    <row r="10" spans="2:13">
      <c r="B10" s="7"/>
      <c r="C10" s="7"/>
      <c r="D10" s="7"/>
      <c r="E10" s="7"/>
      <c r="F10" s="7"/>
      <c r="G10" s="7"/>
      <c r="L10" s="1" t="s">
        <v>122</v>
      </c>
      <c r="M10" s="26"/>
    </row>
    <row r="11" spans="2:13">
      <c r="B11" s="7"/>
      <c r="C11" s="7"/>
      <c r="D11" s="7"/>
      <c r="E11" s="7"/>
      <c r="F11" s="7"/>
      <c r="G11" s="7"/>
      <c r="L11" s="1" t="s">
        <v>17</v>
      </c>
      <c r="M11" s="24" t="s">
        <v>19</v>
      </c>
    </row>
    <row r="12" spans="2:13">
      <c r="B12" s="7"/>
      <c r="C12" s="7"/>
      <c r="D12" s="7"/>
      <c r="E12" s="7"/>
      <c r="F12" s="7"/>
      <c r="G12" s="7"/>
      <c r="L12" s="1" t="s">
        <v>37</v>
      </c>
      <c r="M12" s="25"/>
    </row>
    <row r="13" spans="2:13">
      <c r="B13" s="7"/>
      <c r="C13" s="7"/>
      <c r="D13" s="7"/>
      <c r="E13" s="7"/>
      <c r="F13" s="7"/>
      <c r="G13" s="7"/>
      <c r="L13" s="1" t="s">
        <v>53</v>
      </c>
      <c r="M13" s="26"/>
    </row>
    <row r="14" spans="2:13">
      <c r="B14" s="7"/>
      <c r="C14" s="7"/>
      <c r="D14" s="7"/>
      <c r="E14" s="7"/>
      <c r="F14" s="7"/>
      <c r="G14" s="7"/>
      <c r="L14" s="1" t="s">
        <v>13</v>
      </c>
      <c r="M14" s="24" t="s">
        <v>15</v>
      </c>
    </row>
    <row r="15" spans="2:13">
      <c r="B15" s="7"/>
      <c r="C15" s="7"/>
      <c r="D15" s="7"/>
      <c r="E15" s="7"/>
      <c r="F15" s="7"/>
      <c r="G15" s="7"/>
      <c r="L15" s="1" t="s">
        <v>23</v>
      </c>
      <c r="M15" s="25"/>
    </row>
    <row r="16" spans="2:13">
      <c r="B16" s="7"/>
      <c r="C16" s="7"/>
      <c r="D16" s="7"/>
      <c r="E16" s="7"/>
      <c r="F16" s="7"/>
      <c r="G16" s="7"/>
      <c r="L16" s="1" t="s">
        <v>25</v>
      </c>
      <c r="M16" s="25"/>
    </row>
    <row r="17" spans="2:13">
      <c r="B17" s="7"/>
      <c r="C17" s="7"/>
      <c r="D17" s="7"/>
      <c r="E17" s="7"/>
      <c r="F17" s="7"/>
      <c r="G17" s="7"/>
      <c r="L17" s="1" t="s">
        <v>33</v>
      </c>
      <c r="M17" s="25"/>
    </row>
    <row r="18" spans="2:13">
      <c r="B18" s="7"/>
      <c r="C18" s="7"/>
      <c r="D18" s="7"/>
      <c r="E18" s="7"/>
      <c r="F18" s="7"/>
      <c r="G18" s="7"/>
      <c r="L18" s="1" t="s">
        <v>49</v>
      </c>
      <c r="M18" s="26"/>
    </row>
    <row r="19" spans="2:13">
      <c r="B19" s="7"/>
      <c r="C19" s="7"/>
      <c r="D19" s="7"/>
      <c r="E19" s="7"/>
      <c r="F19" s="7"/>
      <c r="G19" s="7"/>
    </row>
    <row r="20" spans="2:13">
      <c r="B20" s="7"/>
      <c r="C20" s="7"/>
      <c r="D20" s="7"/>
      <c r="E20" s="7"/>
      <c r="F20" s="7"/>
      <c r="G20" s="7"/>
    </row>
  </sheetData>
  <mergeCells count="4">
    <mergeCell ref="M5:M7"/>
    <mergeCell ref="M8:M10"/>
    <mergeCell ref="M11:M13"/>
    <mergeCell ref="M14:M18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수강신청">
          <controlPr defaultSize="0" autoLine="0" r:id="rId4">
            <anchor moveWithCells="1">
              <from>
                <xdr:col>0</xdr:col>
                <xdr:colOff>657225</xdr:colOff>
                <xdr:row>0</xdr:row>
                <xdr:rowOff>200025</xdr:rowOff>
              </from>
              <to>
                <xdr:col>2</xdr:col>
                <xdr:colOff>609600</xdr:colOff>
                <xdr:row>3</xdr:row>
                <xdr:rowOff>19050</xdr:rowOff>
              </to>
            </anchor>
          </controlPr>
        </control>
      </mc:Choice>
      <mc:Fallback>
        <control shapeId="7169" r:id="rId3" name="cmd수강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cp:lastPrinted>2021-06-18T06:10:48Z</cp:lastPrinted>
  <dcterms:created xsi:type="dcterms:W3CDTF">2020-04-07T06:00:22Z</dcterms:created>
  <dcterms:modified xsi:type="dcterms:W3CDTF">2023-11-06T12:58:31Z</dcterms:modified>
</cp:coreProperties>
</file>