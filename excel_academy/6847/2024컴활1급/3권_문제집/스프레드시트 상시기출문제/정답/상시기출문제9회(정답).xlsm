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28A337BD-3E94-41C6-AF9D-98E9E6877312}" xr6:coauthVersionLast="47" xr6:coauthVersionMax="47" xr10:uidLastSave="{00000000-0000-0000-0000-000000000000}"/>
  <bookViews>
    <workbookView xWindow="3555" yWindow="1320" windowWidth="29130" windowHeight="16785" tabRatio="896" xr2:uid="{00000000-000D-0000-FFFF-FFFF00000000}"/>
  </bookViews>
  <sheets>
    <sheet name="기본작업-1" sheetId="1" r:id="rId1"/>
    <sheet name="기본작업-2" sheetId="2" r:id="rId2"/>
    <sheet name="계산작업" sheetId="9" r:id="rId3"/>
    <sheet name="분석작업-1" sheetId="4" r:id="rId4"/>
    <sheet name="시나리오 요약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0" hidden="1">'기본작업-1'!$B$2:$I$23</definedName>
    <definedName name="_xlnm.Criteria" localSheetId="0">'기본작업-1'!$B$26:$B$27</definedName>
    <definedName name="_xlnm.Extract" localSheetId="0">'기본작업-1'!$B$30:$I$30</definedName>
    <definedName name="_xlnm.Print_Area" localSheetId="1">'기본작업-2'!$A$2:$H$20</definedName>
    <definedName name="순이익합계">'분석작업-2'!$I$19</definedName>
    <definedName name="이익률">'분석작업-2'!$H$21</definedName>
  </definedNames>
  <calcPr calcId="191029"/>
  <pivotCaches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6" i="9" l="1" a="1"/>
  <c r="C36" i="9" s="1"/>
  <c r="C37" i="9" a="1"/>
  <c r="C37" i="9" s="1"/>
  <c r="C38" i="9" a="1"/>
  <c r="C38" i="9" s="1"/>
  <c r="C39" i="9" a="1"/>
  <c r="C39" i="9" s="1"/>
  <c r="B37" i="9" a="1"/>
  <c r="B37" i="9" s="1"/>
  <c r="B38" i="9" a="1"/>
  <c r="B38" i="9" s="1"/>
  <c r="B39" i="9" a="1"/>
  <c r="B39" i="9" s="1"/>
  <c r="B36" i="9" a="1"/>
  <c r="B36" i="9" s="1"/>
  <c r="J4" i="9" a="1"/>
  <c r="J14" i="9" a="1"/>
  <c r="J24" i="9" a="1"/>
  <c r="J5" i="9" a="1"/>
  <c r="J15" i="9" a="1"/>
  <c r="J25" i="9" a="1"/>
  <c r="J6" i="9" a="1"/>
  <c r="J16" i="9" a="1"/>
  <c r="J7" i="9" a="1"/>
  <c r="J17" i="9" a="1"/>
  <c r="J8" i="9" a="1"/>
  <c r="J18" i="9" a="1"/>
  <c r="J9" i="9" a="1"/>
  <c r="J19" i="9" a="1"/>
  <c r="J10" i="9" a="1"/>
  <c r="J20" i="9" a="1"/>
  <c r="J11" i="9" a="1"/>
  <c r="J21" i="9" a="1"/>
  <c r="J12" i="9" a="1"/>
  <c r="J22" i="9" a="1"/>
  <c r="J13" i="9" a="1"/>
  <c r="J23" i="9" a="1"/>
  <c r="J3" i="9" a="1"/>
  <c r="J23" i="9" l="1"/>
  <c r="J13" i="9"/>
  <c r="J22" i="9"/>
  <c r="J12" i="9"/>
  <c r="J21" i="9"/>
  <c r="J11" i="9"/>
  <c r="J20" i="9"/>
  <c r="J10" i="9"/>
  <c r="J19" i="9"/>
  <c r="J9" i="9"/>
  <c r="J18" i="9"/>
  <c r="J8" i="9"/>
  <c r="J17" i="9"/>
  <c r="J7" i="9"/>
  <c r="J16" i="9"/>
  <c r="J6" i="9"/>
  <c r="J25" i="9"/>
  <c r="J15" i="9"/>
  <c r="J5" i="9"/>
  <c r="J24" i="9"/>
  <c r="J14" i="9"/>
  <c r="J4" i="9"/>
  <c r="J3" i="9"/>
  <c r="F30" i="9"/>
  <c r="F31" i="9"/>
  <c r="F32" i="9"/>
  <c r="F29" i="9"/>
  <c r="C29" i="9" a="1"/>
  <c r="C29" i="9" s="1"/>
  <c r="C30" i="9" a="1"/>
  <c r="C30" i="9" s="1"/>
  <c r="B30" i="9" a="1"/>
  <c r="B30" i="9" s="1"/>
  <c r="B29" i="9" a="1"/>
  <c r="B29" i="9" s="1"/>
  <c r="B27" i="1" l="1"/>
  <c r="I4" i="9" l="1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3" i="9"/>
  <c r="H18" i="5" l="1"/>
  <c r="I18" i="5" s="1"/>
  <c r="H17" i="5"/>
  <c r="I17" i="5" s="1"/>
  <c r="I16" i="5"/>
  <c r="H16" i="5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I7" i="5" s="1"/>
  <c r="H6" i="5"/>
  <c r="I6" i="5" s="1"/>
  <c r="H5" i="5"/>
  <c r="I5" i="5" s="1"/>
  <c r="H4" i="5"/>
  <c r="I4" i="5" s="1"/>
  <c r="H19" i="5" l="1"/>
  <c r="I19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E:\영진(2022년)\1급\엑셀\기출문제3회\사원현황.xlsx" keepAlive="1" name="사원현황" type="5" refreshedVersion="6">
    <dbPr connection="Provider=Microsoft.ACE.OLEDB.12.0;User ID=Admin;Data Source=E:\영진(2022년)\1급\엑셀\기출문제3회\사원현황.xlsx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신입사원$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<sst xmlns="http://schemas.openxmlformats.org/spreadsheetml/2006/main" count="409" uniqueCount="184">
  <si>
    <t>[표1]</t>
    <phoneticPr fontId="1" type="noConversion"/>
  </si>
  <si>
    <t>시간외근무</t>
    <phoneticPr fontId="1" type="noConversion"/>
  </si>
  <si>
    <t>세금</t>
    <phoneticPr fontId="1" type="noConversion"/>
  </si>
  <si>
    <t>[표2]</t>
    <phoneticPr fontId="1" type="noConversion"/>
  </si>
  <si>
    <t>[표3]</t>
    <phoneticPr fontId="1" type="noConversion"/>
  </si>
  <si>
    <t>기본급</t>
    <phoneticPr fontId="1" type="noConversion"/>
  </si>
  <si>
    <t>교통비 그래프</t>
    <phoneticPr fontId="1" type="noConversion"/>
  </si>
  <si>
    <t>본사</t>
    <phoneticPr fontId="1" type="noConversion"/>
  </si>
  <si>
    <t>지사</t>
    <phoneticPr fontId="1" type="noConversion"/>
  </si>
  <si>
    <t>[표4]</t>
    <phoneticPr fontId="1" type="noConversion"/>
  </si>
  <si>
    <t>[표5] 시간당수당표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</si>
  <si>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</si>
  <si>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</si>
  <si>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</si>
  <si>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</si>
  <si>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</si>
  <si>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I</t>
    <phoneticPr fontId="1" type="noConversion"/>
  </si>
  <si>
    <t>시간당수당</t>
    <phoneticPr fontId="1" type="noConversion"/>
  </si>
  <si>
    <t>합계</t>
    <phoneticPr fontId="1" type="noConversion"/>
  </si>
  <si>
    <t>[표1]</t>
    <phoneticPr fontId="1" type="noConversion"/>
  </si>
  <si>
    <t>이름</t>
    <phoneticPr fontId="1" type="noConversion"/>
  </si>
  <si>
    <t>학번</t>
    <phoneticPr fontId="1" type="noConversion"/>
  </si>
  <si>
    <t>출석률</t>
    <phoneticPr fontId="1" type="noConversion"/>
  </si>
  <si>
    <t>이상욱</t>
    <phoneticPr fontId="1" type="noConversion"/>
  </si>
  <si>
    <t>강민이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</si>
  <si>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</si>
  <si>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</si>
  <si>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</si>
  <si>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</si>
  <si>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김진주</t>
    <phoneticPr fontId="1" type="noConversion"/>
  </si>
  <si>
    <t>황인혁</t>
    <phoneticPr fontId="1" type="noConversion"/>
  </si>
  <si>
    <t>김한숙</t>
    <phoneticPr fontId="1" type="noConversion"/>
  </si>
  <si>
    <t>여사율</t>
    <phoneticPr fontId="1" type="noConversion"/>
  </si>
  <si>
    <t>이유신</t>
    <phoneticPr fontId="1" type="noConversion"/>
  </si>
  <si>
    <t>박찬욱</t>
    <phoneticPr fontId="1" type="noConversion"/>
  </si>
  <si>
    <t>윤철웅</t>
    <phoneticPr fontId="1" type="noConversion"/>
  </si>
  <si>
    <t>이주민</t>
    <phoneticPr fontId="1" type="noConversion"/>
  </si>
  <si>
    <t>성승대</t>
    <phoneticPr fontId="1" type="noConversion"/>
  </si>
  <si>
    <t>점수</t>
    <phoneticPr fontId="1" type="noConversion"/>
  </si>
  <si>
    <t>제품명</t>
    <phoneticPr fontId="6" type="noConversion"/>
  </si>
  <si>
    <t>지역</t>
    <phoneticPr fontId="6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</si>
  <si>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</si>
  <si>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</si>
  <si>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</si>
  <si>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6" type="noConversion"/>
  </si>
  <si>
    <t>판매량</t>
    <phoneticPr fontId="6" type="noConversion"/>
  </si>
  <si>
    <t>매출액</t>
    <phoneticPr fontId="6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</si>
  <si>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</si>
  <si>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</si>
  <si>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</si>
  <si>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</si>
  <si>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경기</t>
    <phoneticPr fontId="1" type="noConversion"/>
  </si>
  <si>
    <t>김국영</t>
    <phoneticPr fontId="1" type="noConversion"/>
  </si>
  <si>
    <t>프린터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</si>
  <si>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</si>
  <si>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</si>
  <si>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</si>
  <si>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노트북</t>
    <phoneticPr fontId="1" type="noConversion"/>
  </si>
  <si>
    <t>서울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</si>
  <si>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</si>
  <si>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</si>
  <si>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</si>
  <si>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</si>
  <si>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</si>
  <si>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노트북</t>
    <phoneticPr fontId="1" type="noConversion"/>
  </si>
  <si>
    <t>광주</t>
    <phoneticPr fontId="1" type="noConversion"/>
  </si>
  <si>
    <t>송미율</t>
    <phoneticPr fontId="1" type="noConversion"/>
  </si>
  <si>
    <t>강원</t>
    <phoneticPr fontId="1" type="noConversion"/>
  </si>
  <si>
    <t>신수라</t>
    <phoneticPr fontId="1" type="noConversion"/>
  </si>
  <si>
    <t>서울</t>
    <phoneticPr fontId="1" type="noConversion"/>
  </si>
  <si>
    <t>유지원</t>
    <phoneticPr fontId="1" type="noConversion"/>
  </si>
  <si>
    <t>광주</t>
    <phoneticPr fontId="1" type="noConversion"/>
  </si>
  <si>
    <t>윤서민</t>
    <phoneticPr fontId="1" type="noConversion"/>
  </si>
  <si>
    <t>이민우</t>
    <phoneticPr fontId="1" type="noConversion"/>
  </si>
  <si>
    <t>프린터</t>
    <phoneticPr fontId="1" type="noConversion"/>
  </si>
  <si>
    <t>경기</t>
    <phoneticPr fontId="1" type="noConversion"/>
  </si>
  <si>
    <t>이설화</t>
    <phoneticPr fontId="1" type="noConversion"/>
  </si>
  <si>
    <t>노트북</t>
    <phoneticPr fontId="1" type="noConversion"/>
  </si>
  <si>
    <t>경기</t>
    <phoneticPr fontId="1" type="noConversion"/>
  </si>
  <si>
    <t>조강민</t>
    <phoneticPr fontId="1" type="noConversion"/>
  </si>
  <si>
    <t>부산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</si>
  <si>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</si>
  <si>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</si>
  <si>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6" type="noConversion"/>
  </si>
  <si>
    <t>이익률</t>
    <phoneticPr fontId="6" type="noConversion"/>
  </si>
  <si>
    <t>전자제품 판매현황</t>
    <phoneticPr fontId="6" type="noConversion"/>
  </si>
  <si>
    <t>복합기</t>
  </si>
  <si>
    <t>교통비</t>
    <phoneticPr fontId="1" type="noConversion"/>
  </si>
  <si>
    <t>기본급</t>
    <phoneticPr fontId="1" type="noConversion"/>
  </si>
  <si>
    <t>식대</t>
    <phoneticPr fontId="1" type="noConversion"/>
  </si>
  <si>
    <t>교통비</t>
    <phoneticPr fontId="1" type="noConversion"/>
  </si>
  <si>
    <t>경기지사</t>
    <phoneticPr fontId="1" type="noConversion"/>
  </si>
  <si>
    <t>생산부</t>
    <phoneticPr fontId="1" type="noConversion"/>
  </si>
  <si>
    <t>영업부</t>
    <phoneticPr fontId="1" type="noConversion"/>
  </si>
  <si>
    <t>관리부</t>
    <phoneticPr fontId="1" type="noConversion"/>
  </si>
  <si>
    <t>연구부</t>
    <phoneticPr fontId="1" type="noConversion"/>
  </si>
  <si>
    <t>사원별 연봉 계약</t>
    <phoneticPr fontId="1" type="noConversion"/>
  </si>
  <si>
    <t>사원명</t>
    <phoneticPr fontId="1" type="noConversion"/>
  </si>
  <si>
    <t>근무부서</t>
    <phoneticPr fontId="1" type="noConversion"/>
  </si>
  <si>
    <t>근무부서</t>
    <phoneticPr fontId="1" type="noConversion"/>
  </si>
  <si>
    <t>성과금</t>
    <phoneticPr fontId="1" type="noConversion"/>
  </si>
  <si>
    <t>업무부서</t>
    <phoneticPr fontId="1" type="noConversion"/>
  </si>
  <si>
    <t>생산부서</t>
  </si>
  <si>
    <t>연구팀</t>
  </si>
  <si>
    <t>영업부서</t>
  </si>
  <si>
    <t>관리부서</t>
  </si>
  <si>
    <t>생산부서</t>
    <phoneticPr fontId="1" type="noConversion"/>
  </si>
  <si>
    <t>관리부서</t>
    <phoneticPr fontId="1" type="noConversion"/>
  </si>
  <si>
    <t>*</t>
    <phoneticPr fontId="1" type="noConversion"/>
  </si>
  <si>
    <t>*</t>
    <phoneticPr fontId="1" type="noConversion"/>
  </si>
  <si>
    <t>*</t>
    <phoneticPr fontId="1" type="noConversion"/>
  </si>
  <si>
    <t>사원번호</t>
    <phoneticPr fontId="1" type="noConversion"/>
  </si>
  <si>
    <t>GH-81</t>
    <phoneticPr fontId="1" type="noConversion"/>
  </si>
  <si>
    <t>GC-99</t>
    <phoneticPr fontId="1" type="noConversion"/>
  </si>
  <si>
    <t>CH-33</t>
    <phoneticPr fontId="1" type="noConversion"/>
  </si>
  <si>
    <t>AB-52</t>
    <phoneticPr fontId="1" type="noConversion"/>
  </si>
  <si>
    <t>GC-15</t>
    <phoneticPr fontId="1" type="noConversion"/>
  </si>
  <si>
    <t>BA-85</t>
    <phoneticPr fontId="1" type="noConversion"/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</si>
  <si>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</si>
  <si>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</si>
  <si>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</si>
  <si>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</si>
  <si>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</si>
  <si>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</si>
  <si>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</si>
  <si>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</si>
  <si>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</si>
  <si>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</si>
  <si>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</si>
  <si>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</si>
  <si>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</si>
  <si>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</si>
  <si>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</si>
  <si>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EF-35</t>
    <phoneticPr fontId="1" type="noConversion"/>
  </si>
  <si>
    <t>DG-77</t>
    <phoneticPr fontId="1" type="noConversion"/>
  </si>
  <si>
    <t>인천본사</t>
  </si>
  <si>
    <t>인천본사</t>
    <phoneticPr fontId="1" type="noConversion"/>
  </si>
  <si>
    <t>수당</t>
    <phoneticPr fontId="1" type="noConversion"/>
  </si>
  <si>
    <t>수당</t>
    <phoneticPr fontId="1" type="noConversion"/>
  </si>
  <si>
    <t>경기지사</t>
  </si>
  <si>
    <t>경기지사</t>
    <phoneticPr fontId="1" type="noConversion"/>
  </si>
  <si>
    <t>경기지사</t>
    <phoneticPr fontId="1" type="noConversion"/>
  </si>
  <si>
    <t>충청지사</t>
  </si>
  <si>
    <t>충청지사</t>
    <phoneticPr fontId="1" type="noConversion"/>
  </si>
  <si>
    <t>제주지사</t>
    <phoneticPr fontId="1" type="noConversion"/>
  </si>
  <si>
    <t>제주지사</t>
    <phoneticPr fontId="1" type="noConversion"/>
  </si>
  <si>
    <t>제주지사</t>
    <phoneticPr fontId="1" type="noConversion"/>
  </si>
  <si>
    <t>관리부서</t>
    <phoneticPr fontId="1" type="noConversion"/>
  </si>
  <si>
    <t>영업부서</t>
    <phoneticPr fontId="1" type="noConversion"/>
  </si>
  <si>
    <t>시간외수당</t>
    <phoneticPr fontId="1" type="noConversion"/>
  </si>
  <si>
    <t>기술부</t>
    <phoneticPr fontId="1" type="noConversion"/>
  </si>
  <si>
    <t>관리부</t>
    <phoneticPr fontId="1" type="noConversion"/>
  </si>
  <si>
    <t>기술부</t>
    <phoneticPr fontId="1" type="noConversion"/>
  </si>
  <si>
    <t>근무부서</t>
    <phoneticPr fontId="1" type="noConversion"/>
  </si>
  <si>
    <t>상여금</t>
    <phoneticPr fontId="1" type="noConversion"/>
  </si>
  <si>
    <t>복지비</t>
    <phoneticPr fontId="1" type="noConversion"/>
  </si>
  <si>
    <t>인사고과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</si>
  <si>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</si>
  <si>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</si>
  <si>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</si>
  <si>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</si>
  <si>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조건</t>
    <phoneticPr fontId="1" type="noConversion"/>
  </si>
  <si>
    <t>근무지</t>
  </si>
  <si>
    <t>(모두)</t>
  </si>
  <si>
    <t>총합계</t>
  </si>
  <si>
    <t>합계 : 기본급</t>
  </si>
  <si>
    <t>합계 : 수당</t>
  </si>
  <si>
    <t>업무부서</t>
  </si>
  <si>
    <t>합계 : 시간외근무+식대</t>
  </si>
  <si>
    <t>이익률</t>
  </si>
  <si>
    <t>순이익합계</t>
  </si>
  <si>
    <t>이익률증가</t>
  </si>
  <si>
    <t>이익률감소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</si>
  <si>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</si>
  <si>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</si>
  <si>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</si>
  <si>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</si>
  <si>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</si>
  <si>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</si>
  <si>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</si>
  <si>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홍길동</t>
  </si>
  <si>
    <t>영업부</t>
  </si>
  <si>
    <t>S1</t>
  </si>
  <si>
    <t>연봉계약금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</si>
</sst>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);[Red]\(#,##0\)"/>
    <numFmt numFmtId="177" formatCode="@&quot;에서&quot;"/>
    <numFmt numFmtId="178" formatCode="@&quot;까지&quot;"/>
    <numFmt numFmtId="179" formatCode="mm&quot;월&quot;\ dd&quot;일&quot;"/>
    <numFmt numFmtId="180" formatCode="#,##0_ 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4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9" fontId="0" fillId="0" borderId="1" xfId="3" applyFont="1" applyBorder="1">
      <alignment vertical="center"/>
    </xf>
    <xf numFmtId="0" fontId="0" fillId="0" borderId="0" xfId="0" applyAlignment="1">
      <alignment horizontal="center" vertical="center"/>
    </xf>
    <xf numFmtId="0" fontId="7" fillId="0" borderId="0" xfId="4" applyFont="1" applyAlignment="1">
      <alignment vertical="center"/>
    </xf>
    <xf numFmtId="0" fontId="7" fillId="0" borderId="1" xfId="4" applyFont="1" applyBorder="1" applyAlignment="1">
      <alignment horizontal="center" vertical="center"/>
    </xf>
    <xf numFmtId="0" fontId="7" fillId="0" borderId="1" xfId="4" applyFont="1" applyFill="1" applyBorder="1" applyAlignment="1">
      <alignment horizontal="center" vertical="center"/>
    </xf>
    <xf numFmtId="179" fontId="7" fillId="0" borderId="1" xfId="4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8" fillId="0" borderId="1" xfId="5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3" xfId="1" applyNumberFormat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5" xfId="0" applyNumberFormat="1" applyFill="1" applyBorder="1" applyAlignment="1">
      <alignment vertical="center"/>
    </xf>
    <xf numFmtId="0" fontId="10" fillId="3" borderId="6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left" vertical="center"/>
    </xf>
    <xf numFmtId="0" fontId="0" fillId="0" borderId="7" xfId="0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right" vertical="center"/>
    </xf>
    <xf numFmtId="0" fontId="9" fillId="3" borderId="6" xfId="0" applyFont="1" applyFill="1" applyBorder="1" applyAlignment="1">
      <alignment horizontal="right" vertical="center"/>
    </xf>
    <xf numFmtId="9" fontId="0" fillId="5" borderId="0" xfId="0" applyNumberFormat="1" applyFill="1" applyBorder="1" applyAlignment="1">
      <alignment vertical="center"/>
    </xf>
    <xf numFmtId="0" fontId="14" fillId="0" borderId="0" xfId="0" applyFont="1" applyFill="1" applyBorder="1" applyAlignment="1">
      <alignment vertical="top" wrapText="1"/>
    </xf>
    <xf numFmtId="14" fontId="16" fillId="0" borderId="0" xfId="0" applyNumberFormat="1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0" borderId="1" xfId="4" applyFont="1" applyBorder="1" applyAlignment="1">
      <alignment horizontal="center" vertical="center"/>
    </xf>
    <xf numFmtId="9" fontId="7" fillId="0" borderId="1" xfId="4" applyNumberFormat="1" applyFont="1" applyBorder="1" applyAlignment="1">
      <alignment horizontal="center" vertical="center"/>
    </xf>
    <xf numFmtId="0" fontId="5" fillId="0" borderId="0" xfId="4" applyFont="1" applyAlignment="1">
      <alignment horizontal="center" vertical="center"/>
    </xf>
    <xf numFmtId="0" fontId="3" fillId="0" borderId="2" xfId="2" applyAlignment="1">
      <alignment horizontal="center" vertical="center"/>
    </xf>
  </cellXfs>
  <cellStyles count="6">
    <cellStyle name="백분율" xfId="3" builtinId="5"/>
    <cellStyle name="쉼표 [0]" xfId="1" builtinId="6"/>
    <cellStyle name="쉼표 [0] 2" xfId="5" xr:uid="{00000000-0005-0000-0000-000002000000}"/>
    <cellStyle name="제목 2" xfId="2" builtinId="17"/>
    <cellStyle name="표준" xfId="0" builtinId="0"/>
    <cellStyle name="표준 2" xfId="4" xr:uid="{00000000-0005-0000-0000-000005000000}"/>
  </cellStyles>
  <dxfs count="1">
    <dxf>
      <font>
        <b val="0"/>
        <i/>
        <color rgb="FF7030A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근무부서별 상여금 외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50"/>
      <c:depthPercent val="100"/>
      <c:rAngAx val="1"/>
    </c:view3D>
    <c:floor>
      <c:thickness val="0"/>
      <c:spPr>
        <a:gradFill rotWithShape="1"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3"/>
          </a:solidFill>
          <a:prstDash val="solid"/>
          <a:miter lim="800000"/>
        </a:ln>
        <a:effectLst/>
        <a:sp3d contourW="6350">
          <a:contourClr>
            <a:schemeClr val="accent3"/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생산부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'기타작업-1'!$C$3:$E$3</c:f>
              <c:numCache>
                <c:formatCode>General</c:formatCode>
                <c:ptCount val="3"/>
                <c:pt idx="0">
                  <c:v>1390000</c:v>
                </c:pt>
                <c:pt idx="1">
                  <c:v>420000</c:v>
                </c:pt>
                <c:pt idx="2">
                  <c:v>570000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3-406F-859C-3AC0C18E22CA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영업부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2500000</c:v>
                </c:pt>
                <c:pt idx="1">
                  <c:v>890000</c:v>
                </c:pt>
                <c:pt idx="2">
                  <c:v>740000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3-406F-859C-3AC0C18E22CA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관리부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1650000</c:v>
                </c:pt>
                <c:pt idx="1">
                  <c:v>560000</c:v>
                </c:pt>
                <c:pt idx="2">
                  <c:v>520000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3-406F-859C-3AC0C18E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0011471"/>
        <c:axId val="1560008559"/>
        <c:axId val="0"/>
      </c:bar3DChart>
      <c:catAx>
        <c:axId val="1560011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08559"/>
        <c:crosses val="autoZero"/>
        <c:auto val="1"/>
        <c:lblAlgn val="ctr"/>
        <c:lblOffset val="100"/>
        <c:noMultiLvlLbl val="0"/>
      </c:catAx>
      <c:valAx>
        <c:axId val="1560008559"/>
        <c:scaling>
          <c:orientation val="minMax"/>
        </c:scaling>
        <c:delete val="0"/>
        <c:axPos val="l"/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백분율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1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7</xdr:row>
      <xdr:rowOff>0</xdr:rowOff>
    </xdr:from>
    <xdr:to>
      <xdr:col>8</xdr:col>
      <xdr:colOff>696684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아이콘집합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반쪽별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485775</xdr:colOff>
          <xdr:row>5</xdr:row>
          <xdr:rowOff>9525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282.910655671294" createdVersion="6" refreshedVersion="6" minRefreshableVersion="3" recordCount="23" xr:uid="{00000000-000A-0000-FFFF-FFFF00000000}">
  <cacheSource type="external" connectionId="1"/>
  <cacheFields count="9">
    <cacheField name="사원번호" numFmtId="0">
      <sharedItems count="23">
        <s v="GH-81"/>
        <s v="GC-99"/>
        <s v="CH-33"/>
        <s v="AB-52"/>
        <s v="GC-15"/>
        <s v="BA-85"/>
        <s v="IA-73"/>
        <s v="IB-86"/>
        <s v="CE-55"/>
        <s v="HI-34"/>
        <s v="EK-21"/>
        <s v="HO-90"/>
        <s v="AB-80"/>
        <s v="CD-67"/>
        <s v="AK-63"/>
        <s v="DF-93"/>
        <s v="BC-18"/>
        <s v="EE-88"/>
        <s v="FK-81"/>
        <s v="FG-80"/>
        <s v="HD-75"/>
        <s v="EF-35"/>
        <s v="DG-77"/>
      </sharedItems>
    </cacheField>
    <cacheField name="근무지" numFmtId="0">
      <sharedItems count="4">
        <s v="충청지사"/>
        <s v="인천본사"/>
        <s v="제주지사"/>
        <s v="경기지사"/>
      </sharedItems>
    </cacheField>
    <cacheField name="업무부서" numFmtId="0">
      <sharedItems count="4">
        <s v="생산부서"/>
        <s v="영업부서"/>
        <s v="관리부서"/>
        <s v="연구팀"/>
      </sharedItems>
    </cacheField>
    <cacheField name="기본급" numFmtId="0">
      <sharedItems containsSemiMixedTypes="0" containsString="0" containsNumber="1" containsInteger="1" minValue="1600000" maxValue="3700000" count="13">
        <n v="2300000"/>
        <n v="3300000"/>
        <n v="3700000"/>
        <n v="2900000"/>
        <n v="3600000"/>
        <n v="2200000"/>
        <n v="1600000"/>
        <n v="2000000"/>
        <n v="1700000"/>
        <n v="2500000"/>
        <n v="1900000"/>
        <n v="2800000"/>
        <n v="2400000"/>
      </sharedItems>
    </cacheField>
    <cacheField name="수당" numFmtId="0">
      <sharedItems containsSemiMixedTypes="0" containsString="0" containsNumber="1" containsInteger="1" minValue="200000" maxValue="460000" count="16">
        <n v="228000"/>
        <n v="460000"/>
        <n v="280000"/>
        <n v="240000"/>
        <n v="200000"/>
        <n v="446000"/>
        <n v="260000"/>
        <n v="246000"/>
        <n v="440000"/>
        <n v="428000"/>
        <n v="220000"/>
        <n v="270000"/>
        <n v="420000"/>
        <n v="380000"/>
        <n v="370000"/>
        <n v="400000"/>
      </sharedItems>
    </cacheField>
    <cacheField name="시간외근무" numFmtId="0">
      <sharedItems containsString="0" containsBlank="1" containsNumber="1" containsInteger="1" minValue="2" maxValue="8" count="8">
        <n v="2"/>
        <n v="3"/>
        <m/>
        <n v="4"/>
        <n v="5"/>
        <n v="6"/>
        <n v="8"/>
        <n v="7"/>
      </sharedItems>
    </cacheField>
    <cacheField name="식대" numFmtId="0">
      <sharedItems containsSemiMixedTypes="0" containsString="0" containsNumber="1" containsInteger="1" minValue="60000" maxValue="150000" count="7">
        <n v="90000"/>
        <n v="120000"/>
        <n v="150000"/>
        <n v="60000"/>
        <n v="140000"/>
        <n v="100000"/>
        <n v="70000"/>
      </sharedItems>
    </cacheField>
    <cacheField name="교통비" numFmtId="0">
      <sharedItems containsSemiMixedTypes="0" containsString="0" containsNumber="1" containsInteger="1" minValue="50000" maxValue="150000" count="11">
        <n v="100000"/>
        <n v="120000"/>
        <n v="60000"/>
        <n v="130000"/>
        <n v="50000"/>
        <n v="80000"/>
        <n v="70000"/>
        <n v="90000"/>
        <n v="110000"/>
        <n v="140000"/>
        <n v="150000"/>
      </sharedItems>
    </cacheField>
    <cacheField name="시간외근무+식대" numFmtId="0" formula="시간외근무+식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2"/>
    <x v="2"/>
    <x v="2"/>
    <x v="2"/>
    <x v="2"/>
    <x v="0"/>
    <x v="2"/>
  </r>
  <r>
    <x v="3"/>
    <x v="3"/>
    <x v="1"/>
    <x v="0"/>
    <x v="3"/>
    <x v="3"/>
    <x v="2"/>
    <x v="2"/>
  </r>
  <r>
    <x v="4"/>
    <x v="1"/>
    <x v="2"/>
    <x v="3"/>
    <x v="2"/>
    <x v="0"/>
    <x v="3"/>
    <x v="3"/>
  </r>
  <r>
    <x v="5"/>
    <x v="3"/>
    <x v="3"/>
    <x v="4"/>
    <x v="4"/>
    <x v="2"/>
    <x v="4"/>
    <x v="4"/>
  </r>
  <r>
    <x v="6"/>
    <x v="0"/>
    <x v="2"/>
    <x v="5"/>
    <x v="5"/>
    <x v="4"/>
    <x v="5"/>
    <x v="4"/>
  </r>
  <r>
    <x v="7"/>
    <x v="3"/>
    <x v="0"/>
    <x v="4"/>
    <x v="0"/>
    <x v="0"/>
    <x v="2"/>
    <x v="5"/>
  </r>
  <r>
    <x v="8"/>
    <x v="0"/>
    <x v="0"/>
    <x v="3"/>
    <x v="6"/>
    <x v="5"/>
    <x v="0"/>
    <x v="6"/>
  </r>
  <r>
    <x v="9"/>
    <x v="3"/>
    <x v="3"/>
    <x v="6"/>
    <x v="7"/>
    <x v="2"/>
    <x v="2"/>
    <x v="7"/>
  </r>
  <r>
    <x v="10"/>
    <x v="0"/>
    <x v="3"/>
    <x v="7"/>
    <x v="0"/>
    <x v="4"/>
    <x v="6"/>
    <x v="4"/>
  </r>
  <r>
    <x v="11"/>
    <x v="3"/>
    <x v="3"/>
    <x v="8"/>
    <x v="8"/>
    <x v="1"/>
    <x v="0"/>
    <x v="3"/>
  </r>
  <r>
    <x v="12"/>
    <x v="3"/>
    <x v="0"/>
    <x v="4"/>
    <x v="9"/>
    <x v="0"/>
    <x v="0"/>
    <x v="8"/>
  </r>
  <r>
    <x v="13"/>
    <x v="3"/>
    <x v="1"/>
    <x v="6"/>
    <x v="0"/>
    <x v="2"/>
    <x v="0"/>
    <x v="1"/>
  </r>
  <r>
    <x v="14"/>
    <x v="2"/>
    <x v="3"/>
    <x v="1"/>
    <x v="10"/>
    <x v="6"/>
    <x v="2"/>
    <x v="3"/>
  </r>
  <r>
    <x v="15"/>
    <x v="3"/>
    <x v="2"/>
    <x v="9"/>
    <x v="4"/>
    <x v="7"/>
    <x v="3"/>
    <x v="0"/>
  </r>
  <r>
    <x v="16"/>
    <x v="1"/>
    <x v="1"/>
    <x v="10"/>
    <x v="11"/>
    <x v="2"/>
    <x v="5"/>
    <x v="0"/>
  </r>
  <r>
    <x v="17"/>
    <x v="1"/>
    <x v="1"/>
    <x v="11"/>
    <x v="12"/>
    <x v="1"/>
    <x v="2"/>
    <x v="2"/>
  </r>
  <r>
    <x v="18"/>
    <x v="0"/>
    <x v="3"/>
    <x v="3"/>
    <x v="13"/>
    <x v="5"/>
    <x v="0"/>
    <x v="9"/>
  </r>
  <r>
    <x v="19"/>
    <x v="0"/>
    <x v="3"/>
    <x v="3"/>
    <x v="14"/>
    <x v="0"/>
    <x v="2"/>
    <x v="3"/>
  </r>
  <r>
    <x v="20"/>
    <x v="1"/>
    <x v="0"/>
    <x v="12"/>
    <x v="12"/>
    <x v="3"/>
    <x v="5"/>
    <x v="1"/>
  </r>
  <r>
    <x v="21"/>
    <x v="2"/>
    <x v="2"/>
    <x v="11"/>
    <x v="8"/>
    <x v="5"/>
    <x v="0"/>
    <x v="0"/>
  </r>
  <r>
    <x v="22"/>
    <x v="3"/>
    <x v="1"/>
    <x v="10"/>
    <x v="15"/>
    <x v="2"/>
    <x v="6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5:E10" firstHeaderRow="0" firstDataRow="1" firstDataCol="1" rowPageCount="1" colPageCount="1"/>
  <pivotFields count="9">
    <pivotField compact="0" showAll="0"/>
    <pivotField axis="axisPage" compact="0" showAll="0">
      <items count="5">
        <item x="3"/>
        <item x="1"/>
        <item x="2"/>
        <item x="0"/>
        <item t="default"/>
      </items>
    </pivotField>
    <pivotField axis="axisRow" compact="0" showAll="0" sortType="descending">
      <items count="5">
        <item x="2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dragToRow="0" dragToCol="0" dragToPage="0" showAll="0" defaultSubtotal="0"/>
  </pivotFields>
  <rowFields count="1">
    <field x="2"/>
  </rowFields>
  <rowItems count="5">
    <i>
      <x v="2"/>
    </i>
    <i>
      <x v="1"/>
    </i>
    <i>
      <x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합계 : 기본급" fld="3" baseField="2" baseItem="2" numFmtId="180"/>
    <dataField name="합계 : 수당" fld="4" baseField="2" baseItem="2" numFmtId="180"/>
    <dataField name="합계 : 시간외근무+식대" fld="8" baseField="2" baseItem="2" numFmtId="18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36"/>
  <sheetViews>
    <sheetView tabSelected="1" workbookViewId="0"/>
  </sheetViews>
  <sheetFormatPr defaultRowHeight="16.5" x14ac:dyDescent="0.3"/>
  <cols>
    <col min="1" max="1" width="2.625" customWidth="1"/>
    <col min="5" max="5" width="10.75" bestFit="1" customWidth="1"/>
    <col min="6" max="6" width="11.875" customWidth="1"/>
    <col min="7" max="7" width="11.75" bestFit="1" customWidth="1"/>
  </cols>
  <sheetData>
    <row r="2" spans="2:9" x14ac:dyDescent="0.3">
      <c r="B2" s="1" t="s">
        <v>111</v>
      </c>
      <c r="C2" s="1" t="s">
        <v>160</v>
      </c>
      <c r="D2" s="1" t="s">
        <v>101</v>
      </c>
      <c r="E2" s="1" t="s">
        <v>88</v>
      </c>
      <c r="F2" s="1" t="s">
        <v>137</v>
      </c>
      <c r="G2" s="1" t="s">
        <v>1</v>
      </c>
      <c r="H2" s="1" t="s">
        <v>89</v>
      </c>
      <c r="I2" s="1" t="s">
        <v>90</v>
      </c>
    </row>
    <row r="3" spans="2:9" x14ac:dyDescent="0.3">
      <c r="B3" s="1" t="s">
        <v>112</v>
      </c>
      <c r="C3" s="1" t="s">
        <v>142</v>
      </c>
      <c r="D3" s="1" t="s">
        <v>102</v>
      </c>
      <c r="E3" s="3">
        <v>2300000</v>
      </c>
      <c r="F3" s="3">
        <v>228000</v>
      </c>
      <c r="G3" s="4">
        <v>2</v>
      </c>
      <c r="H3" s="3">
        <v>90000</v>
      </c>
      <c r="I3" s="3">
        <v>100000</v>
      </c>
    </row>
    <row r="4" spans="2:9" x14ac:dyDescent="0.3">
      <c r="B4" s="1" t="s">
        <v>113</v>
      </c>
      <c r="C4" s="1" t="s">
        <v>135</v>
      </c>
      <c r="D4" s="1" t="s">
        <v>148</v>
      </c>
      <c r="E4" s="3">
        <v>3300000</v>
      </c>
      <c r="F4" s="3">
        <v>460000</v>
      </c>
      <c r="G4" s="4">
        <v>3</v>
      </c>
      <c r="H4" s="3">
        <v>120000</v>
      </c>
      <c r="I4" s="3">
        <v>120000</v>
      </c>
    </row>
    <row r="5" spans="2:9" x14ac:dyDescent="0.3">
      <c r="B5" s="1" t="s">
        <v>114</v>
      </c>
      <c r="C5" s="1" t="s">
        <v>146</v>
      </c>
      <c r="D5" s="1" t="s">
        <v>105</v>
      </c>
      <c r="E5" s="3">
        <v>3700000</v>
      </c>
      <c r="F5" s="3">
        <v>280000</v>
      </c>
      <c r="G5" s="4" t="s">
        <v>108</v>
      </c>
      <c r="H5" s="3">
        <v>90000</v>
      </c>
      <c r="I5" s="3">
        <v>60000</v>
      </c>
    </row>
    <row r="6" spans="2:9" x14ac:dyDescent="0.3">
      <c r="B6" s="1" t="s">
        <v>115</v>
      </c>
      <c r="C6" s="1" t="s">
        <v>139</v>
      </c>
      <c r="D6" s="1" t="s">
        <v>104</v>
      </c>
      <c r="E6" s="3">
        <v>2300000</v>
      </c>
      <c r="F6" s="3">
        <v>240000</v>
      </c>
      <c r="G6" s="4">
        <v>4</v>
      </c>
      <c r="H6" s="3">
        <v>150000</v>
      </c>
      <c r="I6" s="3">
        <v>60000</v>
      </c>
    </row>
    <row r="7" spans="2:9" x14ac:dyDescent="0.3">
      <c r="B7" s="1" t="s">
        <v>116</v>
      </c>
      <c r="C7" s="1" t="s">
        <v>135</v>
      </c>
      <c r="D7" s="1" t="s">
        <v>147</v>
      </c>
      <c r="E7" s="3">
        <v>2900000</v>
      </c>
      <c r="F7" s="3">
        <v>280000</v>
      </c>
      <c r="G7" s="4">
        <v>2</v>
      </c>
      <c r="H7" s="3">
        <v>60000</v>
      </c>
      <c r="I7" s="3">
        <v>130000</v>
      </c>
    </row>
    <row r="8" spans="2:9" x14ac:dyDescent="0.3">
      <c r="B8" s="1" t="s">
        <v>117</v>
      </c>
      <c r="C8" s="1" t="s">
        <v>141</v>
      </c>
      <c r="D8" s="1" t="s">
        <v>103</v>
      </c>
      <c r="E8" s="3">
        <v>3600000</v>
      </c>
      <c r="F8" s="3">
        <v>200000</v>
      </c>
      <c r="G8" s="4" t="s">
        <v>108</v>
      </c>
      <c r="H8" s="3">
        <v>140000</v>
      </c>
      <c r="I8" s="3">
        <v>50000</v>
      </c>
    </row>
    <row r="9" spans="2:9" x14ac:dyDescent="0.3">
      <c r="B9" s="1" t="s">
        <v>118</v>
      </c>
      <c r="C9" s="1" t="s">
        <v>142</v>
      </c>
      <c r="D9" s="1" t="s">
        <v>105</v>
      </c>
      <c r="E9" s="3">
        <v>2200000</v>
      </c>
      <c r="F9" s="3">
        <v>446000</v>
      </c>
      <c r="G9" s="4">
        <v>5</v>
      </c>
      <c r="H9" s="3">
        <v>100000</v>
      </c>
      <c r="I9" s="3">
        <v>50000</v>
      </c>
    </row>
    <row r="10" spans="2:9" x14ac:dyDescent="0.3">
      <c r="B10" s="1" t="s">
        <v>119</v>
      </c>
      <c r="C10" s="1" t="s">
        <v>139</v>
      </c>
      <c r="D10" s="1" t="s">
        <v>102</v>
      </c>
      <c r="E10" s="3">
        <v>3600000</v>
      </c>
      <c r="F10" s="3">
        <v>228000</v>
      </c>
      <c r="G10" s="4">
        <v>2</v>
      </c>
      <c r="H10" s="3">
        <v>150000</v>
      </c>
      <c r="I10" s="3">
        <v>80000</v>
      </c>
    </row>
    <row r="11" spans="2:9" x14ac:dyDescent="0.3">
      <c r="B11" s="1" t="s">
        <v>120</v>
      </c>
      <c r="C11" s="1" t="s">
        <v>142</v>
      </c>
      <c r="D11" s="1" t="s">
        <v>102</v>
      </c>
      <c r="E11" s="3">
        <v>2900000</v>
      </c>
      <c r="F11" s="3">
        <v>260000</v>
      </c>
      <c r="G11" s="4">
        <v>6</v>
      </c>
      <c r="H11" s="3">
        <v>90000</v>
      </c>
      <c r="I11" s="3">
        <v>70000</v>
      </c>
    </row>
    <row r="12" spans="2:9" x14ac:dyDescent="0.3">
      <c r="B12" s="1" t="s">
        <v>121</v>
      </c>
      <c r="C12" s="1" t="s">
        <v>139</v>
      </c>
      <c r="D12" s="1" t="s">
        <v>103</v>
      </c>
      <c r="E12" s="3">
        <v>1600000</v>
      </c>
      <c r="F12" s="3">
        <v>246000</v>
      </c>
      <c r="G12" s="4" t="s">
        <v>108</v>
      </c>
      <c r="H12" s="3">
        <v>150000</v>
      </c>
      <c r="I12" s="3">
        <v>90000</v>
      </c>
    </row>
    <row r="13" spans="2:9" x14ac:dyDescent="0.3">
      <c r="B13" s="1" t="s">
        <v>122</v>
      </c>
      <c r="C13" s="1" t="s">
        <v>142</v>
      </c>
      <c r="D13" s="1" t="s">
        <v>103</v>
      </c>
      <c r="E13" s="3">
        <v>2000000</v>
      </c>
      <c r="F13" s="3">
        <v>228000</v>
      </c>
      <c r="G13" s="4">
        <v>5</v>
      </c>
      <c r="H13" s="3">
        <v>70000</v>
      </c>
      <c r="I13" s="3">
        <v>50000</v>
      </c>
    </row>
    <row r="14" spans="2:9" x14ac:dyDescent="0.3">
      <c r="B14" s="1" t="s">
        <v>123</v>
      </c>
      <c r="C14" s="1" t="s">
        <v>139</v>
      </c>
      <c r="D14" s="1" t="s">
        <v>103</v>
      </c>
      <c r="E14" s="3">
        <v>1700000</v>
      </c>
      <c r="F14" s="3">
        <v>440000</v>
      </c>
      <c r="G14" s="4">
        <v>3</v>
      </c>
      <c r="H14" s="3">
        <v>90000</v>
      </c>
      <c r="I14" s="3">
        <v>130000</v>
      </c>
    </row>
    <row r="15" spans="2:9" x14ac:dyDescent="0.3">
      <c r="B15" s="1" t="s">
        <v>124</v>
      </c>
      <c r="C15" s="1" t="s">
        <v>139</v>
      </c>
      <c r="D15" s="1" t="s">
        <v>102</v>
      </c>
      <c r="E15" s="3">
        <v>3600000</v>
      </c>
      <c r="F15" s="3">
        <v>428000</v>
      </c>
      <c r="G15" s="4">
        <v>2</v>
      </c>
      <c r="H15" s="3">
        <v>90000</v>
      </c>
      <c r="I15" s="18">
        <v>110000</v>
      </c>
    </row>
    <row r="16" spans="2:9" x14ac:dyDescent="0.3">
      <c r="B16" s="1" t="s">
        <v>125</v>
      </c>
      <c r="C16" s="1" t="s">
        <v>139</v>
      </c>
      <c r="D16" s="1" t="s">
        <v>104</v>
      </c>
      <c r="E16" s="3">
        <v>1600000</v>
      </c>
      <c r="F16" s="3">
        <v>228000</v>
      </c>
      <c r="G16" s="4" t="s">
        <v>108</v>
      </c>
      <c r="H16" s="3">
        <v>90000</v>
      </c>
      <c r="I16" s="3">
        <v>120000</v>
      </c>
    </row>
    <row r="17" spans="2:9" x14ac:dyDescent="0.3">
      <c r="B17" s="1" t="s">
        <v>126</v>
      </c>
      <c r="C17" s="1" t="s">
        <v>145</v>
      </c>
      <c r="D17" s="1" t="s">
        <v>103</v>
      </c>
      <c r="E17" s="3">
        <v>3300000</v>
      </c>
      <c r="F17" s="3">
        <v>220000</v>
      </c>
      <c r="G17" s="4">
        <v>8</v>
      </c>
      <c r="H17" s="3">
        <v>150000</v>
      </c>
      <c r="I17" s="3">
        <v>130000</v>
      </c>
    </row>
    <row r="18" spans="2:9" x14ac:dyDescent="0.3">
      <c r="B18" s="1" t="s">
        <v>127</v>
      </c>
      <c r="C18" s="1" t="s">
        <v>139</v>
      </c>
      <c r="D18" s="1" t="s">
        <v>105</v>
      </c>
      <c r="E18" s="3">
        <v>2500000</v>
      </c>
      <c r="F18" s="3">
        <v>200000</v>
      </c>
      <c r="G18" s="4">
        <v>7</v>
      </c>
      <c r="H18" s="3">
        <v>60000</v>
      </c>
      <c r="I18" s="3">
        <v>100000</v>
      </c>
    </row>
    <row r="19" spans="2:9" x14ac:dyDescent="0.3">
      <c r="B19" s="1" t="s">
        <v>128</v>
      </c>
      <c r="C19" s="1" t="s">
        <v>135</v>
      </c>
      <c r="D19" s="1" t="s">
        <v>104</v>
      </c>
      <c r="E19" s="3">
        <v>1900000</v>
      </c>
      <c r="F19" s="3">
        <v>270000</v>
      </c>
      <c r="G19" s="4" t="s">
        <v>109</v>
      </c>
      <c r="H19" s="3">
        <v>100000</v>
      </c>
      <c r="I19" s="3">
        <v>100000</v>
      </c>
    </row>
    <row r="20" spans="2:9" x14ac:dyDescent="0.3">
      <c r="B20" s="1" t="s">
        <v>129</v>
      </c>
      <c r="C20" s="1" t="s">
        <v>135</v>
      </c>
      <c r="D20" s="1" t="s">
        <v>104</v>
      </c>
      <c r="E20" s="3">
        <v>2800000</v>
      </c>
      <c r="F20" s="3">
        <v>420000</v>
      </c>
      <c r="G20" s="4">
        <v>3</v>
      </c>
      <c r="H20" s="3">
        <v>150000</v>
      </c>
      <c r="I20" s="3">
        <v>60000</v>
      </c>
    </row>
    <row r="21" spans="2:9" x14ac:dyDescent="0.3">
      <c r="B21" s="1" t="s">
        <v>130</v>
      </c>
      <c r="C21" s="1" t="s">
        <v>142</v>
      </c>
      <c r="D21" s="1" t="s">
        <v>103</v>
      </c>
      <c r="E21" s="3">
        <v>2900000</v>
      </c>
      <c r="F21" s="3">
        <v>380000</v>
      </c>
      <c r="G21" s="4">
        <v>6</v>
      </c>
      <c r="H21" s="3">
        <v>90000</v>
      </c>
      <c r="I21" s="3">
        <v>140000</v>
      </c>
    </row>
    <row r="22" spans="2:9" x14ac:dyDescent="0.3">
      <c r="B22" s="1" t="s">
        <v>131</v>
      </c>
      <c r="C22" s="1" t="s">
        <v>142</v>
      </c>
      <c r="D22" s="1" t="s">
        <v>103</v>
      </c>
      <c r="E22" s="3">
        <v>2900000</v>
      </c>
      <c r="F22" s="3">
        <v>370000</v>
      </c>
      <c r="G22" s="4">
        <v>2</v>
      </c>
      <c r="H22" s="3">
        <v>150000</v>
      </c>
      <c r="I22" s="3">
        <v>130000</v>
      </c>
    </row>
    <row r="23" spans="2:9" x14ac:dyDescent="0.3">
      <c r="B23" s="1" t="s">
        <v>132</v>
      </c>
      <c r="C23" s="1" t="s">
        <v>135</v>
      </c>
      <c r="D23" s="1" t="s">
        <v>102</v>
      </c>
      <c r="E23" s="3">
        <v>2400000</v>
      </c>
      <c r="F23" s="3">
        <v>420000</v>
      </c>
      <c r="G23" s="4">
        <v>4</v>
      </c>
      <c r="H23" s="3">
        <v>100000</v>
      </c>
      <c r="I23" s="3">
        <v>120000</v>
      </c>
    </row>
    <row r="26" spans="2:9" x14ac:dyDescent="0.3">
      <c r="B26" s="20" t="s">
        <v>161</v>
      </c>
    </row>
    <row r="27" spans="2:9" x14ac:dyDescent="0.3">
      <c r="B27" t="b">
        <f>AND(ISEVEN(RIGHT(B3,1)),H3&gt;=100000)</f>
        <v>0</v>
      </c>
    </row>
    <row r="30" spans="2:9" x14ac:dyDescent="0.3">
      <c r="B30" s="1" t="s">
        <v>111</v>
      </c>
      <c r="C30" s="1" t="s">
        <v>160</v>
      </c>
      <c r="D30" s="1" t="s">
        <v>101</v>
      </c>
      <c r="E30" s="1" t="s">
        <v>88</v>
      </c>
      <c r="F30" s="1" t="s">
        <v>137</v>
      </c>
      <c r="G30" s="1" t="s">
        <v>1</v>
      </c>
      <c r="H30" s="1" t="s">
        <v>89</v>
      </c>
      <c r="I30" s="1" t="s">
        <v>90</v>
      </c>
    </row>
    <row r="31" spans="2:9" x14ac:dyDescent="0.3">
      <c r="B31" s="1" t="s">
        <v>115</v>
      </c>
      <c r="C31" s="1" t="s">
        <v>139</v>
      </c>
      <c r="D31" s="1" t="s">
        <v>104</v>
      </c>
      <c r="E31" s="3">
        <v>2300000</v>
      </c>
      <c r="F31" s="3">
        <v>240000</v>
      </c>
      <c r="G31" s="4">
        <v>4</v>
      </c>
      <c r="H31" s="3">
        <v>150000</v>
      </c>
      <c r="I31" s="3">
        <v>60000</v>
      </c>
    </row>
    <row r="32" spans="2:9" x14ac:dyDescent="0.3">
      <c r="B32" s="1" t="s">
        <v>119</v>
      </c>
      <c r="C32" s="1" t="s">
        <v>139</v>
      </c>
      <c r="D32" s="1" t="s">
        <v>102</v>
      </c>
      <c r="E32" s="3">
        <v>3600000</v>
      </c>
      <c r="F32" s="3">
        <v>228000</v>
      </c>
      <c r="G32" s="4">
        <v>2</v>
      </c>
      <c r="H32" s="3">
        <v>150000</v>
      </c>
      <c r="I32" s="3">
        <v>80000</v>
      </c>
    </row>
    <row r="33" spans="2:9" x14ac:dyDescent="0.3">
      <c r="B33" s="1" t="s">
        <v>121</v>
      </c>
      <c r="C33" s="1" t="s">
        <v>139</v>
      </c>
      <c r="D33" s="1" t="s">
        <v>103</v>
      </c>
      <c r="E33" s="3">
        <v>1600000</v>
      </c>
      <c r="F33" s="3">
        <v>246000</v>
      </c>
      <c r="G33" s="4" t="s">
        <v>108</v>
      </c>
      <c r="H33" s="3">
        <v>150000</v>
      </c>
      <c r="I33" s="3">
        <v>90000</v>
      </c>
    </row>
    <row r="34" spans="2:9" x14ac:dyDescent="0.3">
      <c r="B34" s="1" t="s">
        <v>128</v>
      </c>
      <c r="C34" s="1" t="s">
        <v>135</v>
      </c>
      <c r="D34" s="1" t="s">
        <v>104</v>
      </c>
      <c r="E34" s="3">
        <v>1900000</v>
      </c>
      <c r="F34" s="3">
        <v>270000</v>
      </c>
      <c r="G34" s="4" t="s">
        <v>109</v>
      </c>
      <c r="H34" s="3">
        <v>100000</v>
      </c>
      <c r="I34" s="3">
        <v>100000</v>
      </c>
    </row>
    <row r="35" spans="2:9" x14ac:dyDescent="0.3">
      <c r="B35" s="1" t="s">
        <v>129</v>
      </c>
      <c r="C35" s="1" t="s">
        <v>135</v>
      </c>
      <c r="D35" s="1" t="s">
        <v>104</v>
      </c>
      <c r="E35" s="3">
        <v>2800000</v>
      </c>
      <c r="F35" s="3">
        <v>420000</v>
      </c>
      <c r="G35" s="4">
        <v>3</v>
      </c>
      <c r="H35" s="3">
        <v>150000</v>
      </c>
      <c r="I35" s="3">
        <v>60000</v>
      </c>
    </row>
    <row r="36" spans="2:9" x14ac:dyDescent="0.3">
      <c r="B36" s="1" t="s">
        <v>131</v>
      </c>
      <c r="C36" s="1" t="s">
        <v>142</v>
      </c>
      <c r="D36" s="1" t="s">
        <v>103</v>
      </c>
      <c r="E36" s="3">
        <v>2900000</v>
      </c>
      <c r="F36" s="3">
        <v>370000</v>
      </c>
      <c r="G36" s="4">
        <v>2</v>
      </c>
      <c r="H36" s="3">
        <v>150000</v>
      </c>
      <c r="I36" s="3">
        <v>130000</v>
      </c>
    </row>
  </sheetData>
  <phoneticPr fontId="1" type="noConversion"/>
  <conditionalFormatting sqref="B3:I23">
    <cfRule type="expression" dxfId="0" priority="1">
      <formula>OR(_xlfn.RANK.EQ($F3,$F$3:$F$23)=1,_xlfn.RANK.EQ($F3,$F$3:$F$23,1)=1)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/>
  </sheetViews>
  <sheetFormatPr defaultRowHeight="16.5" x14ac:dyDescent="0.3"/>
  <cols>
    <col min="4" max="4" width="9.625" bestFit="1" customWidth="1"/>
    <col min="6" max="6" width="10.5" bestFit="1" customWidth="1"/>
  </cols>
  <sheetData>
    <row r="1" spans="1:8" x14ac:dyDescent="0.3">
      <c r="A1" t="s">
        <v>19</v>
      </c>
    </row>
    <row r="2" spans="1:8" x14ac:dyDescent="0.3">
      <c r="A2" s="1" t="s">
        <v>111</v>
      </c>
      <c r="B2" s="1" t="s">
        <v>160</v>
      </c>
      <c r="C2" s="1" t="s">
        <v>101</v>
      </c>
      <c r="D2" s="1" t="s">
        <v>88</v>
      </c>
      <c r="E2" s="1" t="s">
        <v>137</v>
      </c>
      <c r="F2" s="1" t="s">
        <v>1</v>
      </c>
      <c r="G2" s="1" t="s">
        <v>89</v>
      </c>
      <c r="H2" s="1" t="s">
        <v>90</v>
      </c>
    </row>
    <row r="3" spans="1:8" x14ac:dyDescent="0.3">
      <c r="A3" s="1" t="s">
        <v>112</v>
      </c>
      <c r="B3" s="1" t="s">
        <v>142</v>
      </c>
      <c r="C3" s="1" t="s">
        <v>102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</row>
    <row r="4" spans="1:8" x14ac:dyDescent="0.3">
      <c r="A4" s="1" t="s">
        <v>113</v>
      </c>
      <c r="B4" s="1" t="s">
        <v>135</v>
      </c>
      <c r="C4" s="1" t="s">
        <v>148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</row>
    <row r="5" spans="1:8" x14ac:dyDescent="0.3">
      <c r="A5" s="1" t="s">
        <v>114</v>
      </c>
      <c r="B5" s="1" t="s">
        <v>146</v>
      </c>
      <c r="C5" s="1" t="s">
        <v>105</v>
      </c>
      <c r="D5" s="3">
        <v>3700000</v>
      </c>
      <c r="E5" s="3">
        <v>280000</v>
      </c>
      <c r="F5" s="4" t="s">
        <v>108</v>
      </c>
      <c r="G5" s="3">
        <v>90000</v>
      </c>
      <c r="H5" s="3">
        <v>60000</v>
      </c>
    </row>
    <row r="6" spans="1:8" x14ac:dyDescent="0.3">
      <c r="A6" s="1" t="s">
        <v>115</v>
      </c>
      <c r="B6" s="1" t="s">
        <v>139</v>
      </c>
      <c r="C6" s="1" t="s">
        <v>104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</row>
    <row r="7" spans="1:8" x14ac:dyDescent="0.3">
      <c r="A7" s="1" t="s">
        <v>116</v>
      </c>
      <c r="B7" s="1" t="s">
        <v>135</v>
      </c>
      <c r="C7" s="1" t="s">
        <v>147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</row>
    <row r="8" spans="1:8" x14ac:dyDescent="0.3">
      <c r="A8" s="1" t="s">
        <v>117</v>
      </c>
      <c r="B8" s="1" t="s">
        <v>141</v>
      </c>
      <c r="C8" s="1" t="s">
        <v>103</v>
      </c>
      <c r="D8" s="3">
        <v>3600000</v>
      </c>
      <c r="E8" s="3">
        <v>200000</v>
      </c>
      <c r="F8" s="4" t="s">
        <v>108</v>
      </c>
      <c r="G8" s="3">
        <v>140000</v>
      </c>
      <c r="H8" s="3">
        <v>50000</v>
      </c>
    </row>
    <row r="9" spans="1:8" x14ac:dyDescent="0.3">
      <c r="A9" s="1" t="s">
        <v>118</v>
      </c>
      <c r="B9" s="1" t="s">
        <v>142</v>
      </c>
      <c r="C9" s="1" t="s">
        <v>105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</row>
    <row r="10" spans="1:8" x14ac:dyDescent="0.3">
      <c r="A10" s="1" t="s">
        <v>119</v>
      </c>
      <c r="B10" s="1" t="s">
        <v>139</v>
      </c>
      <c r="C10" s="1" t="s">
        <v>102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</row>
    <row r="11" spans="1:8" x14ac:dyDescent="0.3">
      <c r="A11" s="1" t="s">
        <v>120</v>
      </c>
      <c r="B11" s="1" t="s">
        <v>142</v>
      </c>
      <c r="C11" s="1" t="s">
        <v>102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</row>
    <row r="12" spans="1:8" x14ac:dyDescent="0.3">
      <c r="A12" s="1" t="s">
        <v>121</v>
      </c>
      <c r="B12" s="1" t="s">
        <v>139</v>
      </c>
      <c r="C12" s="1" t="s">
        <v>103</v>
      </c>
      <c r="D12" s="3">
        <v>1600000</v>
      </c>
      <c r="E12" s="3">
        <v>246000</v>
      </c>
      <c r="F12" s="4" t="s">
        <v>108</v>
      </c>
      <c r="G12" s="3">
        <v>150000</v>
      </c>
      <c r="H12" s="3">
        <v>90000</v>
      </c>
    </row>
    <row r="13" spans="1:8" x14ac:dyDescent="0.3">
      <c r="A13" s="1" t="s">
        <v>122</v>
      </c>
      <c r="B13" s="1" t="s">
        <v>142</v>
      </c>
      <c r="C13" s="1" t="s">
        <v>103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</row>
    <row r="14" spans="1:8" x14ac:dyDescent="0.3">
      <c r="A14" s="1" t="s">
        <v>123</v>
      </c>
      <c r="B14" s="1" t="s">
        <v>139</v>
      </c>
      <c r="C14" s="1" t="s">
        <v>103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</row>
    <row r="15" spans="1:8" x14ac:dyDescent="0.3">
      <c r="A15" s="1" t="s">
        <v>124</v>
      </c>
      <c r="B15" s="1" t="s">
        <v>139</v>
      </c>
      <c r="C15" s="1" t="s">
        <v>102</v>
      </c>
      <c r="D15" s="3">
        <v>3600000</v>
      </c>
      <c r="E15" s="3">
        <v>428000</v>
      </c>
      <c r="F15" s="4">
        <v>2</v>
      </c>
      <c r="G15" s="3">
        <v>90000</v>
      </c>
      <c r="H15" s="18">
        <v>110000</v>
      </c>
    </row>
    <row r="16" spans="1:8" x14ac:dyDescent="0.3">
      <c r="A16" s="1" t="s">
        <v>125</v>
      </c>
      <c r="B16" s="1" t="s">
        <v>139</v>
      </c>
      <c r="C16" s="1" t="s">
        <v>104</v>
      </c>
      <c r="D16" s="3">
        <v>1600000</v>
      </c>
      <c r="E16" s="3">
        <v>228000</v>
      </c>
      <c r="F16" s="4" t="s">
        <v>108</v>
      </c>
      <c r="G16" s="3">
        <v>90000</v>
      </c>
      <c r="H16" s="3">
        <v>120000</v>
      </c>
    </row>
    <row r="17" spans="1:8" x14ac:dyDescent="0.3">
      <c r="A17" s="1" t="s">
        <v>126</v>
      </c>
      <c r="B17" s="1" t="s">
        <v>145</v>
      </c>
      <c r="C17" s="1" t="s">
        <v>103</v>
      </c>
      <c r="D17" s="3">
        <v>3300000</v>
      </c>
      <c r="E17" s="3">
        <v>220000</v>
      </c>
      <c r="F17" s="4">
        <v>8</v>
      </c>
      <c r="G17" s="3">
        <v>150000</v>
      </c>
      <c r="H17" s="3">
        <v>130000</v>
      </c>
    </row>
    <row r="18" spans="1:8" x14ac:dyDescent="0.3">
      <c r="A18" s="1" t="s">
        <v>127</v>
      </c>
      <c r="B18" s="1" t="s">
        <v>139</v>
      </c>
      <c r="C18" s="1" t="s">
        <v>105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</row>
    <row r="19" spans="1:8" x14ac:dyDescent="0.3">
      <c r="A19" s="1" t="s">
        <v>128</v>
      </c>
      <c r="B19" s="1" t="s">
        <v>135</v>
      </c>
      <c r="C19" s="1" t="s">
        <v>104</v>
      </c>
      <c r="D19" s="3">
        <v>1900000</v>
      </c>
      <c r="E19" s="3">
        <v>270000</v>
      </c>
      <c r="F19" s="4" t="s">
        <v>109</v>
      </c>
      <c r="G19" s="3">
        <v>100000</v>
      </c>
      <c r="H19" s="3">
        <v>100000</v>
      </c>
    </row>
    <row r="20" spans="1:8" x14ac:dyDescent="0.3">
      <c r="A20" s="1" t="s">
        <v>129</v>
      </c>
      <c r="B20" s="1" t="s">
        <v>135</v>
      </c>
      <c r="C20" s="1" t="s">
        <v>104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20" orientation="landscape" r:id="rId1"/>
  <headerFooter>
    <oddHeader>&amp;L&amp;D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J39"/>
  <sheetViews>
    <sheetView workbookViewId="0">
      <selection activeCell="L26" sqref="L26"/>
    </sheetView>
  </sheetViews>
  <sheetFormatPr defaultRowHeight="16.5" x14ac:dyDescent="0.3"/>
  <cols>
    <col min="1" max="1" width="9.875" customWidth="1"/>
    <col min="2" max="2" width="12.75" customWidth="1"/>
    <col min="3" max="3" width="13.125" customWidth="1"/>
    <col min="4" max="4" width="10.625" customWidth="1"/>
    <col min="5" max="5" width="11.125" customWidth="1"/>
    <col min="6" max="7" width="12" customWidth="1"/>
    <col min="8" max="8" width="11.875" customWidth="1"/>
    <col min="9" max="9" width="12.375" customWidth="1"/>
    <col min="10" max="10" width="12.125" customWidth="1"/>
  </cols>
  <sheetData>
    <row r="1" spans="1:10" x14ac:dyDescent="0.3">
      <c r="A1" t="s">
        <v>0</v>
      </c>
    </row>
    <row r="2" spans="1:10" x14ac:dyDescent="0.3">
      <c r="A2" s="1" t="s">
        <v>111</v>
      </c>
      <c r="B2" s="1" t="s">
        <v>157</v>
      </c>
      <c r="C2" s="1" t="s">
        <v>101</v>
      </c>
      <c r="D2" s="1" t="s">
        <v>88</v>
      </c>
      <c r="E2" s="1" t="s">
        <v>137</v>
      </c>
      <c r="F2" s="1" t="s">
        <v>1</v>
      </c>
      <c r="G2" s="1" t="s">
        <v>89</v>
      </c>
      <c r="H2" s="1" t="s">
        <v>90</v>
      </c>
      <c r="I2" s="19" t="s">
        <v>149</v>
      </c>
      <c r="J2" s="19" t="s">
        <v>2</v>
      </c>
    </row>
    <row r="3" spans="1:10" x14ac:dyDescent="0.3">
      <c r="A3" s="1" t="s">
        <v>112</v>
      </c>
      <c r="B3" s="1" t="s">
        <v>142</v>
      </c>
      <c r="C3" s="1" t="s">
        <v>102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  <c r="I3" s="3">
        <f>IFERROR(HLOOKUP(MID(A3,2,1),$F$35:$H$37,3)*F3,0)</f>
        <v>40000</v>
      </c>
      <c r="J3" s="5" cm="1">
        <f t="array" ref="J3">fn세금(D3,E3)</f>
        <v>75840</v>
      </c>
    </row>
    <row r="4" spans="1:10" x14ac:dyDescent="0.3">
      <c r="A4" s="1" t="s">
        <v>113</v>
      </c>
      <c r="B4" s="1" t="s">
        <v>135</v>
      </c>
      <c r="C4" s="1" t="s">
        <v>148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  <c r="I4" s="3">
        <f t="shared" ref="I4:I25" si="0">IFERROR(HLOOKUP(MID(A4,2,1),$F$35:$H$37,3)*F4,0)</f>
        <v>45000</v>
      </c>
      <c r="J4" s="5" cm="1">
        <f t="array" ref="J4">fn세금(D4,E4)</f>
        <v>451200</v>
      </c>
    </row>
    <row r="5" spans="1:10" x14ac:dyDescent="0.3">
      <c r="A5" s="1" t="s">
        <v>114</v>
      </c>
      <c r="B5" s="1" t="s">
        <v>146</v>
      </c>
      <c r="C5" s="1" t="s">
        <v>105</v>
      </c>
      <c r="D5" s="3">
        <v>3700000</v>
      </c>
      <c r="E5" s="3">
        <v>280000</v>
      </c>
      <c r="F5" s="4" t="s">
        <v>108</v>
      </c>
      <c r="G5" s="3">
        <v>90000</v>
      </c>
      <c r="H5" s="3">
        <v>60000</v>
      </c>
      <c r="I5" s="3">
        <f t="shared" si="0"/>
        <v>0</v>
      </c>
      <c r="J5" s="5" cm="1">
        <f t="array" ref="J5">fn세금(D5,E5)</f>
        <v>477600</v>
      </c>
    </row>
    <row r="6" spans="1:10" x14ac:dyDescent="0.3">
      <c r="A6" s="1" t="s">
        <v>115</v>
      </c>
      <c r="B6" s="1" t="s">
        <v>139</v>
      </c>
      <c r="C6" s="1" t="s">
        <v>104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  <c r="I6" s="3">
        <f t="shared" si="0"/>
        <v>60000</v>
      </c>
      <c r="J6" s="5" cm="1">
        <f t="array" ref="J6">fn세금(D6,E6)</f>
        <v>76200</v>
      </c>
    </row>
    <row r="7" spans="1:10" x14ac:dyDescent="0.3">
      <c r="A7" s="1" t="s">
        <v>116</v>
      </c>
      <c r="B7" s="1" t="s">
        <v>135</v>
      </c>
      <c r="C7" s="1" t="s">
        <v>147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  <c r="I7" s="3">
        <f t="shared" si="0"/>
        <v>30000</v>
      </c>
      <c r="J7" s="5" cm="1">
        <f t="array" ref="J7">fn세금(D7,E7)</f>
        <v>222600.00000000003</v>
      </c>
    </row>
    <row r="8" spans="1:10" x14ac:dyDescent="0.3">
      <c r="A8" s="1" t="s">
        <v>117</v>
      </c>
      <c r="B8" s="1" t="s">
        <v>141</v>
      </c>
      <c r="C8" s="1" t="s">
        <v>103</v>
      </c>
      <c r="D8" s="3">
        <v>3600000</v>
      </c>
      <c r="E8" s="3">
        <v>200000</v>
      </c>
      <c r="F8" s="4" t="s">
        <v>108</v>
      </c>
      <c r="G8" s="3">
        <v>140000</v>
      </c>
      <c r="H8" s="3">
        <v>50000</v>
      </c>
      <c r="I8" s="3">
        <f t="shared" si="0"/>
        <v>0</v>
      </c>
      <c r="J8" s="5" cm="1">
        <f t="array" ref="J8">fn세금(D8,E8)</f>
        <v>456000</v>
      </c>
    </row>
    <row r="9" spans="1:10" x14ac:dyDescent="0.3">
      <c r="A9" s="1" t="s">
        <v>118</v>
      </c>
      <c r="B9" s="1" t="s">
        <v>142</v>
      </c>
      <c r="C9" s="1" t="s">
        <v>105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  <c r="I9" s="3">
        <f t="shared" si="0"/>
        <v>75000</v>
      </c>
      <c r="J9" s="5" cm="1">
        <f t="array" ref="J9">fn세금(D9,E9)</f>
        <v>79380</v>
      </c>
    </row>
    <row r="10" spans="1:10" x14ac:dyDescent="0.3">
      <c r="A10" s="1" t="s">
        <v>119</v>
      </c>
      <c r="B10" s="1" t="s">
        <v>139</v>
      </c>
      <c r="C10" s="1" t="s">
        <v>102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  <c r="I10" s="3">
        <f t="shared" si="0"/>
        <v>30000</v>
      </c>
      <c r="J10" s="5" cm="1">
        <f t="array" ref="J10">fn세금(D10,E10)</f>
        <v>459360</v>
      </c>
    </row>
    <row r="11" spans="1:10" x14ac:dyDescent="0.3">
      <c r="A11" s="1" t="s">
        <v>120</v>
      </c>
      <c r="B11" s="1" t="s">
        <v>142</v>
      </c>
      <c r="C11" s="1" t="s">
        <v>102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  <c r="I11" s="3">
        <f t="shared" si="0"/>
        <v>108000</v>
      </c>
      <c r="J11" s="5" cm="1">
        <f t="array" ref="J11">fn세금(D11,E11)</f>
        <v>221200.00000000003</v>
      </c>
    </row>
    <row r="12" spans="1:10" x14ac:dyDescent="0.3">
      <c r="A12" s="1" t="s">
        <v>121</v>
      </c>
      <c r="B12" s="1" t="s">
        <v>139</v>
      </c>
      <c r="C12" s="1" t="s">
        <v>103</v>
      </c>
      <c r="D12" s="3">
        <v>1600000</v>
      </c>
      <c r="E12" s="3">
        <v>246000</v>
      </c>
      <c r="F12" s="4" t="s">
        <v>108</v>
      </c>
      <c r="G12" s="3">
        <v>150000</v>
      </c>
      <c r="H12" s="3">
        <v>90000</v>
      </c>
      <c r="I12" s="3">
        <f t="shared" si="0"/>
        <v>0</v>
      </c>
      <c r="J12" s="5" cm="1">
        <f t="array" ref="J12">fn세금(D12,E12)</f>
        <v>55380</v>
      </c>
    </row>
    <row r="13" spans="1:10" x14ac:dyDescent="0.3">
      <c r="A13" s="1" t="s">
        <v>122</v>
      </c>
      <c r="B13" s="1" t="s">
        <v>142</v>
      </c>
      <c r="C13" s="1" t="s">
        <v>103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  <c r="I13" s="3">
        <f t="shared" si="0"/>
        <v>100000</v>
      </c>
      <c r="J13" s="5" cm="1">
        <f t="array" ref="J13">fn세금(D13,E13)</f>
        <v>66840</v>
      </c>
    </row>
    <row r="14" spans="1:10" x14ac:dyDescent="0.3">
      <c r="A14" s="1" t="s">
        <v>123</v>
      </c>
      <c r="B14" s="1" t="s">
        <v>139</v>
      </c>
      <c r="C14" s="1" t="s">
        <v>103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  <c r="I14" s="3">
        <f t="shared" si="0"/>
        <v>60000</v>
      </c>
      <c r="J14" s="5" cm="1">
        <f t="array" ref="J14">fn세금(D14,E14)</f>
        <v>64200</v>
      </c>
    </row>
    <row r="15" spans="1:10" x14ac:dyDescent="0.3">
      <c r="A15" s="1" t="s">
        <v>124</v>
      </c>
      <c r="B15" s="1" t="s">
        <v>139</v>
      </c>
      <c r="C15" s="1" t="s">
        <v>102</v>
      </c>
      <c r="D15" s="3">
        <v>3600000</v>
      </c>
      <c r="E15" s="3">
        <v>428000</v>
      </c>
      <c r="F15" s="4">
        <v>2</v>
      </c>
      <c r="G15" s="3">
        <v>90000</v>
      </c>
      <c r="H15" s="18">
        <v>110000</v>
      </c>
      <c r="I15" s="3">
        <f t="shared" si="0"/>
        <v>30000</v>
      </c>
      <c r="J15" s="5" cm="1">
        <f t="array" ref="J15">fn세금(D15,E15)</f>
        <v>483360</v>
      </c>
    </row>
    <row r="16" spans="1:10" x14ac:dyDescent="0.3">
      <c r="A16" s="1" t="s">
        <v>125</v>
      </c>
      <c r="B16" s="1" t="s">
        <v>139</v>
      </c>
      <c r="C16" s="1" t="s">
        <v>104</v>
      </c>
      <c r="D16" s="3">
        <v>1600000</v>
      </c>
      <c r="E16" s="3">
        <v>228000</v>
      </c>
      <c r="F16" s="4" t="s">
        <v>108</v>
      </c>
      <c r="G16" s="3">
        <v>90000</v>
      </c>
      <c r="H16" s="3">
        <v>120000</v>
      </c>
      <c r="I16" s="3">
        <f t="shared" si="0"/>
        <v>0</v>
      </c>
      <c r="J16" s="5" cm="1">
        <f t="array" ref="J16">fn세금(D16,E16)</f>
        <v>54840</v>
      </c>
    </row>
    <row r="17" spans="1:10" x14ac:dyDescent="0.3">
      <c r="A17" s="1" t="s">
        <v>126</v>
      </c>
      <c r="B17" s="1" t="s">
        <v>145</v>
      </c>
      <c r="C17" s="1" t="s">
        <v>103</v>
      </c>
      <c r="D17" s="3">
        <v>3300000</v>
      </c>
      <c r="E17" s="3">
        <v>220000</v>
      </c>
      <c r="F17" s="4">
        <v>8</v>
      </c>
      <c r="G17" s="3">
        <v>150000</v>
      </c>
      <c r="H17" s="3">
        <v>90000</v>
      </c>
      <c r="I17" s="3">
        <f t="shared" si="0"/>
        <v>160000</v>
      </c>
      <c r="J17" s="5" cm="1">
        <f t="array" ref="J17">fn세금(D17,E17)</f>
        <v>422400</v>
      </c>
    </row>
    <row r="18" spans="1:10" x14ac:dyDescent="0.3">
      <c r="A18" s="1" t="s">
        <v>127</v>
      </c>
      <c r="B18" s="1" t="s">
        <v>139</v>
      </c>
      <c r="C18" s="1" t="s">
        <v>105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  <c r="I18" s="3">
        <f t="shared" si="0"/>
        <v>126000</v>
      </c>
      <c r="J18" s="5" cm="1">
        <f t="array" ref="J18">fn세금(D18,E18)</f>
        <v>189000.00000000003</v>
      </c>
    </row>
    <row r="19" spans="1:10" x14ac:dyDescent="0.3">
      <c r="A19" s="1" t="s">
        <v>128</v>
      </c>
      <c r="B19" s="1" t="s">
        <v>135</v>
      </c>
      <c r="C19" s="1" t="s">
        <v>104</v>
      </c>
      <c r="D19" s="3">
        <v>1900000</v>
      </c>
      <c r="E19" s="3">
        <v>270000</v>
      </c>
      <c r="F19" s="4" t="s">
        <v>109</v>
      </c>
      <c r="G19" s="3">
        <v>100000</v>
      </c>
      <c r="H19" s="3">
        <v>100000</v>
      </c>
      <c r="I19" s="3">
        <f t="shared" si="0"/>
        <v>0</v>
      </c>
      <c r="J19" s="5" cm="1">
        <f t="array" ref="J19">fn세금(D19,E19)</f>
        <v>65100</v>
      </c>
    </row>
    <row r="20" spans="1:10" x14ac:dyDescent="0.3">
      <c r="A20" s="1" t="s">
        <v>129</v>
      </c>
      <c r="B20" s="1" t="s">
        <v>135</v>
      </c>
      <c r="C20" s="1" t="s">
        <v>104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  <c r="I20" s="3">
        <f t="shared" si="0"/>
        <v>54000</v>
      </c>
      <c r="J20" s="5" cm="1">
        <f t="array" ref="J20">fn세금(D20,E20)</f>
        <v>225400.00000000003</v>
      </c>
    </row>
    <row r="21" spans="1:10" x14ac:dyDescent="0.3">
      <c r="A21" s="1" t="s">
        <v>130</v>
      </c>
      <c r="B21" s="1" t="s">
        <v>142</v>
      </c>
      <c r="C21" s="1" t="s">
        <v>103</v>
      </c>
      <c r="D21" s="3">
        <v>2900000</v>
      </c>
      <c r="E21" s="3">
        <v>380000</v>
      </c>
      <c r="F21" s="4">
        <v>6</v>
      </c>
      <c r="G21" s="3">
        <v>90000</v>
      </c>
      <c r="H21" s="3">
        <v>90000</v>
      </c>
      <c r="I21" s="3">
        <f t="shared" si="0"/>
        <v>120000</v>
      </c>
      <c r="J21" s="5" cm="1">
        <f t="array" ref="J21">fn세금(D21,E21)</f>
        <v>229600.00000000003</v>
      </c>
    </row>
    <row r="22" spans="1:10" x14ac:dyDescent="0.3">
      <c r="A22" s="1" t="s">
        <v>131</v>
      </c>
      <c r="B22" s="1" t="s">
        <v>142</v>
      </c>
      <c r="C22" s="1" t="s">
        <v>103</v>
      </c>
      <c r="D22" s="3">
        <v>2900000</v>
      </c>
      <c r="E22" s="3">
        <v>370000</v>
      </c>
      <c r="F22" s="4">
        <v>2</v>
      </c>
      <c r="G22" s="3">
        <v>150000</v>
      </c>
      <c r="H22" s="3">
        <v>130000</v>
      </c>
      <c r="I22" s="3">
        <f t="shared" si="0"/>
        <v>40000</v>
      </c>
      <c r="J22" s="5" cm="1">
        <f t="array" ref="J22">fn세금(D22,E22)</f>
        <v>228900.00000000003</v>
      </c>
    </row>
    <row r="23" spans="1:10" x14ac:dyDescent="0.3">
      <c r="A23" s="1" t="s">
        <v>132</v>
      </c>
      <c r="B23" s="1" t="s">
        <v>135</v>
      </c>
      <c r="C23" s="1" t="s">
        <v>102</v>
      </c>
      <c r="D23" s="3">
        <v>2400000</v>
      </c>
      <c r="E23" s="3">
        <v>420000</v>
      </c>
      <c r="F23" s="4">
        <v>4</v>
      </c>
      <c r="G23" s="3">
        <v>100000</v>
      </c>
      <c r="H23" s="3">
        <v>120000</v>
      </c>
      <c r="I23" s="3">
        <f t="shared" si="0"/>
        <v>72000</v>
      </c>
      <c r="J23" s="5" cm="1">
        <f t="array" ref="J23">fn세금(D23,E23)</f>
        <v>84600</v>
      </c>
    </row>
    <row r="24" spans="1:10" x14ac:dyDescent="0.3">
      <c r="A24" s="1" t="s">
        <v>133</v>
      </c>
      <c r="B24" s="1" t="s">
        <v>145</v>
      </c>
      <c r="C24" s="1" t="s">
        <v>105</v>
      </c>
      <c r="D24" s="3">
        <v>2800000</v>
      </c>
      <c r="E24" s="3">
        <v>440000</v>
      </c>
      <c r="F24" s="4">
        <v>6</v>
      </c>
      <c r="G24" s="3">
        <v>90000</v>
      </c>
      <c r="H24" s="3">
        <v>80000</v>
      </c>
      <c r="I24" s="3">
        <f t="shared" si="0"/>
        <v>108000</v>
      </c>
      <c r="J24" s="5" cm="1">
        <f t="array" ref="J24">fn세금(D24,E24)</f>
        <v>226800.00000000003</v>
      </c>
    </row>
    <row r="25" spans="1:10" x14ac:dyDescent="0.3">
      <c r="A25" s="1" t="s">
        <v>134</v>
      </c>
      <c r="B25" s="1" t="s">
        <v>140</v>
      </c>
      <c r="C25" s="1" t="s">
        <v>104</v>
      </c>
      <c r="D25" s="3">
        <v>1900000</v>
      </c>
      <c r="E25" s="3">
        <v>400000</v>
      </c>
      <c r="F25" s="4" t="s">
        <v>110</v>
      </c>
      <c r="G25" s="3">
        <v>70000</v>
      </c>
      <c r="H25" s="3">
        <v>150000</v>
      </c>
      <c r="I25" s="3">
        <f t="shared" si="0"/>
        <v>0</v>
      </c>
      <c r="J25" s="5" cm="1">
        <f t="array" ref="J25">fn세금(D25,E25)</f>
        <v>69000</v>
      </c>
    </row>
    <row r="27" spans="1:10" x14ac:dyDescent="0.3">
      <c r="A27" t="s">
        <v>3</v>
      </c>
      <c r="E27" t="s">
        <v>4</v>
      </c>
    </row>
    <row r="28" spans="1:10" x14ac:dyDescent="0.3">
      <c r="A28" s="1"/>
      <c r="B28" s="19" t="s">
        <v>5</v>
      </c>
      <c r="C28" s="19" t="s">
        <v>138</v>
      </c>
      <c r="E28" s="1" t="s">
        <v>159</v>
      </c>
      <c r="F28" s="40" t="s">
        <v>6</v>
      </c>
      <c r="G28" s="40"/>
    </row>
    <row r="29" spans="1:10" x14ac:dyDescent="0.3">
      <c r="A29" s="1" t="s">
        <v>7</v>
      </c>
      <c r="B29" s="2">
        <f t="array" ref="B29">MAX((RIGHT($B$3:$B$25,2)=$A29)*ISNUMBER($F$3:$F$25)*D$3:D$25)</f>
        <v>3300000</v>
      </c>
      <c r="C29" s="2">
        <f t="array" ref="C29">MAX((RIGHT($B$3:$B$25,2)=$A29)*ISNUMBER($F$3:$F$25)*E$3:E$25)</f>
        <v>460000</v>
      </c>
      <c r="E29" s="1" t="s">
        <v>136</v>
      </c>
      <c r="F29" s="41" t="str">
        <f>REPT("▶",QUOTIENT(AVERAGEIF($B$3:$B$25,E29,$H$3:$H$25),10000))</f>
        <v>▶▶▶▶▶▶▶▶▶▶</v>
      </c>
      <c r="G29" s="41"/>
    </row>
    <row r="30" spans="1:10" x14ac:dyDescent="0.3">
      <c r="A30" s="1" t="s">
        <v>8</v>
      </c>
      <c r="B30" s="2">
        <f t="array" ref="B30">MAX((RIGHT($B$3:$B$25,2)=$A30)*ISNUMBER($F$3:$F$25)*D$3:D$25)</f>
        <v>3600000</v>
      </c>
      <c r="C30" s="2">
        <f t="array" ref="C30">MAX((RIGHT($B$3:$B$25,2)=$A30)*ISNUMBER($F$3:$F$25)*E$3:E$25)</f>
        <v>446000</v>
      </c>
      <c r="E30" s="1" t="s">
        <v>91</v>
      </c>
      <c r="F30" s="41" t="str">
        <f t="shared" ref="F30:F32" si="1">REPT("▶",QUOTIENT(AVERAGEIF($B$3:$B$25,E30,$H$3:$H$25),10000))</f>
        <v>▶▶▶▶▶▶▶▶▶</v>
      </c>
      <c r="G30" s="41"/>
    </row>
    <row r="31" spans="1:10" x14ac:dyDescent="0.3">
      <c r="E31" s="1" t="s">
        <v>143</v>
      </c>
      <c r="F31" s="41" t="str">
        <f t="shared" si="1"/>
        <v>▶▶▶▶▶▶▶▶</v>
      </c>
      <c r="G31" s="41"/>
    </row>
    <row r="32" spans="1:10" x14ac:dyDescent="0.3">
      <c r="E32" s="1" t="s">
        <v>144</v>
      </c>
      <c r="F32" s="41" t="str">
        <f t="shared" si="1"/>
        <v>▶▶▶▶▶▶▶</v>
      </c>
      <c r="G32" s="41"/>
    </row>
    <row r="34" spans="1:8" x14ac:dyDescent="0.3">
      <c r="A34" t="s">
        <v>9</v>
      </c>
      <c r="E34" t="s">
        <v>10</v>
      </c>
    </row>
    <row r="35" spans="1:8" x14ac:dyDescent="0.3">
      <c r="A35" s="1" t="s">
        <v>158</v>
      </c>
      <c r="B35" s="19" t="s">
        <v>106</v>
      </c>
      <c r="C35" s="19" t="s">
        <v>107</v>
      </c>
      <c r="E35" s="1"/>
      <c r="F35" s="6" t="s">
        <v>11</v>
      </c>
      <c r="G35" s="6" t="s">
        <v>12</v>
      </c>
      <c r="H35" s="6" t="s">
        <v>13</v>
      </c>
    </row>
    <row r="36" spans="1:8" x14ac:dyDescent="0.3">
      <c r="A36" s="1" t="s">
        <v>136</v>
      </c>
      <c r="B36" s="1" t="str">
        <f t="array" ref="B36">COUNT(IF(($B$3:$B$25=$A36)*($C$3:$C$25=B$35)*($D$3:$D$25&gt;=2500000),1))&amp;"명"</f>
        <v>0명</v>
      </c>
      <c r="C36" s="1" t="str">
        <f t="array" ref="C36">COUNT(IF(($B$3:$B$25=$A36)*($C$3:$C$25=C$35)*($D$3:$D$25&gt;=2500000),1))&amp;"명"</f>
        <v>1명</v>
      </c>
      <c r="E36" s="1"/>
      <c r="F36" s="7" t="s">
        <v>14</v>
      </c>
      <c r="G36" s="7" t="s">
        <v>15</v>
      </c>
      <c r="H36" s="7" t="s">
        <v>16</v>
      </c>
    </row>
    <row r="37" spans="1:8" x14ac:dyDescent="0.3">
      <c r="A37" s="1" t="s">
        <v>91</v>
      </c>
      <c r="B37" s="1" t="str">
        <f t="array" ref="B37">COUNT(IF(($B$3:$B$25=$A37)*($C$3:$C$25=B$35)*($D$3:$D$25&gt;=2500000),1))&amp;"명"</f>
        <v>2명</v>
      </c>
      <c r="C37" s="1" t="str">
        <f t="array" ref="C37">COUNT(IF(($B$3:$B$25=$A37)*($C$3:$C$25=C$35)*($D$3:$D$25&gt;=2500000),1))&amp;"명"</f>
        <v>1명</v>
      </c>
      <c r="E37" s="1" t="s">
        <v>17</v>
      </c>
      <c r="F37" s="5">
        <v>15000</v>
      </c>
      <c r="G37" s="5">
        <v>18000</v>
      </c>
      <c r="H37" s="5">
        <v>20000</v>
      </c>
    </row>
    <row r="38" spans="1:8" x14ac:dyDescent="0.3">
      <c r="A38" s="1" t="s">
        <v>143</v>
      </c>
      <c r="B38" s="1" t="str">
        <f t="array" ref="B38">COUNT(IF(($B$3:$B$25=$A38)*($C$3:$C$25=B$35)*($D$3:$D$25&gt;=2500000),1))&amp;"명"</f>
        <v>1명</v>
      </c>
      <c r="C38" s="1" t="str">
        <f t="array" ref="C38">COUNT(IF(($B$3:$B$25=$A38)*($C$3:$C$25=C$35)*($D$3:$D$25&gt;=2500000),1))&amp;"명"</f>
        <v>0명</v>
      </c>
    </row>
    <row r="39" spans="1:8" x14ac:dyDescent="0.3">
      <c r="A39" s="1" t="s">
        <v>144</v>
      </c>
      <c r="B39" s="1" t="str">
        <f t="array" ref="B39">COUNT(IF(($B$3:$B$25=$A39)*($C$3:$C$25=B$35)*($D$3:$D$25&gt;=2500000),1))&amp;"명"</f>
        <v>0명</v>
      </c>
      <c r="C39" s="1" t="str">
        <f t="array" ref="C39">COUNT(IF(($B$3:$B$25=$A39)*($C$3:$C$25=C$35)*($D$3:$D$25&gt;=2500000),1))&amp;"명"</f>
        <v>2명</v>
      </c>
    </row>
  </sheetData>
  <mergeCells count="5">
    <mergeCell ref="F28:G28"/>
    <mergeCell ref="F29:G29"/>
    <mergeCell ref="F30:G30"/>
    <mergeCell ref="F31:G31"/>
    <mergeCell ref="F32:G3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E10"/>
  <sheetViews>
    <sheetView workbookViewId="0"/>
  </sheetViews>
  <sheetFormatPr defaultRowHeight="16.5" x14ac:dyDescent="0.3"/>
  <cols>
    <col min="2" max="2" width="10.625" customWidth="1"/>
    <col min="3" max="3" width="12.375" customWidth="1"/>
    <col min="4" max="4" width="10.375" bestFit="1" customWidth="1"/>
    <col min="5" max="5" width="21.75" bestFit="1" customWidth="1"/>
  </cols>
  <sheetData>
    <row r="3" spans="2:5" x14ac:dyDescent="0.3">
      <c r="B3" s="21" t="s">
        <v>162</v>
      </c>
      <c r="C3" t="s">
        <v>163</v>
      </c>
    </row>
    <row r="5" spans="2:5" x14ac:dyDescent="0.3">
      <c r="B5" s="21" t="s">
        <v>167</v>
      </c>
      <c r="C5" t="s">
        <v>165</v>
      </c>
      <c r="D5" t="s">
        <v>166</v>
      </c>
      <c r="E5" t="s">
        <v>168</v>
      </c>
    </row>
    <row r="6" spans="2:5" x14ac:dyDescent="0.3">
      <c r="B6" t="s">
        <v>103</v>
      </c>
      <c r="C6" s="22">
        <v>18000000</v>
      </c>
      <c r="D6" s="22">
        <v>2084000</v>
      </c>
      <c r="E6" s="22">
        <v>840024</v>
      </c>
    </row>
    <row r="7" spans="2:5" x14ac:dyDescent="0.3">
      <c r="B7" t="s">
        <v>102</v>
      </c>
      <c r="C7" s="22">
        <v>14800000</v>
      </c>
      <c r="D7" s="22">
        <v>1564000</v>
      </c>
      <c r="E7" s="22">
        <v>520016</v>
      </c>
    </row>
    <row r="8" spans="2:5" x14ac:dyDescent="0.3">
      <c r="B8" t="s">
        <v>105</v>
      </c>
      <c r="C8" s="22">
        <v>14100000</v>
      </c>
      <c r="D8" s="22">
        <v>1646000</v>
      </c>
      <c r="E8" s="22">
        <v>400020</v>
      </c>
    </row>
    <row r="9" spans="2:5" x14ac:dyDescent="0.3">
      <c r="B9" t="s">
        <v>104</v>
      </c>
      <c r="C9" s="22">
        <v>13800000</v>
      </c>
      <c r="D9" s="22">
        <v>2018000</v>
      </c>
      <c r="E9" s="22">
        <v>680010</v>
      </c>
    </row>
    <row r="10" spans="2:5" x14ac:dyDescent="0.3">
      <c r="B10" t="s">
        <v>164</v>
      </c>
      <c r="C10" s="22">
        <v>60700000</v>
      </c>
      <c r="D10" s="22">
        <v>7312000</v>
      </c>
      <c r="E10" s="22">
        <v>2440070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0.5" bestFit="1" customWidth="1"/>
    <col min="4" max="6" width="12.75" bestFit="1" customWidth="1" outlineLevel="1"/>
  </cols>
  <sheetData>
    <row r="1" spans="2:6" ht="17.25" thickBot="1" x14ac:dyDescent="0.35"/>
    <row r="2" spans="2:6" x14ac:dyDescent="0.3">
      <c r="B2" s="27" t="s">
        <v>173</v>
      </c>
      <c r="C2" s="28"/>
      <c r="D2" s="34"/>
      <c r="E2" s="34"/>
      <c r="F2" s="34"/>
    </row>
    <row r="3" spans="2:6" collapsed="1" x14ac:dyDescent="0.3">
      <c r="B3" s="26"/>
      <c r="C3" s="26"/>
      <c r="D3" s="35" t="s">
        <v>175</v>
      </c>
      <c r="E3" s="35" t="s">
        <v>171</v>
      </c>
      <c r="F3" s="35" t="s">
        <v>172</v>
      </c>
    </row>
    <row r="4" spans="2:6" hidden="1" outlineLevel="1" x14ac:dyDescent="0.3">
      <c r="B4" s="30"/>
      <c r="C4" s="30"/>
      <c r="D4" s="23"/>
      <c r="E4" s="37"/>
      <c r="F4" s="37"/>
    </row>
    <row r="5" spans="2:6" x14ac:dyDescent="0.3">
      <c r="B5" s="31" t="s">
        <v>174</v>
      </c>
      <c r="C5" s="32"/>
      <c r="D5" s="29"/>
      <c r="E5" s="29"/>
      <c r="F5" s="29"/>
    </row>
    <row r="6" spans="2:6" outlineLevel="1" x14ac:dyDescent="0.3">
      <c r="B6" s="30"/>
      <c r="C6" s="30" t="s">
        <v>169</v>
      </c>
      <c r="D6" s="24">
        <v>0.3</v>
      </c>
      <c r="E6" s="36">
        <v>0.35</v>
      </c>
      <c r="F6" s="36">
        <v>0.25</v>
      </c>
    </row>
    <row r="7" spans="2:6" x14ac:dyDescent="0.3">
      <c r="B7" s="31" t="s">
        <v>176</v>
      </c>
      <c r="C7" s="32"/>
      <c r="D7" s="29"/>
      <c r="E7" s="29"/>
      <c r="F7" s="29"/>
    </row>
    <row r="8" spans="2:6" ht="17.25" outlineLevel="1" thickBot="1" x14ac:dyDescent="0.35">
      <c r="B8" s="33"/>
      <c r="C8" s="33" t="s">
        <v>170</v>
      </c>
      <c r="D8" s="25">
        <v>167046000</v>
      </c>
      <c r="E8" s="25">
        <v>194887000</v>
      </c>
      <c r="F8" s="25">
        <v>139205000</v>
      </c>
    </row>
    <row r="9" spans="2:6" x14ac:dyDescent="0.3">
      <c r="B9" t="s">
        <v>177</v>
      </c>
    </row>
    <row r="10" spans="2:6" x14ac:dyDescent="0.3">
      <c r="B10" t="s">
        <v>178</v>
      </c>
    </row>
    <row r="11" spans="2:6" x14ac:dyDescent="0.3">
      <c r="B11" t="s">
        <v>179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21"/>
  <sheetViews>
    <sheetView workbookViewId="0">
      <selection sqref="A1:I1"/>
    </sheetView>
  </sheetViews>
  <sheetFormatPr defaultRowHeight="16.5" x14ac:dyDescent="0.3"/>
  <cols>
    <col min="4" max="4" width="9.5" bestFit="1" customWidth="1"/>
    <col min="6" max="6" width="11.75" bestFit="1" customWidth="1"/>
    <col min="8" max="9" width="12.75" bestFit="1" customWidth="1"/>
  </cols>
  <sheetData>
    <row r="1" spans="1:9" ht="26.25" x14ac:dyDescent="0.3">
      <c r="A1" s="44" t="s">
        <v>85</v>
      </c>
      <c r="B1" s="44"/>
      <c r="C1" s="44"/>
      <c r="D1" s="44"/>
      <c r="E1" s="44"/>
      <c r="F1" s="44"/>
      <c r="G1" s="44"/>
      <c r="H1" s="44"/>
      <c r="I1" s="44"/>
    </row>
    <row r="2" spans="1:9" x14ac:dyDescent="0.3">
      <c r="A2" s="10"/>
      <c r="B2" s="10"/>
      <c r="C2" s="10"/>
      <c r="D2" s="10"/>
      <c r="E2" s="10"/>
      <c r="F2" s="10"/>
      <c r="G2" s="10"/>
      <c r="H2" s="10"/>
    </row>
    <row r="3" spans="1:9" x14ac:dyDescent="0.3">
      <c r="A3" s="11" t="s">
        <v>39</v>
      </c>
      <c r="B3" s="11" t="s">
        <v>40</v>
      </c>
      <c r="C3" s="11" t="s">
        <v>41</v>
      </c>
      <c r="D3" s="11" t="s">
        <v>42</v>
      </c>
      <c r="E3" s="11" t="s">
        <v>43</v>
      </c>
      <c r="F3" s="11" t="s">
        <v>44</v>
      </c>
      <c r="G3" s="11" t="s">
        <v>45</v>
      </c>
      <c r="H3" s="11" t="s">
        <v>46</v>
      </c>
      <c r="I3" s="12" t="s">
        <v>47</v>
      </c>
    </row>
    <row r="4" spans="1:9" x14ac:dyDescent="0.3">
      <c r="A4" s="11" t="s">
        <v>48</v>
      </c>
      <c r="B4" s="11" t="s">
        <v>49</v>
      </c>
      <c r="C4" s="11" t="s">
        <v>50</v>
      </c>
      <c r="D4" s="13">
        <v>45808</v>
      </c>
      <c r="E4" s="11">
        <v>50</v>
      </c>
      <c r="F4" s="14">
        <v>280000</v>
      </c>
      <c r="G4" s="11">
        <v>30</v>
      </c>
      <c r="H4" s="15">
        <f t="shared" ref="H4:H18" si="0">F4*G4</f>
        <v>8400000</v>
      </c>
      <c r="I4" s="16">
        <f t="shared" ref="I4:I19" si="1">H4*$H$21</f>
        <v>2520000</v>
      </c>
    </row>
    <row r="5" spans="1:9" x14ac:dyDescent="0.3">
      <c r="A5" s="11" t="s">
        <v>86</v>
      </c>
      <c r="B5" s="11" t="s">
        <v>51</v>
      </c>
      <c r="C5" s="11" t="s">
        <v>52</v>
      </c>
      <c r="D5" s="13">
        <v>45809</v>
      </c>
      <c r="E5" s="11">
        <v>40</v>
      </c>
      <c r="F5" s="14">
        <v>350000</v>
      </c>
      <c r="G5" s="11">
        <v>38</v>
      </c>
      <c r="H5" s="15">
        <f t="shared" si="0"/>
        <v>13300000</v>
      </c>
      <c r="I5" s="16">
        <f t="shared" si="1"/>
        <v>3990000</v>
      </c>
    </row>
    <row r="6" spans="1:9" x14ac:dyDescent="0.3">
      <c r="A6" s="11" t="s">
        <v>53</v>
      </c>
      <c r="B6" s="11" t="s">
        <v>54</v>
      </c>
      <c r="C6" s="11" t="s">
        <v>55</v>
      </c>
      <c r="D6" s="13">
        <v>45809</v>
      </c>
      <c r="E6" s="11">
        <v>50</v>
      </c>
      <c r="F6" s="14">
        <v>280000</v>
      </c>
      <c r="G6" s="11">
        <v>34</v>
      </c>
      <c r="H6" s="15">
        <f t="shared" si="0"/>
        <v>9520000</v>
      </c>
      <c r="I6" s="16">
        <f t="shared" si="1"/>
        <v>2856000</v>
      </c>
    </row>
    <row r="7" spans="1:9" x14ac:dyDescent="0.3">
      <c r="A7" s="11" t="s">
        <v>57</v>
      </c>
      <c r="B7" s="11" t="s">
        <v>58</v>
      </c>
      <c r="C7" s="11" t="s">
        <v>59</v>
      </c>
      <c r="D7" s="13">
        <v>45809</v>
      </c>
      <c r="E7" s="11">
        <v>60</v>
      </c>
      <c r="F7" s="14">
        <v>1500000</v>
      </c>
      <c r="G7" s="11">
        <v>57</v>
      </c>
      <c r="H7" s="15">
        <f t="shared" si="0"/>
        <v>85500000</v>
      </c>
      <c r="I7" s="16">
        <f t="shared" si="1"/>
        <v>25650000</v>
      </c>
    </row>
    <row r="8" spans="1:9" x14ac:dyDescent="0.3">
      <c r="A8" s="11" t="s">
        <v>86</v>
      </c>
      <c r="B8" s="11" t="s">
        <v>60</v>
      </c>
      <c r="C8" s="11" t="s">
        <v>61</v>
      </c>
      <c r="D8" s="13">
        <v>45809</v>
      </c>
      <c r="E8" s="11">
        <v>80</v>
      </c>
      <c r="F8" s="14">
        <v>350000</v>
      </c>
      <c r="G8" s="11">
        <v>59</v>
      </c>
      <c r="H8" s="15">
        <f t="shared" si="0"/>
        <v>20650000</v>
      </c>
      <c r="I8" s="16">
        <f t="shared" si="1"/>
        <v>6195000</v>
      </c>
    </row>
    <row r="9" spans="1:9" x14ac:dyDescent="0.3">
      <c r="A9" s="11" t="s">
        <v>57</v>
      </c>
      <c r="B9" s="11" t="s">
        <v>62</v>
      </c>
      <c r="C9" s="11" t="s">
        <v>63</v>
      </c>
      <c r="D9" s="13">
        <v>45808</v>
      </c>
      <c r="E9" s="11">
        <v>60</v>
      </c>
      <c r="F9" s="14">
        <v>1500000</v>
      </c>
      <c r="G9" s="11">
        <v>55</v>
      </c>
      <c r="H9" s="15">
        <f t="shared" si="0"/>
        <v>82500000</v>
      </c>
      <c r="I9" s="16">
        <f t="shared" si="1"/>
        <v>24750000</v>
      </c>
    </row>
    <row r="10" spans="1:9" x14ac:dyDescent="0.3">
      <c r="A10" s="11" t="s">
        <v>64</v>
      </c>
      <c r="B10" s="11" t="s">
        <v>65</v>
      </c>
      <c r="C10" s="11" t="s">
        <v>66</v>
      </c>
      <c r="D10" s="13">
        <v>45808</v>
      </c>
      <c r="E10" s="11">
        <v>60</v>
      </c>
      <c r="F10" s="14">
        <v>1500000</v>
      </c>
      <c r="G10" s="11">
        <v>60</v>
      </c>
      <c r="H10" s="15">
        <f t="shared" si="0"/>
        <v>90000000</v>
      </c>
      <c r="I10" s="16">
        <f t="shared" si="1"/>
        <v>27000000</v>
      </c>
    </row>
    <row r="11" spans="1:9" x14ac:dyDescent="0.3">
      <c r="A11" s="11" t="s">
        <v>48</v>
      </c>
      <c r="B11" s="11" t="s">
        <v>67</v>
      </c>
      <c r="C11" s="11" t="s">
        <v>68</v>
      </c>
      <c r="D11" s="13">
        <v>45808</v>
      </c>
      <c r="E11" s="11">
        <v>40</v>
      </c>
      <c r="F11" s="14">
        <v>280000</v>
      </c>
      <c r="G11" s="11">
        <v>29</v>
      </c>
      <c r="H11" s="15">
        <f t="shared" si="0"/>
        <v>8120000</v>
      </c>
      <c r="I11" s="16">
        <f t="shared" si="1"/>
        <v>2436000</v>
      </c>
    </row>
    <row r="12" spans="1:9" x14ac:dyDescent="0.3">
      <c r="A12" s="11" t="s">
        <v>86</v>
      </c>
      <c r="B12" s="11" t="s">
        <v>69</v>
      </c>
      <c r="C12" s="11" t="s">
        <v>70</v>
      </c>
      <c r="D12" s="13">
        <v>45809</v>
      </c>
      <c r="E12" s="11">
        <v>50</v>
      </c>
      <c r="F12" s="14">
        <v>350000</v>
      </c>
      <c r="G12" s="11">
        <v>45</v>
      </c>
      <c r="H12" s="15">
        <f t="shared" si="0"/>
        <v>15750000</v>
      </c>
      <c r="I12" s="16">
        <f t="shared" si="1"/>
        <v>4725000</v>
      </c>
    </row>
    <row r="13" spans="1:9" x14ac:dyDescent="0.3">
      <c r="A13" s="11" t="s">
        <v>86</v>
      </c>
      <c r="B13" s="11" t="s">
        <v>71</v>
      </c>
      <c r="C13" s="11" t="s">
        <v>72</v>
      </c>
      <c r="D13" s="13">
        <v>45808</v>
      </c>
      <c r="E13" s="11">
        <v>30</v>
      </c>
      <c r="F13" s="14">
        <v>350000</v>
      </c>
      <c r="G13" s="11">
        <v>19</v>
      </c>
      <c r="H13" s="15">
        <f t="shared" si="0"/>
        <v>6650000</v>
      </c>
      <c r="I13" s="16">
        <f t="shared" si="1"/>
        <v>1995000</v>
      </c>
    </row>
    <row r="14" spans="1:9" x14ac:dyDescent="0.3">
      <c r="A14" s="11" t="s">
        <v>86</v>
      </c>
      <c r="B14" s="11" t="s">
        <v>67</v>
      </c>
      <c r="C14" s="11" t="s">
        <v>73</v>
      </c>
      <c r="D14" s="13">
        <v>45808</v>
      </c>
      <c r="E14" s="11">
        <v>50</v>
      </c>
      <c r="F14" s="14">
        <v>350000</v>
      </c>
      <c r="G14" s="11">
        <v>47</v>
      </c>
      <c r="H14" s="15">
        <f t="shared" si="0"/>
        <v>16450000</v>
      </c>
      <c r="I14" s="16">
        <f t="shared" si="1"/>
        <v>4935000</v>
      </c>
    </row>
    <row r="15" spans="1:9" x14ac:dyDescent="0.3">
      <c r="A15" s="11" t="s">
        <v>74</v>
      </c>
      <c r="B15" s="11" t="s">
        <v>75</v>
      </c>
      <c r="C15" s="11" t="s">
        <v>76</v>
      </c>
      <c r="D15" s="13">
        <v>45809</v>
      </c>
      <c r="E15" s="11">
        <v>30</v>
      </c>
      <c r="F15" s="14">
        <v>280000</v>
      </c>
      <c r="G15" s="11">
        <v>26</v>
      </c>
      <c r="H15" s="15">
        <f t="shared" si="0"/>
        <v>7280000</v>
      </c>
      <c r="I15" s="16">
        <f t="shared" si="1"/>
        <v>2184000</v>
      </c>
    </row>
    <row r="16" spans="1:9" x14ac:dyDescent="0.3">
      <c r="A16" s="11" t="s">
        <v>77</v>
      </c>
      <c r="B16" s="11" t="s">
        <v>78</v>
      </c>
      <c r="C16" s="11" t="s">
        <v>79</v>
      </c>
      <c r="D16" s="13">
        <v>45809</v>
      </c>
      <c r="E16" s="11">
        <v>80</v>
      </c>
      <c r="F16" s="14">
        <v>1500000</v>
      </c>
      <c r="G16" s="11">
        <v>69</v>
      </c>
      <c r="H16" s="15">
        <f t="shared" si="0"/>
        <v>103500000</v>
      </c>
      <c r="I16" s="16">
        <f t="shared" si="1"/>
        <v>31050000</v>
      </c>
    </row>
    <row r="17" spans="1:9" x14ac:dyDescent="0.3">
      <c r="A17" s="11" t="s">
        <v>74</v>
      </c>
      <c r="B17" s="11" t="s">
        <v>80</v>
      </c>
      <c r="C17" s="11" t="s">
        <v>81</v>
      </c>
      <c r="D17" s="13">
        <v>45809</v>
      </c>
      <c r="E17" s="11">
        <v>50</v>
      </c>
      <c r="F17" s="14">
        <v>280000</v>
      </c>
      <c r="G17" s="11">
        <v>40</v>
      </c>
      <c r="H17" s="15">
        <f t="shared" si="0"/>
        <v>11200000</v>
      </c>
      <c r="I17" s="16">
        <f t="shared" si="1"/>
        <v>3360000</v>
      </c>
    </row>
    <row r="18" spans="1:9" x14ac:dyDescent="0.3">
      <c r="A18" s="11" t="s">
        <v>56</v>
      </c>
      <c r="B18" s="11" t="s">
        <v>60</v>
      </c>
      <c r="C18" s="11" t="s">
        <v>82</v>
      </c>
      <c r="D18" s="13">
        <v>45809</v>
      </c>
      <c r="E18" s="11">
        <v>60</v>
      </c>
      <c r="F18" s="14">
        <v>1500000</v>
      </c>
      <c r="G18" s="11">
        <v>52</v>
      </c>
      <c r="H18" s="15">
        <f t="shared" si="0"/>
        <v>78000000</v>
      </c>
      <c r="I18" s="16">
        <f t="shared" si="1"/>
        <v>23400000</v>
      </c>
    </row>
    <row r="19" spans="1:9" x14ac:dyDescent="0.3">
      <c r="A19" s="42" t="s">
        <v>83</v>
      </c>
      <c r="B19" s="42"/>
      <c r="C19" s="42"/>
      <c r="D19" s="42"/>
      <c r="E19" s="42"/>
      <c r="F19" s="42"/>
      <c r="G19" s="42"/>
      <c r="H19" s="15">
        <f>SUM(H4:H18)</f>
        <v>556820000</v>
      </c>
      <c r="I19" s="16">
        <f t="shared" si="1"/>
        <v>167046000</v>
      </c>
    </row>
    <row r="20" spans="1:9" x14ac:dyDescent="0.3">
      <c r="A20" s="10"/>
      <c r="B20" s="10"/>
      <c r="C20" s="10"/>
      <c r="D20" s="10"/>
      <c r="E20" s="10"/>
      <c r="F20" s="10"/>
      <c r="G20" s="10"/>
      <c r="H20" s="10"/>
    </row>
    <row r="21" spans="1:9" x14ac:dyDescent="0.3">
      <c r="F21" s="10"/>
      <c r="G21" s="11" t="s">
        <v>84</v>
      </c>
      <c r="H21" s="43">
        <v>0.3</v>
      </c>
      <c r="I21" s="43"/>
    </row>
  </sheetData>
  <scenarios current="1" sqref="I19">
    <scenario name="이익률증가" locked="1" count="1" user="user">
      <inputCells r="H21" val="0.35" numFmtId="9"/>
    </scenario>
    <scenario name="이익률감소" locked="1" count="1" user="user">
      <inputCells r="H21" val="0.25" numFmtId="9"/>
    </scenario>
  </scenarios>
  <mergeCells count="3">
    <mergeCell ref="A19:G19"/>
    <mergeCell ref="H21:I21"/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E6"/>
  <sheetViews>
    <sheetView workbookViewId="0"/>
  </sheetViews>
  <sheetFormatPr defaultRowHeight="16.5" x14ac:dyDescent="0.3"/>
  <sheetData>
    <row r="2" spans="2:5" x14ac:dyDescent="0.3">
      <c r="B2" s="1" t="s">
        <v>153</v>
      </c>
      <c r="C2" s="1" t="s">
        <v>154</v>
      </c>
      <c r="D2" s="1" t="s">
        <v>155</v>
      </c>
      <c r="E2" s="1" t="s">
        <v>87</v>
      </c>
    </row>
    <row r="3" spans="2:5" x14ac:dyDescent="0.3">
      <c r="B3" s="1" t="s">
        <v>92</v>
      </c>
      <c r="C3" s="1">
        <v>1390000</v>
      </c>
      <c r="D3" s="1">
        <v>420000</v>
      </c>
      <c r="E3" s="1">
        <v>570000</v>
      </c>
    </row>
    <row r="4" spans="2:5" x14ac:dyDescent="0.3">
      <c r="B4" s="1" t="s">
        <v>93</v>
      </c>
      <c r="C4" s="1">
        <v>2500000</v>
      </c>
      <c r="D4" s="1">
        <v>890000</v>
      </c>
      <c r="E4" s="1">
        <v>740000</v>
      </c>
    </row>
    <row r="5" spans="2:5" x14ac:dyDescent="0.3">
      <c r="B5" s="1" t="s">
        <v>151</v>
      </c>
      <c r="C5" s="1">
        <v>1650000</v>
      </c>
      <c r="D5" s="1">
        <v>560000</v>
      </c>
      <c r="E5" s="1">
        <v>520000</v>
      </c>
    </row>
    <row r="6" spans="2:5" x14ac:dyDescent="0.3">
      <c r="B6" s="1" t="s">
        <v>152</v>
      </c>
      <c r="C6" s="1">
        <v>1390000</v>
      </c>
      <c r="D6" s="1">
        <v>390000</v>
      </c>
      <c r="E6" s="1">
        <v>410000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E17"/>
  <sheetViews>
    <sheetView workbookViewId="0">
      <selection activeCell="H35" sqref="H34:H35"/>
    </sheetView>
  </sheetViews>
  <sheetFormatPr defaultRowHeight="16.5" x14ac:dyDescent="0.3"/>
  <cols>
    <col min="3" max="3" width="11.25" style="9" customWidth="1"/>
    <col min="4" max="4" width="9.125" customWidth="1"/>
  </cols>
  <sheetData>
    <row r="2" spans="2:5" x14ac:dyDescent="0.3">
      <c r="B2" s="1" t="s">
        <v>20</v>
      </c>
      <c r="C2" s="1" t="s">
        <v>21</v>
      </c>
      <c r="D2" s="1" t="s">
        <v>38</v>
      </c>
      <c r="E2" s="1" t="s">
        <v>22</v>
      </c>
    </row>
    <row r="3" spans="2:5" x14ac:dyDescent="0.3">
      <c r="B3" s="1" t="s">
        <v>23</v>
      </c>
      <c r="C3" s="1">
        <v>25031001</v>
      </c>
      <c r="D3" s="1">
        <v>81</v>
      </c>
      <c r="E3" s="8">
        <v>0.9</v>
      </c>
    </row>
    <row r="4" spans="2:5" x14ac:dyDescent="0.3">
      <c r="B4" s="1" t="s">
        <v>24</v>
      </c>
      <c r="C4" s="1">
        <v>25031002</v>
      </c>
      <c r="D4" s="1">
        <v>55</v>
      </c>
      <c r="E4" s="8">
        <v>0.65</v>
      </c>
    </row>
    <row r="5" spans="2:5" x14ac:dyDescent="0.3">
      <c r="B5" s="1" t="s">
        <v>25</v>
      </c>
      <c r="C5" s="1">
        <v>25031003</v>
      </c>
      <c r="D5" s="1">
        <v>95</v>
      </c>
      <c r="E5" s="8">
        <v>0.51</v>
      </c>
    </row>
    <row r="6" spans="2:5" x14ac:dyDescent="0.3">
      <c r="B6" s="1" t="s">
        <v>26</v>
      </c>
      <c r="C6" s="1">
        <v>25031004</v>
      </c>
      <c r="D6" s="1">
        <v>87</v>
      </c>
      <c r="E6" s="8">
        <v>0.85</v>
      </c>
    </row>
    <row r="7" spans="2:5" x14ac:dyDescent="0.3">
      <c r="B7" s="1" t="s">
        <v>27</v>
      </c>
      <c r="C7" s="1">
        <v>25031005</v>
      </c>
      <c r="D7" s="1">
        <v>90</v>
      </c>
      <c r="E7" s="8">
        <v>0.78</v>
      </c>
    </row>
    <row r="8" spans="2:5" x14ac:dyDescent="0.3">
      <c r="B8" s="1" t="s">
        <v>28</v>
      </c>
      <c r="C8" s="1">
        <v>25031006</v>
      </c>
      <c r="D8" s="1">
        <v>84</v>
      </c>
      <c r="E8" s="8">
        <v>0.55000000000000004</v>
      </c>
    </row>
    <row r="9" spans="2:5" x14ac:dyDescent="0.3">
      <c r="B9" s="1" t="s">
        <v>29</v>
      </c>
      <c r="C9" s="1">
        <v>25031007</v>
      </c>
      <c r="D9" s="1">
        <v>97</v>
      </c>
      <c r="E9" s="8">
        <v>0.82</v>
      </c>
    </row>
    <row r="10" spans="2:5" x14ac:dyDescent="0.3">
      <c r="B10" s="1" t="s">
        <v>30</v>
      </c>
      <c r="C10" s="1">
        <v>25031008</v>
      </c>
      <c r="D10" s="1">
        <v>45</v>
      </c>
      <c r="E10" s="8">
        <v>0.7</v>
      </c>
    </row>
    <row r="11" spans="2:5" x14ac:dyDescent="0.3">
      <c r="B11" s="1" t="s">
        <v>31</v>
      </c>
      <c r="C11" s="1">
        <v>25031009</v>
      </c>
      <c r="D11" s="1">
        <v>63</v>
      </c>
      <c r="E11" s="8">
        <v>0.63</v>
      </c>
    </row>
    <row r="12" spans="2:5" x14ac:dyDescent="0.3">
      <c r="B12" s="1" t="s">
        <v>32</v>
      </c>
      <c r="C12" s="1">
        <v>25031010</v>
      </c>
      <c r="D12" s="1">
        <v>62</v>
      </c>
      <c r="E12" s="8">
        <v>0.44</v>
      </c>
    </row>
    <row r="13" spans="2:5" x14ac:dyDescent="0.3">
      <c r="B13" s="1" t="s">
        <v>33</v>
      </c>
      <c r="C13" s="1">
        <v>25031011</v>
      </c>
      <c r="D13" s="1">
        <v>97</v>
      </c>
      <c r="E13" s="8">
        <v>0.95</v>
      </c>
    </row>
    <row r="14" spans="2:5" x14ac:dyDescent="0.3">
      <c r="B14" s="1" t="s">
        <v>34</v>
      </c>
      <c r="C14" s="1">
        <v>25031012</v>
      </c>
      <c r="D14" s="1">
        <v>81</v>
      </c>
      <c r="E14" s="8">
        <v>0.69</v>
      </c>
    </row>
    <row r="15" spans="2:5" x14ac:dyDescent="0.3">
      <c r="B15" s="1" t="s">
        <v>35</v>
      </c>
      <c r="C15" s="1">
        <v>25031013</v>
      </c>
      <c r="D15" s="1">
        <v>75</v>
      </c>
      <c r="E15" s="8">
        <v>0.88</v>
      </c>
    </row>
    <row r="16" spans="2:5" x14ac:dyDescent="0.3">
      <c r="B16" s="1" t="s">
        <v>36</v>
      </c>
      <c r="C16" s="1">
        <v>25031014</v>
      </c>
      <c r="D16" s="1">
        <v>77</v>
      </c>
      <c r="E16" s="8">
        <v>0.72</v>
      </c>
    </row>
    <row r="17" spans="2:5" x14ac:dyDescent="0.3">
      <c r="B17" s="1" t="s">
        <v>37</v>
      </c>
      <c r="C17" s="1">
        <v>25031015</v>
      </c>
      <c r="D17" s="1">
        <v>50</v>
      </c>
      <c r="E17" s="8">
        <v>0.91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아이콘집합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반쪽별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373F285E-850C-4A85-A02C-73465CC2BB8D}">
            <x14:iconSet iconSet="5Quarter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vo type="num">
                <xm:f>0.7</xm:f>
              </x14:cfvo>
              <x14:cfvo type="num">
                <xm:f>0.9</xm:f>
              </x14:cfvo>
              <x14:cfIcon iconSet="5Quarters" iconId="0"/>
              <x14:cfIcon iconSet="5Quarters" iconId="0"/>
              <x14:cfIcon iconSet="5Quarters" iconId="0"/>
              <x14:cfIcon iconSet="5Quarters" iconId="3"/>
              <x14:cfIcon iconSet="4RedToBlack" iconId="0"/>
            </x14:iconSet>
          </x14:cfRule>
          <xm:sqref>E3:E17</xm:sqref>
        </x14:conditionalFormatting>
        <x14:conditionalFormatting xmlns:xm="http://schemas.microsoft.com/office/excel/2006/main">
          <x14:cfRule type="iconSet" priority="1" id="{15A516F3-250D-4CDA-988D-AF4B77A8BB28}">
            <x14:iconSet iconSet="3Stars">
              <x14:cfvo type="percent">
                <xm:f>0</xm:f>
              </x14:cfvo>
              <x14:cfvo type="num">
                <xm:f>60</xm:f>
              </x14:cfvo>
              <x14:cfvo type="num">
                <xm:f>80</xm:f>
              </x14:cfvo>
            </x14:iconSet>
          </x14:cfRule>
          <xm:sqref>D3:D17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I28"/>
  <sheetViews>
    <sheetView workbookViewId="0"/>
  </sheetViews>
  <sheetFormatPr defaultRowHeight="16.5" x14ac:dyDescent="0.3"/>
  <cols>
    <col min="2" max="2" width="11.875" customWidth="1"/>
    <col min="3" max="3" width="11.625" customWidth="1"/>
    <col min="4" max="4" width="13.125" customWidth="1"/>
    <col min="5" max="5" width="12.125" customWidth="1"/>
    <col min="6" max="6" width="12.375" customWidth="1"/>
    <col min="7" max="7" width="12.25" customWidth="1"/>
    <col min="9" max="9" width="12.125" customWidth="1"/>
  </cols>
  <sheetData>
    <row r="2" spans="2:9" ht="20.25" thickBot="1" x14ac:dyDescent="0.35">
      <c r="B2" s="45" t="s">
        <v>96</v>
      </c>
      <c r="C2" s="45"/>
      <c r="D2" s="45"/>
      <c r="E2" s="45"/>
      <c r="F2" s="45"/>
      <c r="G2" s="45"/>
    </row>
    <row r="3" spans="2:9" ht="17.25" thickTop="1" x14ac:dyDescent="0.3"/>
    <row r="5" spans="2:9" x14ac:dyDescent="0.3">
      <c r="G5" s="38">
        <v>45853</v>
      </c>
    </row>
    <row r="7" spans="2:9" x14ac:dyDescent="0.3">
      <c r="B7" s="1" t="s">
        <v>97</v>
      </c>
      <c r="C7" s="1" t="s">
        <v>98</v>
      </c>
      <c r="D7" s="1" t="s">
        <v>156</v>
      </c>
      <c r="E7" s="1" t="s">
        <v>183</v>
      </c>
      <c r="F7" s="1" t="s">
        <v>100</v>
      </c>
      <c r="G7" s="1" t="s">
        <v>18</v>
      </c>
      <c r="I7" s="1" t="s">
        <v>99</v>
      </c>
    </row>
    <row r="8" spans="2:9" x14ac:dyDescent="0.3">
      <c r="B8" s="39" t="s">
        <v>180</v>
      </c>
      <c r="C8" s="39" t="s">
        <v>181</v>
      </c>
      <c r="D8" s="39" t="s">
        <v>182</v>
      </c>
      <c r="E8" s="3">
        <v>50000000</v>
      </c>
      <c r="F8" s="3">
        <v>10000000</v>
      </c>
      <c r="G8" s="3">
        <v>60000000</v>
      </c>
      <c r="I8" s="1" t="s">
        <v>92</v>
      </c>
    </row>
    <row r="9" spans="2:9" x14ac:dyDescent="0.3">
      <c r="B9" s="39"/>
      <c r="C9" s="39"/>
      <c r="D9" s="39"/>
      <c r="E9" s="3"/>
      <c r="F9" s="3"/>
      <c r="G9" s="3"/>
      <c r="I9" s="1" t="s">
        <v>93</v>
      </c>
    </row>
    <row r="10" spans="2:9" x14ac:dyDescent="0.3">
      <c r="B10" s="39"/>
      <c r="C10" s="39"/>
      <c r="D10" s="39"/>
      <c r="E10" s="3"/>
      <c r="F10" s="3"/>
      <c r="G10" s="3"/>
      <c r="I10" s="1" t="s">
        <v>94</v>
      </c>
    </row>
    <row r="11" spans="2:9" x14ac:dyDescent="0.3">
      <c r="B11" s="39"/>
      <c r="C11" s="39"/>
      <c r="D11" s="39"/>
      <c r="E11" s="3"/>
      <c r="F11" s="3"/>
      <c r="G11" s="3"/>
      <c r="I11" s="1" t="s">
        <v>95</v>
      </c>
    </row>
    <row r="12" spans="2:9" x14ac:dyDescent="0.3">
      <c r="B12" s="39"/>
      <c r="C12" s="39"/>
      <c r="D12" s="39"/>
      <c r="E12" s="3"/>
      <c r="F12" s="3"/>
      <c r="G12" s="3"/>
      <c r="I12" s="17" t="s">
        <v>150</v>
      </c>
    </row>
    <row r="13" spans="2:9" x14ac:dyDescent="0.3">
      <c r="B13" s="39"/>
      <c r="C13" s="39"/>
      <c r="D13" s="39"/>
      <c r="E13" s="3"/>
      <c r="F13" s="3"/>
      <c r="G13" s="3"/>
    </row>
    <row r="14" spans="2:9" x14ac:dyDescent="0.3">
      <c r="B14" s="39"/>
      <c r="C14" s="39"/>
      <c r="D14" s="39"/>
      <c r="E14" s="3"/>
      <c r="F14" s="3"/>
      <c r="G14" s="3"/>
    </row>
    <row r="15" spans="2:9" x14ac:dyDescent="0.3">
      <c r="B15" s="39"/>
      <c r="C15" s="39"/>
      <c r="D15" s="39"/>
      <c r="E15" s="3"/>
      <c r="F15" s="3"/>
      <c r="G15" s="3"/>
    </row>
    <row r="16" spans="2:9" x14ac:dyDescent="0.3">
      <c r="B16" s="39"/>
      <c r="C16" s="39"/>
      <c r="D16" s="39"/>
      <c r="E16" s="3"/>
      <c r="F16" s="3"/>
      <c r="G16" s="3"/>
    </row>
    <row r="17" spans="2:7" x14ac:dyDescent="0.3">
      <c r="B17" s="39"/>
      <c r="C17" s="39"/>
      <c r="D17" s="39"/>
      <c r="E17" s="3"/>
      <c r="F17" s="3"/>
      <c r="G17" s="3"/>
    </row>
    <row r="18" spans="2:7" x14ac:dyDescent="0.3">
      <c r="B18" s="39"/>
      <c r="C18" s="39"/>
      <c r="D18" s="39"/>
      <c r="E18" s="3"/>
      <c r="F18" s="3"/>
      <c r="G18" s="3"/>
    </row>
    <row r="19" spans="2:7" x14ac:dyDescent="0.3">
      <c r="B19" s="39"/>
      <c r="C19" s="39"/>
      <c r="D19" s="39"/>
      <c r="E19" s="3"/>
      <c r="F19" s="3"/>
      <c r="G19" s="3"/>
    </row>
    <row r="20" spans="2:7" x14ac:dyDescent="0.3">
      <c r="B20" s="39"/>
      <c r="C20" s="39"/>
      <c r="D20" s="39"/>
      <c r="E20" s="3"/>
      <c r="F20" s="3"/>
      <c r="G20" s="3"/>
    </row>
    <row r="21" spans="2:7" x14ac:dyDescent="0.3">
      <c r="B21" s="39"/>
      <c r="C21" s="39"/>
      <c r="D21" s="39"/>
      <c r="E21" s="3"/>
      <c r="F21" s="3"/>
      <c r="G21" s="3"/>
    </row>
    <row r="22" spans="2:7" x14ac:dyDescent="0.3">
      <c r="B22" s="39"/>
      <c r="C22" s="39"/>
      <c r="D22" s="39"/>
      <c r="E22" s="3"/>
      <c r="F22" s="3"/>
      <c r="G22" s="3"/>
    </row>
    <row r="23" spans="2:7" x14ac:dyDescent="0.3">
      <c r="B23" s="39"/>
      <c r="C23" s="39"/>
      <c r="D23" s="39"/>
      <c r="E23" s="3"/>
      <c r="F23" s="3"/>
      <c r="G23" s="3"/>
    </row>
    <row r="24" spans="2:7" x14ac:dyDescent="0.3">
      <c r="B24" s="39"/>
      <c r="C24" s="39"/>
      <c r="D24" s="39"/>
      <c r="E24" s="3"/>
      <c r="F24" s="3"/>
      <c r="G24" s="3"/>
    </row>
    <row r="25" spans="2:7" x14ac:dyDescent="0.3">
      <c r="B25" s="39"/>
      <c r="C25" s="39"/>
      <c r="D25" s="39"/>
      <c r="E25" s="3"/>
      <c r="F25" s="3"/>
      <c r="G25" s="3"/>
    </row>
    <row r="26" spans="2:7" x14ac:dyDescent="0.3">
      <c r="B26" s="39"/>
      <c r="C26" s="39"/>
      <c r="D26" s="39"/>
      <c r="E26" s="3"/>
      <c r="F26" s="3"/>
      <c r="G26" s="3"/>
    </row>
    <row r="27" spans="2:7" x14ac:dyDescent="0.3">
      <c r="B27" s="39"/>
      <c r="C27" s="39"/>
      <c r="D27" s="39"/>
      <c r="E27" s="3"/>
      <c r="F27" s="3"/>
      <c r="G27" s="3"/>
    </row>
    <row r="28" spans="2:7" x14ac:dyDescent="0.3">
      <c r="B28" s="39"/>
      <c r="C28" s="39"/>
      <c r="D28" s="39"/>
      <c r="E28" s="3"/>
      <c r="F28" s="3"/>
      <c r="G28" s="3"/>
    </row>
  </sheetData>
  <mergeCells count="1">
    <mergeCell ref="B2:G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485775</xdr:colOff>
                <xdr:row>5</xdr:row>
                <xdr:rowOff>28575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순이익합계</vt:lpstr>
      <vt:lpstr>이익률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2021-03-28T21:00:04Z</cp:lastPrinted>
  <dcterms:created xsi:type="dcterms:W3CDTF">2021-03-11T05:14:31Z</dcterms:created>
  <dcterms:modified xsi:type="dcterms:W3CDTF">2023-10-30T08:25:57Z</dcterms:modified>
</cp:coreProperties>
</file>