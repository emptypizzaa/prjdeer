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8C618C3A-CE61-43B2-B2F8-AB94CE00ACF4}" xr6:coauthVersionLast="47" xr6:coauthVersionMax="47" xr10:uidLastSave="{00000000-0000-0000-0000-000000000000}"/>
  <bookViews>
    <workbookView xWindow="5865" yWindow="0" windowWidth="29100" windowHeight="15480" tabRatio="894" xr2:uid="{00000000-000D-0000-FFFF-FFFF00000000}"/>
  </bookViews>
  <sheets>
    <sheet name="기본작업-1" sheetId="1" r:id="rId1"/>
    <sheet name="기본작업-2" sheetId="2" r:id="rId2"/>
    <sheet name="계산작업" sheetId="9" r:id="rId3"/>
    <sheet name="5월제주공항" sheetId="21" r:id="rId4"/>
    <sheet name="분석작업-1" sheetId="20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9"/>
  <definedNames>
    <definedName name="_xlnm._FilterDatabase" localSheetId="0" hidden="1">'기본작업-1'!$A$2:$G$32</definedName>
    <definedName name="_xlnm.Criteria" localSheetId="0">'기본작업-1'!$I$2:$I$3</definedName>
    <definedName name="ExternalData_1" localSheetId="3" hidden="1">'5월제주공항'!$A$3:$I$6</definedName>
    <definedName name="_xlnm.Extract" localSheetId="0">'기본작업-1'!$I$6:$L$6</definedName>
    <definedName name="_xlnm.Print_Area" localSheetId="1">'기본작업-2'!$A$2:$G$32</definedName>
    <definedName name="_xlnm.Print_Titles" localSheetId="1">'기본작업-2'!$2:$2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항공현황_546930a3-5638-4fc0-ad3b-266a89999f1f" name="항공현황" connection="쿼리 - 항공현황"/>
        </x15:modelTables>
        <x15:extLst>
          <ext xmlns:x16="http://schemas.microsoft.com/office/spreadsheetml/2014/11/main" uri="{9835A34E-60A6-4A7C-AAB8-D5F71C897F49}">
            <x16:modelTimeGroupings>
              <x16:modelTimeGrouping tableName="항공현황" columnName="항공월" columnId="항공월">
                <x16:calculatedTimeColumn columnName="항공월(월 인덱스)" columnId="항공월(월 인덱스)" contentType="monthsindex" isSelected="1"/>
                <x16:calculatedTimeColumn columnName="항공월(월)" columnId="항공월(월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9" l="1" a="1"/>
  <c r="H4" i="9"/>
  <c r="H5" i="9" a="1"/>
  <c r="H5" i="9" s="1"/>
  <c r="H6" i="9" a="1"/>
  <c r="H6" i="9"/>
  <c r="H7" i="9" a="1"/>
  <c r="H7" i="9"/>
  <c r="H8" i="9" a="1"/>
  <c r="H8" i="9" s="1"/>
  <c r="H9" i="9" a="1"/>
  <c r="H9" i="9"/>
  <c r="H10" i="9" a="1"/>
  <c r="H10" i="9"/>
  <c r="H11" i="9" a="1"/>
  <c r="H11" i="9"/>
  <c r="H12" i="9" a="1"/>
  <c r="H12" i="9"/>
  <c r="H13" i="9" a="1"/>
  <c r="H13" i="9"/>
  <c r="H14" i="9" a="1"/>
  <c r="H14" i="9" s="1"/>
  <c r="H15" i="9" a="1"/>
  <c r="H15" i="9" s="1"/>
  <c r="H16" i="9" a="1"/>
  <c r="H16" i="9"/>
  <c r="H17" i="9" a="1"/>
  <c r="H17" i="9"/>
  <c r="H18" i="9" a="1"/>
  <c r="H18" i="9" s="1"/>
  <c r="H19" i="9" a="1"/>
  <c r="H19" i="9"/>
  <c r="H20" i="9" a="1"/>
  <c r="H20" i="9"/>
  <c r="H21" i="9" a="1"/>
  <c r="H21" i="9"/>
  <c r="H22" i="9" a="1"/>
  <c r="H22" i="9"/>
  <c r="H23" i="9" a="1"/>
  <c r="H23" i="9"/>
  <c r="H24" i="9" a="1"/>
  <c r="H24" i="9" s="1"/>
  <c r="H25" i="9" a="1"/>
  <c r="H25" i="9" s="1"/>
  <c r="H26" i="9" a="1"/>
  <c r="H26" i="9"/>
  <c r="H27" i="9" a="1"/>
  <c r="H27" i="9"/>
  <c r="H28" i="9" a="1"/>
  <c r="H28" i="9" s="1"/>
  <c r="H29" i="9" a="1"/>
  <c r="H29" i="9"/>
  <c r="H30" i="9" a="1"/>
  <c r="H30" i="9" s="1"/>
  <c r="H3" i="9" a="1"/>
  <c r="H3" i="9" s="1"/>
  <c r="M13" i="9" a="1"/>
  <c r="M13" i="9" s="1"/>
  <c r="O9" i="9" a="1"/>
  <c r="O9" i="9" s="1"/>
  <c r="I4" i="9" a="1"/>
  <c r="I6" i="9" a="1"/>
  <c r="I16" i="9" a="1"/>
  <c r="I26" i="9" a="1"/>
  <c r="I17" i="9" a="1"/>
  <c r="I27" i="9" a="1"/>
  <c r="I8" i="9" a="1"/>
  <c r="I28" i="9" a="1"/>
  <c r="I19" i="9" a="1"/>
  <c r="I20" i="9" a="1"/>
  <c r="I21" i="9" a="1"/>
  <c r="I22" i="9" a="1"/>
  <c r="I13" i="9" a="1"/>
  <c r="I5" i="9" a="1"/>
  <c r="I7" i="9" a="1"/>
  <c r="I18" i="9" a="1"/>
  <c r="I29" i="9" a="1"/>
  <c r="I30" i="9" a="1"/>
  <c r="I24" i="9" a="1"/>
  <c r="I15" i="9" a="1"/>
  <c r="I9" i="9" a="1"/>
  <c r="I10" i="9" a="1"/>
  <c r="I11" i="9" a="1"/>
  <c r="I12" i="9" a="1"/>
  <c r="I23" i="9" a="1"/>
  <c r="I14" i="9" a="1"/>
  <c r="I25" i="9" a="1"/>
  <c r="I3" i="9" a="1"/>
  <c r="I25" i="9" l="1"/>
  <c r="I14" i="9"/>
  <c r="I23" i="9"/>
  <c r="I12" i="9"/>
  <c r="I11" i="9"/>
  <c r="I10" i="9"/>
  <c r="I9" i="9"/>
  <c r="I15" i="9"/>
  <c r="I24" i="9"/>
  <c r="I30" i="9"/>
  <c r="I29" i="9"/>
  <c r="I18" i="9"/>
  <c r="I7" i="9"/>
  <c r="I5" i="9"/>
  <c r="I13" i="9"/>
  <c r="I22" i="9"/>
  <c r="I21" i="9"/>
  <c r="I20" i="9"/>
  <c r="I19" i="9"/>
  <c r="I28" i="9"/>
  <c r="I8" i="9"/>
  <c r="I27" i="9"/>
  <c r="I17" i="9"/>
  <c r="I26" i="9"/>
  <c r="I16" i="9"/>
  <c r="I6" i="9"/>
  <c r="I4" i="9"/>
  <c r="I3" i="9"/>
  <c r="M18" i="9"/>
  <c r="M17" i="9"/>
  <c r="M16" i="9"/>
  <c r="M15" i="9"/>
  <c r="M14" i="9"/>
  <c r="F4" i="9" l="1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" i="9"/>
  <c r="I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60B03F-AE37-4E3A-ABBC-024BB950AAA0}" keepAlive="1" name="ModelConnection_ExternalData_1" description="데이터 모델" type="5" refreshedVersion="7" minRefreshableVersion="5" saveData="1">
    <dbPr connection="Data Model Connection" command="DRILLTHROUGH MAXROWS 1000 SELECT FROM [Model] WHERE ((([Measures].[평균: 여객],[항공현황].[항공월(월)].&amp;[05월]),[항공현황].[출발공항].&amp;[제주])) RETURN [$항공현황].[출발공항],[$항공현황].[공항코드],[$항공현황].[항공월],[$항공현황].[항공편명],[$항공현황].[항공코드],[$항공현황].[여객],[$항공현황].[화물],[$항공현황].[항공월(월)],[$항공현황].[항공월(월 인덱스)]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88E260ED-95E9-4843-90A7-8845BA20C31F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699D8719-421A-4F2F-9538-49B319975E8B}" name="쿼리 - 항공현황" description="통합 문서의 '항공현황' 쿼리에 대한 연결입니다." type="100" refreshedVersion="7" minRefreshableVersion="5">
    <extLst>
      <ext xmlns:x15="http://schemas.microsoft.com/office/spreadsheetml/2010/11/main" uri="{DE250136-89BD-433C-8126-D09CA5730AF9}">
        <x15:connection id="ad1ede06-23a6-4ab9-b842-dd815314a122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<sst xmlns="http://schemas.openxmlformats.org/spreadsheetml/2006/main" count="550" uniqueCount="244">
  <si>
    <t>공항명</t>
  </si>
  <si>
    <t>공항코드</t>
  </si>
  <si>
    <t>항공월</t>
  </si>
  <si>
    <t>항공코드</t>
  </si>
  <si>
    <t>여객</t>
  </si>
  <si>
    <t>화물</t>
  </si>
  <si>
    <t>제주</t>
  </si>
  <si>
    <t>인천</t>
  </si>
  <si>
    <t>김포</t>
  </si>
  <si>
    <t>부산</t>
  </si>
  <si>
    <t>[표1]</t>
  </si>
  <si>
    <t>[표2]</t>
  </si>
  <si>
    <t>[표3]</t>
  </si>
  <si>
    <t>[표4]</t>
  </si>
  <si>
    <t>[표5]</t>
  </si>
  <si>
    <t>구분</t>
  </si>
  <si>
    <t>번호</t>
  </si>
  <si>
    <t>이름</t>
  </si>
  <si>
    <t>성별</t>
  </si>
  <si>
    <t>생년월일</t>
  </si>
  <si>
    <t>나이</t>
  </si>
  <si>
    <t>BMI</t>
  </si>
  <si>
    <t>홍길동</t>
  </si>
  <si>
    <t>신청번호</t>
  </si>
  <si>
    <t>잡지명</t>
  </si>
  <si>
    <t>신청구분</t>
  </si>
  <si>
    <t>구독기간</t>
  </si>
  <si>
    <t>구독완료</t>
  </si>
  <si>
    <t>구독부수</t>
  </si>
  <si>
    <t>구독금액</t>
  </si>
  <si>
    <t>사은품</t>
  </si>
  <si>
    <t>정가</t>
  </si>
  <si>
    <t>신청구분</t>
    <phoneticPr fontId="1" type="noConversion"/>
  </si>
  <si>
    <t>신규</t>
  </si>
  <si>
    <t>재구독</t>
  </si>
  <si>
    <t>구독</t>
  </si>
  <si>
    <t>신청도표</t>
  </si>
  <si>
    <t>1월</t>
  </si>
  <si>
    <t>3월</t>
  </si>
  <si>
    <t>5월</t>
  </si>
  <si>
    <t>7월</t>
  </si>
  <si>
    <t>9월</t>
  </si>
  <si>
    <t>11월</t>
  </si>
  <si>
    <t>우등논술</t>
  </si>
  <si>
    <t>기자원정대</t>
  </si>
  <si>
    <t>기자원정대</t>
    <phoneticPr fontId="1" type="noConversion"/>
  </si>
  <si>
    <t>월간뉴런</t>
  </si>
  <si>
    <t>월간뉴런</t>
    <phoneticPr fontId="1" type="noConversion"/>
  </si>
  <si>
    <t>수학동학</t>
  </si>
  <si>
    <t>수학동학</t>
    <phoneticPr fontId="1" type="noConversion"/>
  </si>
  <si>
    <t>우등논술과 월간뉴런의 구독기간 합계</t>
  </si>
  <si>
    <t>JA001</t>
  </si>
  <si>
    <t>JA002</t>
  </si>
  <si>
    <t>JA003</t>
  </si>
  <si>
    <t>JA004</t>
  </si>
  <si>
    <t>JA005</t>
  </si>
  <si>
    <t>JA006</t>
  </si>
  <si>
    <t>JA007</t>
  </si>
  <si>
    <t>JA008</t>
  </si>
  <si>
    <t>JA009</t>
  </si>
  <si>
    <t>JA010</t>
  </si>
  <si>
    <t>JA011</t>
  </si>
  <si>
    <t>JA012</t>
  </si>
  <si>
    <t>JA013</t>
  </si>
  <si>
    <t>JA014</t>
  </si>
  <si>
    <t>JA015</t>
  </si>
  <si>
    <t>JA016</t>
  </si>
  <si>
    <t>JA017</t>
  </si>
  <si>
    <t>JA018</t>
  </si>
  <si>
    <t>JA019</t>
  </si>
  <si>
    <t>JA020</t>
  </si>
  <si>
    <t>JA021</t>
  </si>
  <si>
    <t>JA022</t>
  </si>
  <si>
    <t>JA023</t>
  </si>
  <si>
    <t>JA024</t>
  </si>
  <si>
    <t>JA025</t>
  </si>
  <si>
    <t>JA026</t>
  </si>
  <si>
    <t>JA027</t>
  </si>
  <si>
    <t>JA037</t>
  </si>
  <si>
    <t>신청일</t>
    <phoneticPr fontId="1" type="noConversion"/>
  </si>
  <si>
    <t>일반검진</t>
    <phoneticPr fontId="1" type="noConversion"/>
  </si>
  <si>
    <t>특수검진</t>
    <phoneticPr fontId="1" type="noConversion"/>
  </si>
  <si>
    <t>학생검진</t>
    <phoneticPr fontId="1" type="noConversion"/>
  </si>
  <si>
    <t>영유아검진</t>
    <phoneticPr fontId="1" type="noConversion"/>
  </si>
  <si>
    <t>종합검진</t>
    <phoneticPr fontId="1" type="noConversion"/>
  </si>
  <si>
    <t>외국인검진</t>
    <phoneticPr fontId="1" type="noConversion"/>
  </si>
  <si>
    <t>일반검진</t>
    <phoneticPr fontId="1" type="noConversion"/>
  </si>
  <si>
    <t>분류</t>
    <phoneticPr fontId="1" type="noConversion"/>
  </si>
  <si>
    <t>분류</t>
    <phoneticPr fontId="1" type="noConversion"/>
  </si>
  <si>
    <t>기타검진</t>
    <phoneticPr fontId="1" type="noConversion"/>
  </si>
  <si>
    <t>남자</t>
    <phoneticPr fontId="1" type="noConversion"/>
  </si>
  <si>
    <t>키</t>
    <phoneticPr fontId="1" type="noConversion"/>
  </si>
  <si>
    <t>몸무게</t>
    <phoneticPr fontId="1" type="noConversion"/>
  </si>
  <si>
    <t>오늘 날짜 :</t>
    <phoneticPr fontId="1" type="noConversion"/>
  </si>
  <si>
    <t>아파트동호수</t>
    <phoneticPr fontId="1" type="noConversion"/>
  </si>
  <si>
    <t>연락처</t>
    <phoneticPr fontId="1" type="noConversion"/>
  </si>
  <si>
    <t>이름</t>
    <phoneticPr fontId="1" type="noConversion"/>
  </si>
  <si>
    <t>전기사용량</t>
    <phoneticPr fontId="1" type="noConversion"/>
  </si>
  <si>
    <t>수도사용량</t>
    <phoneticPr fontId="1" type="noConversion"/>
  </si>
  <si>
    <t>김민지</t>
    <phoneticPr fontId="1" type="noConversion"/>
  </si>
  <si>
    <t>김순자</t>
    <phoneticPr fontId="1" type="noConversion"/>
  </si>
  <si>
    <t>이지현</t>
    <phoneticPr fontId="1" type="noConversion"/>
  </si>
  <si>
    <t>이지훈</t>
    <phoneticPr fontId="1" type="noConversion"/>
  </si>
  <si>
    <t>최미경</t>
    <phoneticPr fontId="1" type="noConversion"/>
  </si>
  <si>
    <t>한주원</t>
    <phoneticPr fontId="1" type="noConversion"/>
  </si>
  <si>
    <t>황서연</t>
    <phoneticPr fontId="1" type="noConversion"/>
  </si>
  <si>
    <t>국영수</t>
    <phoneticPr fontId="1" type="noConversion"/>
  </si>
  <si>
    <t>박동현</t>
    <phoneticPr fontId="1" type="noConversion"/>
  </si>
  <si>
    <t>유지민</t>
    <phoneticPr fontId="1" type="noConversion"/>
  </si>
  <si>
    <t>홍준호</t>
    <phoneticPr fontId="1" type="noConversion"/>
  </si>
  <si>
    <t>강서윤</t>
    <phoneticPr fontId="1" type="noConversion"/>
  </si>
  <si>
    <t>김하준</t>
    <phoneticPr fontId="1" type="noConversion"/>
  </si>
  <si>
    <t>신미숙</t>
    <phoneticPr fontId="1" type="noConversion"/>
  </si>
  <si>
    <t>010-2222-4444</t>
    <phoneticPr fontId="1" type="noConversion"/>
  </si>
  <si>
    <t>010-3456-9874</t>
    <phoneticPr fontId="1" type="noConversion"/>
  </si>
  <si>
    <t>010-2587-9632</t>
    <phoneticPr fontId="1" type="noConversion"/>
  </si>
  <si>
    <t>010-8520-3697</t>
    <phoneticPr fontId="1" type="noConversion"/>
  </si>
  <si>
    <t>010-9134-7850</t>
    <phoneticPr fontId="1" type="noConversion"/>
  </si>
  <si>
    <t>010-7412-8520</t>
    <phoneticPr fontId="1" type="noConversion"/>
  </si>
  <si>
    <t>010-9510-3574</t>
    <phoneticPr fontId="1" type="noConversion"/>
  </si>
  <si>
    <t>010-4561-3217</t>
    <phoneticPr fontId="1" type="noConversion"/>
  </si>
  <si>
    <t>010-7891-6543</t>
    <phoneticPr fontId="1" type="noConversion"/>
  </si>
  <si>
    <t>010-3697-7410</t>
    <phoneticPr fontId="1" type="noConversion"/>
  </si>
  <si>
    <t>010-7418-8574</t>
    <phoneticPr fontId="1" type="noConversion"/>
  </si>
  <si>
    <t>010-4862-9571</t>
    <phoneticPr fontId="1" type="noConversion"/>
  </si>
  <si>
    <t>010-3678-9742</t>
    <phoneticPr fontId="1" type="noConversion"/>
  </si>
  <si>
    <t>010-3020-9874</t>
    <phoneticPr fontId="1" type="noConversion"/>
  </si>
  <si>
    <t>[표2]</t>
    <phoneticPr fontId="1" type="noConversion"/>
  </si>
  <si>
    <t>현역</t>
    <phoneticPr fontId="1" type="noConversion"/>
  </si>
  <si>
    <t>보충역</t>
    <phoneticPr fontId="1" type="noConversion"/>
  </si>
  <si>
    <t>전시근로역</t>
    <phoneticPr fontId="1" type="noConversion"/>
  </si>
  <si>
    <t>병역 판정검사 현황</t>
    <phoneticPr fontId="1" type="noConversion"/>
  </si>
  <si>
    <t>출발공항</t>
  </si>
  <si>
    <t>항공편명</t>
  </si>
  <si>
    <t>CJU</t>
  </si>
  <si>
    <t>KE021</t>
  </si>
  <si>
    <t>GMPKE021</t>
  </si>
  <si>
    <t>김해</t>
  </si>
  <si>
    <t>PUS</t>
  </si>
  <si>
    <t>GMPBX074</t>
  </si>
  <si>
    <t>대구</t>
  </si>
  <si>
    <t>TAE</t>
  </si>
  <si>
    <t>JL055</t>
  </si>
  <si>
    <t>GMPJL055</t>
  </si>
  <si>
    <t>광주</t>
  </si>
  <si>
    <t>KWJ</t>
  </si>
  <si>
    <t>KE056</t>
  </si>
  <si>
    <t>CJUKE056</t>
  </si>
  <si>
    <t>KWJTW061</t>
  </si>
  <si>
    <t>KE035</t>
  </si>
  <si>
    <t>CJUKE035</t>
  </si>
  <si>
    <t>GMP</t>
  </si>
  <si>
    <t>KE022</t>
  </si>
  <si>
    <t>CJUKE022</t>
  </si>
  <si>
    <t>PUSCJ041</t>
  </si>
  <si>
    <t>CJUOZ046</t>
  </si>
  <si>
    <t>TAEBX086</t>
  </si>
  <si>
    <t>GMPTW064</t>
  </si>
  <si>
    <t>PUSTW042</t>
  </si>
  <si>
    <t>JL081</t>
  </si>
  <si>
    <t>GMPJL081</t>
  </si>
  <si>
    <t>KWJBX072</t>
  </si>
  <si>
    <t>JL051</t>
  </si>
  <si>
    <t>PUSJL051</t>
  </si>
  <si>
    <t>GMPTW076</t>
  </si>
  <si>
    <t>GMPBX065</t>
  </si>
  <si>
    <t>CJUOZ044</t>
  </si>
  <si>
    <t>GMPBX084</t>
  </si>
  <si>
    <t>RS071</t>
  </si>
  <si>
    <t>KWJRS071</t>
  </si>
  <si>
    <t>GMPOZ031</t>
  </si>
  <si>
    <t>JL052</t>
  </si>
  <si>
    <t>PUSJL052</t>
  </si>
  <si>
    <t>JL066</t>
  </si>
  <si>
    <t>GMPJL066</t>
  </si>
  <si>
    <t>KWJTW075</t>
  </si>
  <si>
    <t>KE054</t>
  </si>
  <si>
    <t>CJUKE054</t>
  </si>
  <si>
    <t>CJUOZ032</t>
  </si>
  <si>
    <t>KE082</t>
  </si>
  <si>
    <t>TAEKE082</t>
  </si>
  <si>
    <t>CJU7C034</t>
  </si>
  <si>
    <t>CJUOZ045</t>
  </si>
  <si>
    <t>KWJC7062</t>
  </si>
  <si>
    <t>조건</t>
    <phoneticPr fontId="1" type="noConversion"/>
  </si>
  <si>
    <t>4J041</t>
  </si>
  <si>
    <t>구독신청일</t>
    <phoneticPr fontId="1" type="noConversion"/>
  </si>
  <si>
    <t>항공편</t>
  </si>
  <si>
    <t>INC</t>
  </si>
  <si>
    <t>L242</t>
  </si>
  <si>
    <t>INCL242</t>
  </si>
  <si>
    <t>BUS</t>
  </si>
  <si>
    <t>GIP4500</t>
  </si>
  <si>
    <t>JEJ</t>
  </si>
  <si>
    <t>INC1729</t>
  </si>
  <si>
    <t>K384</t>
  </si>
  <si>
    <t>INCK384</t>
  </si>
  <si>
    <t>BUS5126</t>
  </si>
  <si>
    <t>JEJ7586</t>
  </si>
  <si>
    <t>JEJ4465</t>
  </si>
  <si>
    <t>GIP</t>
  </si>
  <si>
    <t>K022</t>
  </si>
  <si>
    <t>GIPK022</t>
  </si>
  <si>
    <t>INC1685</t>
  </si>
  <si>
    <t>GIP6938</t>
  </si>
  <si>
    <t>INC1355</t>
  </si>
  <si>
    <t>GIP2892</t>
  </si>
  <si>
    <t>BUS6187</t>
  </si>
  <si>
    <t>BUS1902</t>
  </si>
  <si>
    <t>K577</t>
  </si>
  <si>
    <t>JEJK577</t>
  </si>
  <si>
    <t>L060</t>
  </si>
  <si>
    <t>JEJL060</t>
  </si>
  <si>
    <t>S501</t>
  </si>
  <si>
    <t>BUSS501</t>
  </si>
  <si>
    <t>GIP5383</t>
  </si>
  <si>
    <t>BUS7743</t>
  </si>
  <si>
    <t>INC7492</t>
  </si>
  <si>
    <t>GIP2318</t>
  </si>
  <si>
    <t>INC6181</t>
  </si>
  <si>
    <t>2022년</t>
    <phoneticPr fontId="1" type="noConversion"/>
  </si>
  <si>
    <t>2021년</t>
    <phoneticPr fontId="1" type="noConversion"/>
  </si>
  <si>
    <t>05월</t>
  </si>
  <si>
    <t>06월</t>
  </si>
  <si>
    <t>07월</t>
  </si>
  <si>
    <t>전체 평균: 여객</t>
  </si>
  <si>
    <t>평균: 여객</t>
  </si>
  <si>
    <t>전체 평균: 화물</t>
  </si>
  <si>
    <t>평균: 화물</t>
  </si>
  <si>
    <t>값</t>
  </si>
  <si>
    <t>항공월(월)</t>
  </si>
  <si>
    <t>항공현황[출발공항]</t>
  </si>
  <si>
    <t>항공현황[공항코드]</t>
  </si>
  <si>
    <t>항공현황[항공월]</t>
  </si>
  <si>
    <t>항공현황[항공편명]</t>
  </si>
  <si>
    <t>항공현황[항공코드]</t>
  </si>
  <si>
    <t>항공현황[여객]</t>
  </si>
  <si>
    <t>항공현황[화물]</t>
  </si>
  <si>
    <t>항공현황[항공월(월 인덱스)]</t>
  </si>
  <si>
    <t>항공현황[항공월(월)]</t>
  </si>
  <si>
    <t>2031</t>
  </si>
  <si>
    <t>평균: 여객, 05월, 제주(처음 1000행)에 대한 데이터가 반환되었습니다.</t>
  </si>
  <si>
    <t>2023년</t>
  </si>
  <si>
    <t>2024년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</si>
</sst>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\~\ #&quot;월&quot;"/>
    <numFmt numFmtId="177" formatCode="[&gt;=10000]0&quot;단지 &quot;0000&quot;호&quot;;0&quot;단지 &quot;000&quot;호&quot;"/>
    <numFmt numFmtId="178" formatCode="[Red][&gt;=1000]\★#,##0;[Blue][&lt;150]\☆0;0"/>
    <numFmt numFmtId="179" formatCode="#,##0.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1" applyNumberFormat="1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numFmt numFmtId="19" formatCode="yyyy/mm/dd"/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병역 판정검사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'기타작업-1'!$B$6</c:f>
              <c:strCache>
                <c:ptCount val="1"/>
                <c:pt idx="0">
                  <c:v>보충역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'기타작업-1'!$D$4:$F$4</c:f>
              <c:strCache>
                <c:ptCount val="3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</c:strCache>
            </c:strRef>
          </c:cat>
          <c:val>
            <c:numRef>
              <c:f>'기타작업-1'!$D$6:$F$6</c:f>
              <c:numCache>
                <c:formatCode>_(* #,##0_);_(* \(#,##0\);_(* "-"_);_(@_)</c:formatCode>
                <c:ptCount val="3"/>
                <c:pt idx="0">
                  <c:v>3592</c:v>
                </c:pt>
                <c:pt idx="1">
                  <c:v>2621</c:v>
                </c:pt>
                <c:pt idx="2">
                  <c:v>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66-4B62-9984-1342FF5018E3}"/>
            </c:ext>
          </c:extLst>
        </c:ser>
        <c:ser>
          <c:idx val="0"/>
          <c:order val="1"/>
          <c:tx>
            <c:strRef>
              <c:f>'기타작업-1'!$B$5</c:f>
              <c:strCache>
                <c:ptCount val="1"/>
                <c:pt idx="0">
                  <c:v>현역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66-4B62-9984-1342FF5018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'기타작업-1'!$D$4:$F$4</c:f>
              <c:strCache>
                <c:ptCount val="3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</c:strCache>
            </c:strRef>
          </c:cat>
          <c:val>
            <c:numRef>
              <c:f>'기타작업-1'!$D$5:$F$5</c:f>
              <c:numCache>
                <c:formatCode>_(* #,##0_);_(* \(#,##0\);_(* "-"_);_(@_)</c:formatCode>
                <c:ptCount val="3"/>
                <c:pt idx="0">
                  <c:v>3248</c:v>
                </c:pt>
                <c:pt idx="1">
                  <c:v>3550</c:v>
                </c:pt>
                <c:pt idx="2">
                  <c:v>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B62-9984-1342FF501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50791839"/>
        <c:axId val="1750798079"/>
      </c:barChart>
      <c:lineChart>
        <c:grouping val="standard"/>
        <c:varyColors val="0"/>
        <c:ser>
          <c:idx val="2"/>
          <c:order val="2"/>
          <c:tx>
            <c:strRef>
              <c:f>'기타작업-1'!$B$7</c:f>
              <c:strCache>
                <c:ptCount val="1"/>
                <c:pt idx="0">
                  <c:v>전시근로역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'기타작업-1'!$D$4:$F$4</c:f>
              <c:strCache>
                <c:ptCount val="3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</c:strCache>
            </c:strRef>
          </c:cat>
          <c:val>
            <c:numRef>
              <c:f>'기타작업-1'!$D$7:$F$7</c:f>
              <c:numCache>
                <c:formatCode>_(* #,##0_);_(* \(#,##0\);_(* "-"_);_(@_)</c:formatCode>
                <c:ptCount val="3"/>
                <c:pt idx="0">
                  <c:v>1150</c:v>
                </c:pt>
                <c:pt idx="1">
                  <c:v>2750</c:v>
                </c:pt>
                <c:pt idx="2">
                  <c:v>1820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66-4B62-9984-1342FF501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0791839"/>
        <c:axId val="1750798079"/>
      </c:lineChart>
      <c:catAx>
        <c:axId val="1750791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연도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0798079"/>
        <c:crosses val="autoZero"/>
        <c:auto val="1"/>
        <c:lblAlgn val="ctr"/>
        <c:lblOffset val="100"/>
        <c:noMultiLvlLbl val="0"/>
      </c:catAx>
      <c:valAx>
        <c:axId val="175079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0791839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9</xdr:col>
      <xdr:colOff>0</xdr:colOff>
      <xdr:row>25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4301EF1-A79A-46C5-A54C-D36AFE8BA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아파트동호수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전기사용량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19050</xdr:colOff>
          <xdr:row>3</xdr:row>
          <xdr:rowOff>28575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041.562104861114" backgroundQuery="1" createdVersion="7" refreshedVersion="7" minRefreshableVersion="3" recordCount="0" supportSubquery="1" supportAdvancedDrill="1" xr:uid="{80C1E47E-F44D-488C-A7F6-80E295C8977D}">
  <cacheSource type="external" connectionId="2"/>
  <cacheFields count="4">
    <cacheField name="[항공현황].[출발공항].[출발공항]" caption="출발공항" numFmtId="0" level="1">
      <sharedItems count="5">
        <s v="광주"/>
        <s v="김포"/>
        <s v="김해"/>
        <s v="대구"/>
        <s v="제주"/>
      </sharedItems>
    </cacheField>
    <cacheField name="[항공현황].[항공월(월)].[항공월(월)]" caption="항공월(월)" numFmtId="0" hierarchy="7" level="1">
      <sharedItems count="3">
        <s v="05월"/>
        <s v="06월"/>
        <s v="07월"/>
      </sharedItems>
    </cacheField>
    <cacheField name="[Measures].[평균: 여객]" caption="평균: 여객" numFmtId="0" hierarchy="13" level="32767"/>
    <cacheField name="[Measures].[평균: 화물]" caption="평균: 화물" numFmtId="0" hierarchy="14" level="32767"/>
  </cacheFields>
  <cacheHierarchies count="15">
    <cacheHierarchy uniqueName="[항공현황].[출발공항]" caption="출발공항" attribute="1" defaultMemberUniqueName="[항공현황].[출발공항].[All]" allUniqueName="[항공현황].[출발공항].[All]" dimensionUniqueName="[항공현황]" displayFolder="" count="2" memberValueDatatype="130" unbalanced="0">
      <fieldsUsage count="2">
        <fieldUsage x="-1"/>
        <fieldUsage x="0"/>
      </fieldsUsage>
    </cacheHierarchy>
    <cacheHierarchy uniqueName="[항공현황].[공항코드]" caption="공항코드" attribute="1" defaultMemberUniqueName="[항공현황].[공항코드].[All]" allUniqueName="[항공현황].[공항코드].[All]" dimensionUniqueName="[항공현황]" displayFolder="" count="0" memberValueDatatype="130" unbalanced="0"/>
    <cacheHierarchy uniqueName="[항공현황].[항공월]" caption="항공월" attribute="1" time="1" defaultMemberUniqueName="[항공현황].[항공월].[All]" allUniqueName="[항공현황].[항공월].[All]" dimensionUniqueName="[항공현황]" displayFolder="" count="0" memberValueDatatype="7" unbalanced="0"/>
    <cacheHierarchy uniqueName="[항공현황].[항공편명]" caption="항공편명" attribute="1" defaultMemberUniqueName="[항공현황].[항공편명].[All]" allUniqueName="[항공현황].[항공편명].[All]" dimensionUniqueName="[항공현황]" displayFolder="" count="0" memberValueDatatype="130" unbalanced="0"/>
    <cacheHierarchy uniqueName="[항공현황].[항공코드]" caption="항공코드" attribute="1" defaultMemberUniqueName="[항공현황].[항공코드].[All]" allUniqueName="[항공현황].[항공코드].[All]" dimensionUniqueName="[항공현황]" displayFolder="" count="0" memberValueDatatype="130" unbalanced="0"/>
    <cacheHierarchy uniqueName="[항공현황].[여객]" caption="여객" attribute="1" defaultMemberUniqueName="[항공현황].[여객].[All]" allUniqueName="[항공현황].[여객].[All]" dimensionUniqueName="[항공현황]" displayFolder="" count="0" memberValueDatatype="20" unbalanced="0"/>
    <cacheHierarchy uniqueName="[항공현황].[화물]" caption="화물" attribute="1" defaultMemberUniqueName="[항공현황].[화물].[All]" allUniqueName="[항공현황].[화물].[All]" dimensionUniqueName="[항공현황]" displayFolder="" count="0" memberValueDatatype="20" unbalanced="0"/>
    <cacheHierarchy uniqueName="[항공현황].[항공월(월)]" caption="항공월(월)" attribute="1" defaultMemberUniqueName="[항공현황].[항공월(월)].[All]" allUniqueName="[항공현황].[항공월(월)].[All]" dimensionUniqueName="[항공현황]" displayFolder="" count="2" memberValueDatatype="130" unbalanced="0">
      <fieldsUsage count="2">
        <fieldUsage x="-1"/>
        <fieldUsage x="1"/>
      </fieldsUsage>
    </cacheHierarchy>
    <cacheHierarchy uniqueName="[항공현황].[항공월(월 인덱스)]" caption="항공월(월 인덱스)" attribute="1" defaultMemberUniqueName="[항공현황].[항공월(월 인덱스)].[All]" allUniqueName="[항공현황].[항공월(월 인덱스)].[All]" dimensionUniqueName="[항공현황]" displayFolder="" count="0" memberValueDatatype="20" unbalanced="0" hidden="1"/>
    <cacheHierarchy uniqueName="[Measures].[__XL_Count 항공현황]" caption="__XL_Count 항공현황" measure="1" displayFolder="" measureGroup="항공현황" count="0" hidden="1"/>
    <cacheHierarchy uniqueName="[Measures].[__No measures defined]" caption="__No measures defined" measure="1" displayFolder="" count="0" hidden="1"/>
    <cacheHierarchy uniqueName="[Measures].[합계: 여객]" caption="합계: 여객" measure="1" displayFolder="" measureGroup="항공현황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합계: 화물]" caption="합계: 화물" measure="1" displayFolder="" measureGroup="항공현황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평균: 여객]" caption="평균: 여객" measure="1" displayFolder="" measureGroup="항공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평균: 화물]" caption="평균: 화물" measure="1" displayFolder="" measureGroup="항공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항공현황" uniqueName="[항공현황]" caption="항공현황"/>
  </dimensions>
  <measureGroups count="1">
    <measureGroup name="항공현황" caption="항공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D9E9B9-1432-4675-849E-74A4FB4FD682}" name="피벗 테이블2" cacheId="0" dataOnRows="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B4:H16" firstHeaderRow="1" firstDataRow="2" firstDataCol="2"/>
  <pivotFields count="4">
    <pivotField axis="axisCol" compact="0" allDrilled="1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dataField="1" compact="0" subtotalTop="0" showAll="0" defaultSubtotal="0"/>
    <pivotField dataField="1" compact="0" subtotalTop="0" showAll="0" defaultSubtotal="0"/>
  </pivotFields>
  <rowFields count="2">
    <field x="1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2">
    <dataField name="평균: 여객" fld="2" subtotal="average" baseField="1" baseItem="0" numFmtId="179"/>
    <dataField name="평균: 화물" fld="3" subtotal="average" baseField="1" baseItem="0" numFmtId="179"/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평균: 여객"/>
    <pivotHierarchy dragToData="1" caption="평균: 화물"/>
  </pivotHierarchies>
  <pivotTableStyleInfo name="PivotStyleMedium14" showRowHeaders="1" showColHeaders="1" showRowStripes="0" showColStripes="0" showLastColumn="1"/>
  <rowHierarchiesUsage count="2">
    <rowHierarchyUsage hierarchyUsage="7"/>
    <rowHierarchyUsage hierarchyUsage="-2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쿼리 - 항공현황">
        <x15:activeTabTopLevelEntity name="[항공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D97068C-108C-4785-B291-8A2BD9A3C918}" autoFormatId="16" applyNumberFormats="0" applyBorderFormats="0" applyFontFormats="0" applyPatternFormats="0" applyAlignmentFormats="0" applyWidthHeightFormats="0">
  <queryTableRefresh nextId="10">
    <queryTableFields count="9">
      <queryTableField id="1" name="항공현황[출발공항]" tableColumnId="1"/>
      <queryTableField id="2" name="항공현황[공항코드]" tableColumnId="2"/>
      <queryTableField id="3" name="항공현황[항공월]" tableColumnId="3"/>
      <queryTableField id="4" name="항공현황[항공편명]" tableColumnId="4"/>
      <queryTableField id="5" name="항공현황[항공코드]" tableColumnId="5"/>
      <queryTableField id="6" name="항공현황[여객]" tableColumnId="6"/>
      <queryTableField id="7" name="항공현황[화물]" tableColumnId="7"/>
      <queryTableField id="8" name="항공현황[항공월(월)]" tableColumnId="8"/>
      <queryTableField id="9" name="항공현황[항공월(월 인덱스)]" tableColumnId="9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926A7F-9E20-4BF7-BC20-364269E500E4}" name="표_ExternalData_1" displayName="표_ExternalData_1" ref="A3:I6" tableType="queryTable" totalsRowShown="0">
  <autoFilter ref="A3:I6" xr:uid="{42926A7F-9E20-4BF7-BC20-364269E500E4}"/>
  <tableColumns count="9">
    <tableColumn id="1" xr3:uid="{5A864193-50B9-49A1-B4C1-59D782DF4F92}" uniqueName="1" name="항공현황[출발공항]" queryTableFieldId="1"/>
    <tableColumn id="2" xr3:uid="{B4A1729D-4226-4632-B2B3-D8E5C9A08838}" uniqueName="2" name="항공현황[공항코드]" queryTableFieldId="2"/>
    <tableColumn id="3" xr3:uid="{08FAAEB4-FBB5-4788-829C-CA0265869BD7}" uniqueName="3" name="항공현황[항공월]" queryTableFieldId="3" dataDxfId="0"/>
    <tableColumn id="4" xr3:uid="{6C55D662-0CDD-4773-BCB8-CE602C104E85}" uniqueName="4" name="항공현황[항공편명]" queryTableFieldId="4"/>
    <tableColumn id="5" xr3:uid="{3BC3C75A-6120-44F5-948A-0947761C7367}" uniqueName="5" name="항공현황[항공코드]" queryTableFieldId="5"/>
    <tableColumn id="6" xr3:uid="{965642C4-62D8-4519-B0EA-5324782E10C0}" uniqueName="6" name="항공현황[여객]" queryTableFieldId="6"/>
    <tableColumn id="7" xr3:uid="{FEFFD5FE-6633-4067-8C10-1282D794CBF5}" uniqueName="7" name="항공현황[화물]" queryTableFieldId="7"/>
    <tableColumn id="8" xr3:uid="{4B0A4DFF-1F41-4CC1-8415-620BECF64837}" uniqueName="8" name="항공현황[항공월(월)]" queryTableFieldId="8"/>
    <tableColumn id="9" xr3:uid="{B5FC832C-8842-4820-9ED0-098130239818}" uniqueName="9" name="항공현황[항공월(월 인덱스)]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32"/>
  <sheetViews>
    <sheetView tabSelected="1" workbookViewId="0"/>
  </sheetViews>
  <sheetFormatPr defaultRowHeight="16.5" x14ac:dyDescent="0.3"/>
  <cols>
    <col min="5" max="5" width="11.125" customWidth="1"/>
  </cols>
  <sheetData>
    <row r="2" spans="1:12" x14ac:dyDescent="0.3">
      <c r="A2" s="2" t="s">
        <v>132</v>
      </c>
      <c r="B2" s="2" t="s">
        <v>1</v>
      </c>
      <c r="C2" s="2" t="s">
        <v>2</v>
      </c>
      <c r="D2" s="2" t="s">
        <v>133</v>
      </c>
      <c r="E2" s="2" t="s">
        <v>3</v>
      </c>
      <c r="F2" s="2" t="s">
        <v>4</v>
      </c>
      <c r="G2" s="2" t="s">
        <v>5</v>
      </c>
      <c r="I2" s="11" t="s">
        <v>184</v>
      </c>
    </row>
    <row r="3" spans="1:12" x14ac:dyDescent="0.3">
      <c r="A3" s="2" t="s">
        <v>6</v>
      </c>
      <c r="B3" s="2" t="s">
        <v>134</v>
      </c>
      <c r="C3" s="2">
        <v>2025.02</v>
      </c>
      <c r="D3" s="2" t="s">
        <v>135</v>
      </c>
      <c r="E3" s="2" t="s">
        <v>136</v>
      </c>
      <c r="F3" s="3">
        <v>5324</v>
      </c>
      <c r="G3" s="3">
        <v>954</v>
      </c>
      <c r="I3" t="b">
        <f>NOT(ISNUMBER(D3))</f>
        <v>1</v>
      </c>
    </row>
    <row r="4" spans="1:12" x14ac:dyDescent="0.3">
      <c r="A4" s="2" t="s">
        <v>137</v>
      </c>
      <c r="B4" s="2" t="s">
        <v>138</v>
      </c>
      <c r="C4" s="2">
        <v>2025.07</v>
      </c>
      <c r="D4" s="2">
        <v>1074</v>
      </c>
      <c r="E4" s="2" t="s">
        <v>139</v>
      </c>
      <c r="F4" s="3">
        <v>6512</v>
      </c>
      <c r="G4" s="3">
        <v>3520</v>
      </c>
    </row>
    <row r="5" spans="1:12" x14ac:dyDescent="0.3">
      <c r="A5" s="2" t="s">
        <v>140</v>
      </c>
      <c r="B5" s="2" t="s">
        <v>141</v>
      </c>
      <c r="C5" s="2">
        <v>2025.05</v>
      </c>
      <c r="D5" s="2" t="s">
        <v>142</v>
      </c>
      <c r="E5" s="2" t="s">
        <v>143</v>
      </c>
      <c r="F5" s="3">
        <v>1962</v>
      </c>
      <c r="G5" s="3">
        <v>1380</v>
      </c>
    </row>
    <row r="6" spans="1:12" x14ac:dyDescent="0.3">
      <c r="A6" s="2" t="s">
        <v>144</v>
      </c>
      <c r="B6" s="2" t="s">
        <v>145</v>
      </c>
      <c r="C6" s="2">
        <v>2025.05</v>
      </c>
      <c r="D6" s="2" t="s">
        <v>146</v>
      </c>
      <c r="E6" s="2" t="s">
        <v>147</v>
      </c>
      <c r="F6" s="3">
        <v>1235</v>
      </c>
      <c r="G6" s="3">
        <v>325</v>
      </c>
      <c r="I6" s="2" t="s">
        <v>2</v>
      </c>
      <c r="J6" s="2" t="s">
        <v>133</v>
      </c>
      <c r="K6" s="2" t="s">
        <v>4</v>
      </c>
      <c r="L6" s="2" t="s">
        <v>5</v>
      </c>
    </row>
    <row r="7" spans="1:12" x14ac:dyDescent="0.3">
      <c r="A7" s="2" t="s">
        <v>6</v>
      </c>
      <c r="B7" s="2" t="s">
        <v>134</v>
      </c>
      <c r="C7" s="2">
        <v>2025.06</v>
      </c>
      <c r="D7" s="2">
        <v>3061</v>
      </c>
      <c r="E7" s="2" t="s">
        <v>148</v>
      </c>
      <c r="F7" s="3">
        <v>1986</v>
      </c>
      <c r="G7" s="3">
        <v>1010</v>
      </c>
      <c r="I7" s="2">
        <v>2025.02</v>
      </c>
      <c r="J7" s="2" t="s">
        <v>135</v>
      </c>
      <c r="K7" s="3">
        <v>5324</v>
      </c>
      <c r="L7" s="3">
        <v>954</v>
      </c>
    </row>
    <row r="8" spans="1:12" x14ac:dyDescent="0.3">
      <c r="A8" s="2" t="s">
        <v>140</v>
      </c>
      <c r="B8" s="2" t="s">
        <v>141</v>
      </c>
      <c r="C8" s="2">
        <v>2025.03</v>
      </c>
      <c r="D8" s="2" t="s">
        <v>149</v>
      </c>
      <c r="E8" s="2" t="s">
        <v>150</v>
      </c>
      <c r="F8" s="3">
        <v>1594</v>
      </c>
      <c r="G8" s="3">
        <v>899</v>
      </c>
      <c r="I8" s="2">
        <v>2025.05</v>
      </c>
      <c r="J8" s="2" t="s">
        <v>142</v>
      </c>
      <c r="K8" s="3">
        <v>1962</v>
      </c>
      <c r="L8" s="3">
        <v>1380</v>
      </c>
    </row>
    <row r="9" spans="1:12" x14ac:dyDescent="0.3">
      <c r="A9" s="2" t="s">
        <v>8</v>
      </c>
      <c r="B9" s="2" t="s">
        <v>151</v>
      </c>
      <c r="C9" s="2">
        <v>2025.02</v>
      </c>
      <c r="D9" s="2" t="s">
        <v>152</v>
      </c>
      <c r="E9" s="2" t="s">
        <v>153</v>
      </c>
      <c r="F9" s="3">
        <v>5428</v>
      </c>
      <c r="G9" s="3">
        <v>2410</v>
      </c>
      <c r="I9" s="2">
        <v>2025.05</v>
      </c>
      <c r="J9" s="2" t="s">
        <v>146</v>
      </c>
      <c r="K9" s="3">
        <v>1235</v>
      </c>
      <c r="L9" s="3">
        <v>325</v>
      </c>
    </row>
    <row r="10" spans="1:12" x14ac:dyDescent="0.3">
      <c r="A10" s="2" t="s">
        <v>6</v>
      </c>
      <c r="B10" s="2" t="s">
        <v>134</v>
      </c>
      <c r="C10" s="2">
        <v>2025.04</v>
      </c>
      <c r="D10" s="2" t="s">
        <v>185</v>
      </c>
      <c r="E10" s="2" t="s">
        <v>154</v>
      </c>
      <c r="F10" s="3">
        <v>3856</v>
      </c>
      <c r="G10" s="3">
        <v>842</v>
      </c>
      <c r="I10" s="2">
        <v>2025.03</v>
      </c>
      <c r="J10" s="2" t="s">
        <v>149</v>
      </c>
      <c r="K10" s="3">
        <v>1594</v>
      </c>
      <c r="L10" s="3">
        <v>899</v>
      </c>
    </row>
    <row r="11" spans="1:12" x14ac:dyDescent="0.3">
      <c r="A11" s="2" t="s">
        <v>144</v>
      </c>
      <c r="B11" s="2" t="s">
        <v>145</v>
      </c>
      <c r="C11" s="2">
        <v>2025.04</v>
      </c>
      <c r="D11" s="2">
        <v>2046</v>
      </c>
      <c r="E11" s="2" t="s">
        <v>155</v>
      </c>
      <c r="F11" s="3">
        <v>1755</v>
      </c>
      <c r="G11" s="3">
        <v>436</v>
      </c>
      <c r="I11" s="2">
        <v>2025.02</v>
      </c>
      <c r="J11" s="2" t="s">
        <v>152</v>
      </c>
      <c r="K11" s="3">
        <v>5428</v>
      </c>
      <c r="L11" s="3">
        <v>2410</v>
      </c>
    </row>
    <row r="12" spans="1:12" x14ac:dyDescent="0.3">
      <c r="A12" s="2" t="s">
        <v>144</v>
      </c>
      <c r="B12" s="2" t="s">
        <v>145</v>
      </c>
      <c r="C12" s="2">
        <v>2025.08</v>
      </c>
      <c r="D12" s="2">
        <v>1086</v>
      </c>
      <c r="E12" s="2" t="s">
        <v>156</v>
      </c>
      <c r="F12" s="3">
        <v>1520</v>
      </c>
      <c r="G12" s="3">
        <v>425</v>
      </c>
      <c r="I12" s="2">
        <v>2025.04</v>
      </c>
      <c r="J12" s="2" t="s">
        <v>185</v>
      </c>
      <c r="K12" s="3">
        <v>3856</v>
      </c>
      <c r="L12" s="3">
        <v>842</v>
      </c>
    </row>
    <row r="13" spans="1:12" x14ac:dyDescent="0.3">
      <c r="A13" s="2" t="s">
        <v>137</v>
      </c>
      <c r="B13" s="2" t="s">
        <v>138</v>
      </c>
      <c r="C13" s="2">
        <v>2025.06</v>
      </c>
      <c r="D13" s="2">
        <v>3064</v>
      </c>
      <c r="E13" s="2" t="s">
        <v>157</v>
      </c>
      <c r="F13" s="3">
        <v>3874</v>
      </c>
      <c r="G13" s="3">
        <v>1841</v>
      </c>
      <c r="I13" s="2">
        <v>2025.08</v>
      </c>
      <c r="J13" s="2" t="s">
        <v>159</v>
      </c>
      <c r="K13" s="3">
        <v>4620</v>
      </c>
      <c r="L13" s="3">
        <v>2150</v>
      </c>
    </row>
    <row r="14" spans="1:12" x14ac:dyDescent="0.3">
      <c r="A14" s="2" t="s">
        <v>8</v>
      </c>
      <c r="B14" s="2" t="s">
        <v>151</v>
      </c>
      <c r="C14" s="2">
        <v>2025.04</v>
      </c>
      <c r="D14" s="2">
        <v>3042</v>
      </c>
      <c r="E14" s="2" t="s">
        <v>158</v>
      </c>
      <c r="F14" s="3">
        <v>2386</v>
      </c>
      <c r="G14" s="3">
        <v>1164</v>
      </c>
      <c r="I14" s="2">
        <v>2025.05</v>
      </c>
      <c r="J14" s="2" t="s">
        <v>162</v>
      </c>
      <c r="K14" s="3">
        <v>2210</v>
      </c>
      <c r="L14" s="3">
        <v>1243</v>
      </c>
    </row>
    <row r="15" spans="1:12" x14ac:dyDescent="0.3">
      <c r="A15" s="2" t="s">
        <v>6</v>
      </c>
      <c r="B15" s="2" t="s">
        <v>134</v>
      </c>
      <c r="C15" s="2">
        <v>2025.08</v>
      </c>
      <c r="D15" s="2" t="s">
        <v>159</v>
      </c>
      <c r="E15" s="2" t="s">
        <v>160</v>
      </c>
      <c r="F15" s="3">
        <v>4620</v>
      </c>
      <c r="G15" s="3">
        <v>2150</v>
      </c>
      <c r="I15" s="2">
        <v>2025.07</v>
      </c>
      <c r="J15" s="2" t="s">
        <v>168</v>
      </c>
      <c r="K15" s="3">
        <v>1540</v>
      </c>
      <c r="L15" s="3">
        <v>965</v>
      </c>
    </row>
    <row r="16" spans="1:12" x14ac:dyDescent="0.3">
      <c r="A16" s="2" t="s">
        <v>8</v>
      </c>
      <c r="B16" s="2" t="s">
        <v>151</v>
      </c>
      <c r="C16" s="2">
        <v>2025.07</v>
      </c>
      <c r="D16" s="2">
        <v>1072</v>
      </c>
      <c r="E16" s="2" t="s">
        <v>161</v>
      </c>
      <c r="F16" s="3">
        <v>1103</v>
      </c>
      <c r="G16" s="3">
        <v>557</v>
      </c>
      <c r="I16" s="2">
        <v>2025.05</v>
      </c>
      <c r="J16" s="2" t="s">
        <v>171</v>
      </c>
      <c r="K16" s="3">
        <v>3481</v>
      </c>
      <c r="L16" s="3">
        <v>1462</v>
      </c>
    </row>
    <row r="17" spans="1:12" x14ac:dyDescent="0.3">
      <c r="A17" s="2" t="s">
        <v>6</v>
      </c>
      <c r="B17" s="2" t="s">
        <v>134</v>
      </c>
      <c r="C17" s="2">
        <v>2025.05</v>
      </c>
      <c r="D17" s="2" t="s">
        <v>162</v>
      </c>
      <c r="E17" s="2" t="s">
        <v>163</v>
      </c>
      <c r="F17" s="3">
        <v>2210</v>
      </c>
      <c r="G17" s="3">
        <v>1243</v>
      </c>
      <c r="I17" s="2">
        <v>2025.06</v>
      </c>
      <c r="J17" s="2" t="s">
        <v>173</v>
      </c>
      <c r="K17" s="3">
        <v>2654</v>
      </c>
      <c r="L17" s="3">
        <v>1105</v>
      </c>
    </row>
    <row r="18" spans="1:12" x14ac:dyDescent="0.3">
      <c r="A18" s="2" t="s">
        <v>144</v>
      </c>
      <c r="B18" s="2" t="s">
        <v>145</v>
      </c>
      <c r="C18" s="2">
        <v>2025.07</v>
      </c>
      <c r="D18" s="2">
        <v>3076</v>
      </c>
      <c r="E18" s="2" t="s">
        <v>164</v>
      </c>
      <c r="F18" s="3">
        <v>2263</v>
      </c>
      <c r="G18" s="3">
        <v>1360</v>
      </c>
      <c r="I18" s="2">
        <v>2025.05</v>
      </c>
      <c r="J18" s="2" t="s">
        <v>176</v>
      </c>
      <c r="K18" s="3">
        <v>2620</v>
      </c>
      <c r="L18" s="3">
        <v>1060</v>
      </c>
    </row>
    <row r="19" spans="1:12" x14ac:dyDescent="0.3">
      <c r="A19" s="2" t="s">
        <v>140</v>
      </c>
      <c r="B19" s="2" t="s">
        <v>141</v>
      </c>
      <c r="C19" s="2">
        <v>2025.06</v>
      </c>
      <c r="D19" s="2">
        <v>1065</v>
      </c>
      <c r="E19" s="2" t="s">
        <v>165</v>
      </c>
      <c r="F19" s="3">
        <v>2170</v>
      </c>
      <c r="G19" s="3">
        <v>1207</v>
      </c>
      <c r="I19" s="2">
        <v>2025.08</v>
      </c>
      <c r="J19" s="2" t="s">
        <v>179</v>
      </c>
      <c r="K19" s="3">
        <v>1658</v>
      </c>
      <c r="L19" s="3">
        <v>401</v>
      </c>
    </row>
    <row r="20" spans="1:12" x14ac:dyDescent="0.3">
      <c r="A20" s="2" t="s">
        <v>137</v>
      </c>
      <c r="B20" s="2" t="s">
        <v>138</v>
      </c>
      <c r="C20" s="2">
        <v>2025.04</v>
      </c>
      <c r="D20" s="2">
        <v>2044</v>
      </c>
      <c r="E20" s="2" t="s">
        <v>166</v>
      </c>
      <c r="F20" s="3">
        <v>2531</v>
      </c>
      <c r="G20" s="3">
        <v>856</v>
      </c>
    </row>
    <row r="21" spans="1:12" x14ac:dyDescent="0.3">
      <c r="A21" s="2" t="s">
        <v>137</v>
      </c>
      <c r="B21" s="2" t="s">
        <v>138</v>
      </c>
      <c r="C21" s="2">
        <v>2025.08</v>
      </c>
      <c r="D21" s="2">
        <v>1084</v>
      </c>
      <c r="E21" s="2" t="s">
        <v>167</v>
      </c>
      <c r="F21" s="3">
        <v>5268</v>
      </c>
      <c r="G21" s="3">
        <v>3210</v>
      </c>
    </row>
    <row r="22" spans="1:12" x14ac:dyDescent="0.3">
      <c r="A22" s="2" t="s">
        <v>6</v>
      </c>
      <c r="B22" s="2" t="s">
        <v>134</v>
      </c>
      <c r="C22" s="2">
        <v>2025.07</v>
      </c>
      <c r="D22" s="2" t="s">
        <v>168</v>
      </c>
      <c r="E22" s="2" t="s">
        <v>169</v>
      </c>
      <c r="F22" s="3">
        <v>1540</v>
      </c>
      <c r="G22" s="3">
        <v>965</v>
      </c>
    </row>
    <row r="23" spans="1:12" x14ac:dyDescent="0.3">
      <c r="A23" s="2" t="s">
        <v>6</v>
      </c>
      <c r="B23" s="2" t="s">
        <v>134</v>
      </c>
      <c r="C23" s="2">
        <v>2025.03</v>
      </c>
      <c r="D23" s="2">
        <v>2031</v>
      </c>
      <c r="E23" s="2" t="s">
        <v>170</v>
      </c>
      <c r="F23" s="3">
        <v>4985</v>
      </c>
      <c r="G23" s="3">
        <v>1240</v>
      </c>
    </row>
    <row r="24" spans="1:12" x14ac:dyDescent="0.3">
      <c r="A24" s="2" t="s">
        <v>8</v>
      </c>
      <c r="B24" s="2" t="s">
        <v>151</v>
      </c>
      <c r="C24" s="2">
        <v>2025.05</v>
      </c>
      <c r="D24" s="2" t="s">
        <v>171</v>
      </c>
      <c r="E24" s="2" t="s">
        <v>172</v>
      </c>
      <c r="F24" s="3">
        <v>3481</v>
      </c>
      <c r="G24" s="3">
        <v>1462</v>
      </c>
    </row>
    <row r="25" spans="1:12" x14ac:dyDescent="0.3">
      <c r="A25" s="2" t="s">
        <v>144</v>
      </c>
      <c r="B25" s="2" t="s">
        <v>145</v>
      </c>
      <c r="C25" s="2">
        <v>2025.06</v>
      </c>
      <c r="D25" s="2" t="s">
        <v>173</v>
      </c>
      <c r="E25" s="2" t="s">
        <v>174</v>
      </c>
      <c r="F25" s="3">
        <v>2654</v>
      </c>
      <c r="G25" s="3">
        <v>1105</v>
      </c>
    </row>
    <row r="26" spans="1:12" x14ac:dyDescent="0.3">
      <c r="A26" s="2" t="s">
        <v>140</v>
      </c>
      <c r="B26" s="2" t="s">
        <v>141</v>
      </c>
      <c r="C26" s="2">
        <v>2025.07</v>
      </c>
      <c r="D26" s="2">
        <v>3075</v>
      </c>
      <c r="E26" s="2" t="s">
        <v>175</v>
      </c>
      <c r="F26" s="3">
        <v>1254</v>
      </c>
      <c r="G26" s="3">
        <v>336</v>
      </c>
    </row>
    <row r="27" spans="1:12" x14ac:dyDescent="0.3">
      <c r="A27" s="2" t="s">
        <v>137</v>
      </c>
      <c r="B27" s="2" t="s">
        <v>138</v>
      </c>
      <c r="C27" s="2">
        <v>2025.05</v>
      </c>
      <c r="D27" s="2" t="s">
        <v>176</v>
      </c>
      <c r="E27" s="2" t="s">
        <v>177</v>
      </c>
      <c r="F27" s="3">
        <v>2620</v>
      </c>
      <c r="G27" s="3">
        <v>1060</v>
      </c>
    </row>
    <row r="28" spans="1:12" x14ac:dyDescent="0.3">
      <c r="A28" s="2" t="s">
        <v>8</v>
      </c>
      <c r="B28" s="2" t="s">
        <v>151</v>
      </c>
      <c r="C28" s="2">
        <v>2025.03</v>
      </c>
      <c r="D28" s="2">
        <v>2032</v>
      </c>
      <c r="E28" s="2" t="s">
        <v>178</v>
      </c>
      <c r="F28" s="3">
        <v>4751</v>
      </c>
      <c r="G28" s="3">
        <v>2150</v>
      </c>
    </row>
    <row r="29" spans="1:12" x14ac:dyDescent="0.3">
      <c r="A29" s="2" t="s">
        <v>8</v>
      </c>
      <c r="B29" s="2" t="s">
        <v>151</v>
      </c>
      <c r="C29" s="2">
        <v>2025.08</v>
      </c>
      <c r="D29" s="2" t="s">
        <v>179</v>
      </c>
      <c r="E29" s="2" t="s">
        <v>180</v>
      </c>
      <c r="F29" s="3">
        <v>1658</v>
      </c>
      <c r="G29" s="3">
        <v>401</v>
      </c>
    </row>
    <row r="30" spans="1:12" x14ac:dyDescent="0.3">
      <c r="A30" s="2" t="s">
        <v>137</v>
      </c>
      <c r="B30" s="2" t="s">
        <v>138</v>
      </c>
      <c r="C30" s="2">
        <v>2025.03</v>
      </c>
      <c r="D30" s="2">
        <v>74034</v>
      </c>
      <c r="E30" s="2" t="s">
        <v>181</v>
      </c>
      <c r="F30" s="3">
        <v>3367</v>
      </c>
      <c r="G30" s="3">
        <v>1548</v>
      </c>
    </row>
    <row r="31" spans="1:12" x14ac:dyDescent="0.3">
      <c r="A31" s="2" t="s">
        <v>140</v>
      </c>
      <c r="B31" s="2" t="s">
        <v>141</v>
      </c>
      <c r="C31" s="2">
        <v>2025.04</v>
      </c>
      <c r="D31" s="2">
        <v>2045</v>
      </c>
      <c r="E31" s="2" t="s">
        <v>182</v>
      </c>
      <c r="F31" s="3">
        <v>2385</v>
      </c>
      <c r="G31" s="3">
        <v>1040</v>
      </c>
    </row>
    <row r="32" spans="1:12" x14ac:dyDescent="0.3">
      <c r="A32" s="2" t="s">
        <v>8</v>
      </c>
      <c r="B32" s="2" t="s">
        <v>151</v>
      </c>
      <c r="C32" s="2">
        <v>2025.06</v>
      </c>
      <c r="D32" s="2">
        <v>47062</v>
      </c>
      <c r="E32" s="2" t="s">
        <v>183</v>
      </c>
      <c r="F32" s="3">
        <v>1128</v>
      </c>
      <c r="G32" s="3">
        <v>898</v>
      </c>
    </row>
  </sheetData>
  <phoneticPr fontId="1" type="noConversion"/>
  <conditionalFormatting sqref="A3:G32">
    <cfRule type="expression" dxfId="1" priority="1">
      <formula>ISODD(RIGHT($C3,2))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G32"/>
  <sheetViews>
    <sheetView workbookViewId="0"/>
  </sheetViews>
  <sheetFormatPr defaultRowHeight="16.5" x14ac:dyDescent="0.3"/>
  <cols>
    <col min="5" max="5" width="11.125" customWidth="1"/>
  </cols>
  <sheetData>
    <row r="2" spans="1:7" x14ac:dyDescent="0.3">
      <c r="A2" s="2" t="s">
        <v>132</v>
      </c>
      <c r="B2" s="2" t="s">
        <v>1</v>
      </c>
      <c r="C2" s="2" t="s">
        <v>2</v>
      </c>
      <c r="D2" s="2" t="s">
        <v>133</v>
      </c>
      <c r="E2" s="2" t="s">
        <v>3</v>
      </c>
      <c r="F2" s="2" t="s">
        <v>4</v>
      </c>
      <c r="G2" s="2" t="s">
        <v>5</v>
      </c>
    </row>
    <row r="3" spans="1:7" x14ac:dyDescent="0.3">
      <c r="A3" s="2" t="s">
        <v>6</v>
      </c>
      <c r="B3" s="2" t="s">
        <v>134</v>
      </c>
      <c r="C3" s="2">
        <v>2025.02</v>
      </c>
      <c r="D3" s="2" t="s">
        <v>135</v>
      </c>
      <c r="E3" s="2" t="s">
        <v>136</v>
      </c>
      <c r="F3" s="3">
        <v>5324</v>
      </c>
      <c r="G3" s="3">
        <v>954</v>
      </c>
    </row>
    <row r="4" spans="1:7" x14ac:dyDescent="0.3">
      <c r="A4" s="2" t="s">
        <v>137</v>
      </c>
      <c r="B4" s="2" t="s">
        <v>138</v>
      </c>
      <c r="C4" s="2">
        <v>2025.07</v>
      </c>
      <c r="D4" s="2">
        <v>1074</v>
      </c>
      <c r="E4" s="2" t="s">
        <v>139</v>
      </c>
      <c r="F4" s="3">
        <v>6512</v>
      </c>
      <c r="G4" s="3">
        <v>3520</v>
      </c>
    </row>
    <row r="5" spans="1:7" x14ac:dyDescent="0.3">
      <c r="A5" s="2" t="s">
        <v>140</v>
      </c>
      <c r="B5" s="2" t="s">
        <v>141</v>
      </c>
      <c r="C5" s="2">
        <v>2025.05</v>
      </c>
      <c r="D5" s="2" t="s">
        <v>142</v>
      </c>
      <c r="E5" s="2" t="s">
        <v>143</v>
      </c>
      <c r="F5" s="3">
        <v>1962</v>
      </c>
      <c r="G5" s="3">
        <v>1380</v>
      </c>
    </row>
    <row r="6" spans="1:7" x14ac:dyDescent="0.3">
      <c r="A6" s="2" t="s">
        <v>144</v>
      </c>
      <c r="B6" s="2" t="s">
        <v>145</v>
      </c>
      <c r="C6" s="2">
        <v>2025.05</v>
      </c>
      <c r="D6" s="2" t="s">
        <v>146</v>
      </c>
      <c r="E6" s="2" t="s">
        <v>147</v>
      </c>
      <c r="F6" s="3">
        <v>1235</v>
      </c>
      <c r="G6" s="3">
        <v>325</v>
      </c>
    </row>
    <row r="7" spans="1:7" x14ac:dyDescent="0.3">
      <c r="A7" s="2" t="s">
        <v>6</v>
      </c>
      <c r="B7" s="2" t="s">
        <v>134</v>
      </c>
      <c r="C7" s="2">
        <v>2025.06</v>
      </c>
      <c r="D7" s="2">
        <v>3061</v>
      </c>
      <c r="E7" s="2" t="s">
        <v>148</v>
      </c>
      <c r="F7" s="3">
        <v>1986</v>
      </c>
      <c r="G7" s="3">
        <v>1010</v>
      </c>
    </row>
    <row r="8" spans="1:7" x14ac:dyDescent="0.3">
      <c r="A8" s="2" t="s">
        <v>140</v>
      </c>
      <c r="B8" s="2" t="s">
        <v>141</v>
      </c>
      <c r="C8" s="2">
        <v>2025.03</v>
      </c>
      <c r="D8" s="2" t="s">
        <v>149</v>
      </c>
      <c r="E8" s="2" t="s">
        <v>150</v>
      </c>
      <c r="F8" s="3">
        <v>1594</v>
      </c>
      <c r="G8" s="3">
        <v>899</v>
      </c>
    </row>
    <row r="9" spans="1:7" x14ac:dyDescent="0.3">
      <c r="A9" s="2" t="s">
        <v>8</v>
      </c>
      <c r="B9" s="2" t="s">
        <v>151</v>
      </c>
      <c r="C9" s="2">
        <v>2025.02</v>
      </c>
      <c r="D9" s="2" t="s">
        <v>152</v>
      </c>
      <c r="E9" s="2" t="s">
        <v>153</v>
      </c>
      <c r="F9" s="3">
        <v>5428</v>
      </c>
      <c r="G9" s="3">
        <v>2410</v>
      </c>
    </row>
    <row r="10" spans="1:7" x14ac:dyDescent="0.3">
      <c r="A10" s="2" t="s">
        <v>6</v>
      </c>
      <c r="B10" s="2" t="s">
        <v>134</v>
      </c>
      <c r="C10" s="2">
        <v>2025.04</v>
      </c>
      <c r="D10" s="2" t="s">
        <v>185</v>
      </c>
      <c r="E10" s="2" t="s">
        <v>154</v>
      </c>
      <c r="F10" s="3">
        <v>3856</v>
      </c>
      <c r="G10" s="3">
        <v>842</v>
      </c>
    </row>
    <row r="11" spans="1:7" x14ac:dyDescent="0.3">
      <c r="A11" s="2" t="s">
        <v>144</v>
      </c>
      <c r="B11" s="2" t="s">
        <v>145</v>
      </c>
      <c r="C11" s="2">
        <v>2025.04</v>
      </c>
      <c r="D11" s="2">
        <v>2046</v>
      </c>
      <c r="E11" s="2" t="s">
        <v>155</v>
      </c>
      <c r="F11" s="3">
        <v>1755</v>
      </c>
      <c r="G11" s="3">
        <v>436</v>
      </c>
    </row>
    <row r="12" spans="1:7" x14ac:dyDescent="0.3">
      <c r="A12" s="2" t="s">
        <v>144</v>
      </c>
      <c r="B12" s="2" t="s">
        <v>145</v>
      </c>
      <c r="C12" s="2">
        <v>2025.08</v>
      </c>
      <c r="D12" s="2">
        <v>1086</v>
      </c>
      <c r="E12" s="2" t="s">
        <v>156</v>
      </c>
      <c r="F12" s="3">
        <v>1520</v>
      </c>
      <c r="G12" s="3">
        <v>425</v>
      </c>
    </row>
    <row r="13" spans="1:7" x14ac:dyDescent="0.3">
      <c r="A13" s="2" t="s">
        <v>137</v>
      </c>
      <c r="B13" s="2" t="s">
        <v>138</v>
      </c>
      <c r="C13" s="2">
        <v>2025.06</v>
      </c>
      <c r="D13" s="2">
        <v>3064</v>
      </c>
      <c r="E13" s="2" t="s">
        <v>157</v>
      </c>
      <c r="F13" s="3">
        <v>3874</v>
      </c>
      <c r="G13" s="3">
        <v>1841</v>
      </c>
    </row>
    <row r="14" spans="1:7" x14ac:dyDescent="0.3">
      <c r="A14" s="2" t="s">
        <v>8</v>
      </c>
      <c r="B14" s="2" t="s">
        <v>151</v>
      </c>
      <c r="C14" s="2">
        <v>2025.04</v>
      </c>
      <c r="D14" s="2">
        <v>3042</v>
      </c>
      <c r="E14" s="2" t="s">
        <v>158</v>
      </c>
      <c r="F14" s="3">
        <v>2386</v>
      </c>
      <c r="G14" s="3">
        <v>1164</v>
      </c>
    </row>
    <row r="15" spans="1:7" x14ac:dyDescent="0.3">
      <c r="A15" s="2" t="s">
        <v>6</v>
      </c>
      <c r="B15" s="2" t="s">
        <v>134</v>
      </c>
      <c r="C15" s="2">
        <v>2025.08</v>
      </c>
      <c r="D15" s="2" t="s">
        <v>159</v>
      </c>
      <c r="E15" s="2" t="s">
        <v>160</v>
      </c>
      <c r="F15" s="3">
        <v>4620</v>
      </c>
      <c r="G15" s="3">
        <v>2150</v>
      </c>
    </row>
    <row r="16" spans="1:7" x14ac:dyDescent="0.3">
      <c r="A16" s="2" t="s">
        <v>8</v>
      </c>
      <c r="B16" s="2" t="s">
        <v>151</v>
      </c>
      <c r="C16" s="2">
        <v>2025.07</v>
      </c>
      <c r="D16" s="2">
        <v>1072</v>
      </c>
      <c r="E16" s="2" t="s">
        <v>161</v>
      </c>
      <c r="F16" s="3">
        <v>1103</v>
      </c>
      <c r="G16" s="3">
        <v>557</v>
      </c>
    </row>
    <row r="17" spans="1:7" x14ac:dyDescent="0.3">
      <c r="A17" s="2" t="s">
        <v>6</v>
      </c>
      <c r="B17" s="2" t="s">
        <v>134</v>
      </c>
      <c r="C17" s="2">
        <v>2025.05</v>
      </c>
      <c r="D17" s="2" t="s">
        <v>162</v>
      </c>
      <c r="E17" s="2" t="s">
        <v>163</v>
      </c>
      <c r="F17" s="3">
        <v>2210</v>
      </c>
      <c r="G17" s="3">
        <v>1243</v>
      </c>
    </row>
    <row r="18" spans="1:7" x14ac:dyDescent="0.3">
      <c r="A18" s="2" t="s">
        <v>144</v>
      </c>
      <c r="B18" s="2" t="s">
        <v>145</v>
      </c>
      <c r="C18" s="2">
        <v>2025.07</v>
      </c>
      <c r="D18" s="2">
        <v>3076</v>
      </c>
      <c r="E18" s="2" t="s">
        <v>164</v>
      </c>
      <c r="F18" s="3">
        <v>2263</v>
      </c>
      <c r="G18" s="3">
        <v>1360</v>
      </c>
    </row>
    <row r="19" spans="1:7" x14ac:dyDescent="0.3">
      <c r="A19" s="2" t="s">
        <v>140</v>
      </c>
      <c r="B19" s="2" t="s">
        <v>141</v>
      </c>
      <c r="C19" s="2">
        <v>2025.06</v>
      </c>
      <c r="D19" s="2">
        <v>1065</v>
      </c>
      <c r="E19" s="2" t="s">
        <v>165</v>
      </c>
      <c r="F19" s="3">
        <v>2170</v>
      </c>
      <c r="G19" s="3">
        <v>1207</v>
      </c>
    </row>
    <row r="20" spans="1:7" x14ac:dyDescent="0.3">
      <c r="A20" s="2" t="s">
        <v>137</v>
      </c>
      <c r="B20" s="2" t="s">
        <v>138</v>
      </c>
      <c r="C20" s="2">
        <v>2025.04</v>
      </c>
      <c r="D20" s="2">
        <v>2044</v>
      </c>
      <c r="E20" s="2" t="s">
        <v>166</v>
      </c>
      <c r="F20" s="3">
        <v>2531</v>
      </c>
      <c r="G20" s="3">
        <v>856</v>
      </c>
    </row>
    <row r="21" spans="1:7" x14ac:dyDescent="0.3">
      <c r="A21" s="2" t="s">
        <v>137</v>
      </c>
      <c r="B21" s="2" t="s">
        <v>138</v>
      </c>
      <c r="C21" s="2">
        <v>2025.08</v>
      </c>
      <c r="D21" s="2">
        <v>1084</v>
      </c>
      <c r="E21" s="2" t="s">
        <v>167</v>
      </c>
      <c r="F21" s="3">
        <v>5268</v>
      </c>
      <c r="G21" s="3">
        <v>3210</v>
      </c>
    </row>
    <row r="22" spans="1:7" x14ac:dyDescent="0.3">
      <c r="A22" s="2" t="s">
        <v>6</v>
      </c>
      <c r="B22" s="2" t="s">
        <v>134</v>
      </c>
      <c r="C22" s="2">
        <v>2025.07</v>
      </c>
      <c r="D22" s="2" t="s">
        <v>168</v>
      </c>
      <c r="E22" s="2" t="s">
        <v>169</v>
      </c>
      <c r="F22" s="3">
        <v>1540</v>
      </c>
      <c r="G22" s="3">
        <v>965</v>
      </c>
    </row>
    <row r="23" spans="1:7" x14ac:dyDescent="0.3">
      <c r="A23" s="2" t="s">
        <v>6</v>
      </c>
      <c r="B23" s="2" t="s">
        <v>134</v>
      </c>
      <c r="C23" s="2">
        <v>2025.03</v>
      </c>
      <c r="D23" s="2">
        <v>2031</v>
      </c>
      <c r="E23" s="2" t="s">
        <v>170</v>
      </c>
      <c r="F23" s="3">
        <v>4985</v>
      </c>
      <c r="G23" s="3">
        <v>1240</v>
      </c>
    </row>
    <row r="24" spans="1:7" x14ac:dyDescent="0.3">
      <c r="A24" s="2" t="s">
        <v>8</v>
      </c>
      <c r="B24" s="2" t="s">
        <v>151</v>
      </c>
      <c r="C24" s="2">
        <v>2025.05</v>
      </c>
      <c r="D24" s="2" t="s">
        <v>171</v>
      </c>
      <c r="E24" s="2" t="s">
        <v>172</v>
      </c>
      <c r="F24" s="3">
        <v>3481</v>
      </c>
      <c r="G24" s="3">
        <v>1462</v>
      </c>
    </row>
    <row r="25" spans="1:7" x14ac:dyDescent="0.3">
      <c r="A25" s="2" t="s">
        <v>144</v>
      </c>
      <c r="B25" s="2" t="s">
        <v>145</v>
      </c>
      <c r="C25" s="2">
        <v>2025.06</v>
      </c>
      <c r="D25" s="2" t="s">
        <v>173</v>
      </c>
      <c r="E25" s="2" t="s">
        <v>174</v>
      </c>
      <c r="F25" s="3">
        <v>2654</v>
      </c>
      <c r="G25" s="3">
        <v>1105</v>
      </c>
    </row>
    <row r="26" spans="1:7" x14ac:dyDescent="0.3">
      <c r="A26" s="2" t="s">
        <v>140</v>
      </c>
      <c r="B26" s="2" t="s">
        <v>141</v>
      </c>
      <c r="C26" s="2">
        <v>2025.07</v>
      </c>
      <c r="D26" s="2">
        <v>3075</v>
      </c>
      <c r="E26" s="2" t="s">
        <v>175</v>
      </c>
      <c r="F26" s="3">
        <v>1254</v>
      </c>
      <c r="G26" s="3">
        <v>336</v>
      </c>
    </row>
    <row r="27" spans="1:7" x14ac:dyDescent="0.3">
      <c r="A27" s="2" t="s">
        <v>137</v>
      </c>
      <c r="B27" s="2" t="s">
        <v>138</v>
      </c>
      <c r="C27" s="2">
        <v>2025.05</v>
      </c>
      <c r="D27" s="2" t="s">
        <v>176</v>
      </c>
      <c r="E27" s="2" t="s">
        <v>177</v>
      </c>
      <c r="F27" s="3">
        <v>2620</v>
      </c>
      <c r="G27" s="3">
        <v>1060</v>
      </c>
    </row>
    <row r="28" spans="1:7" x14ac:dyDescent="0.3">
      <c r="A28" s="2" t="s">
        <v>8</v>
      </c>
      <c r="B28" s="2" t="s">
        <v>151</v>
      </c>
      <c r="C28" s="2">
        <v>2025.03</v>
      </c>
      <c r="D28" s="2">
        <v>2032</v>
      </c>
      <c r="E28" s="2" t="s">
        <v>178</v>
      </c>
      <c r="F28" s="3">
        <v>4751</v>
      </c>
      <c r="G28" s="3">
        <v>2150</v>
      </c>
    </row>
    <row r="29" spans="1:7" x14ac:dyDescent="0.3">
      <c r="A29" s="2" t="s">
        <v>8</v>
      </c>
      <c r="B29" s="2" t="s">
        <v>151</v>
      </c>
      <c r="C29" s="2">
        <v>2025.08</v>
      </c>
      <c r="D29" s="2" t="s">
        <v>179</v>
      </c>
      <c r="E29" s="2" t="s">
        <v>180</v>
      </c>
      <c r="F29" s="3">
        <v>1658</v>
      </c>
      <c r="G29" s="3">
        <v>401</v>
      </c>
    </row>
    <row r="30" spans="1:7" x14ac:dyDescent="0.3">
      <c r="A30" s="2" t="s">
        <v>137</v>
      </c>
      <c r="B30" s="2" t="s">
        <v>138</v>
      </c>
      <c r="C30" s="2">
        <v>2025.03</v>
      </c>
      <c r="D30" s="2">
        <v>74034</v>
      </c>
      <c r="E30" s="2" t="s">
        <v>181</v>
      </c>
      <c r="F30" s="3">
        <v>3367</v>
      </c>
      <c r="G30" s="3">
        <v>1548</v>
      </c>
    </row>
    <row r="31" spans="1:7" x14ac:dyDescent="0.3">
      <c r="A31" s="2" t="s">
        <v>140</v>
      </c>
      <c r="B31" s="2" t="s">
        <v>141</v>
      </c>
      <c r="C31" s="2">
        <v>2025.04</v>
      </c>
      <c r="D31" s="2">
        <v>2045</v>
      </c>
      <c r="E31" s="2" t="s">
        <v>182</v>
      </c>
      <c r="F31" s="3">
        <v>2385</v>
      </c>
      <c r="G31" s="3">
        <v>1040</v>
      </c>
    </row>
    <row r="32" spans="1:7" x14ac:dyDescent="0.3">
      <c r="A32" s="2" t="s">
        <v>8</v>
      </c>
      <c r="B32" s="2" t="s">
        <v>151</v>
      </c>
      <c r="C32" s="2">
        <v>2025.06</v>
      </c>
      <c r="D32" s="2">
        <v>47062</v>
      </c>
      <c r="E32" s="2" t="s">
        <v>183</v>
      </c>
      <c r="F32" s="3">
        <v>1128</v>
      </c>
      <c r="G32" s="3">
        <v>898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</oddFooter>
  </headerFooter>
  <rowBreaks count="1" manualBreakCount="1">
    <brk id="15" max="6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0"/>
  <sheetViews>
    <sheetView topLeftCell="D1" zoomScaleNormal="100" workbookViewId="0"/>
  </sheetViews>
  <sheetFormatPr defaultRowHeight="16.5" x14ac:dyDescent="0.3"/>
  <cols>
    <col min="2" max="2" width="14.375" customWidth="1"/>
    <col min="4" max="4" width="10.75" customWidth="1"/>
    <col min="6" max="6" width="11.375" customWidth="1"/>
    <col min="8" max="8" width="9.125" bestFit="1" customWidth="1"/>
    <col min="9" max="9" width="10.625" customWidth="1"/>
    <col min="10" max="10" width="1.625" customWidth="1"/>
    <col min="11" max="11" width="14.375" customWidth="1"/>
    <col min="13" max="13" width="16.625" customWidth="1"/>
  </cols>
  <sheetData>
    <row r="1" spans="1:16" x14ac:dyDescent="0.3">
      <c r="A1" t="s">
        <v>10</v>
      </c>
      <c r="K1" t="s">
        <v>11</v>
      </c>
      <c r="N1" t="s">
        <v>12</v>
      </c>
    </row>
    <row r="2" spans="1:16" x14ac:dyDescent="0.3">
      <c r="A2" s="2" t="s">
        <v>23</v>
      </c>
      <c r="B2" s="2" t="s">
        <v>24</v>
      </c>
      <c r="C2" s="2" t="s">
        <v>25</v>
      </c>
      <c r="D2" s="2" t="s">
        <v>79</v>
      </c>
      <c r="E2" s="2" t="s">
        <v>26</v>
      </c>
      <c r="F2" s="6" t="s">
        <v>27</v>
      </c>
      <c r="G2" s="2" t="s">
        <v>28</v>
      </c>
      <c r="H2" s="6" t="s">
        <v>29</v>
      </c>
      <c r="I2" s="6" t="s">
        <v>30</v>
      </c>
      <c r="K2" s="2" t="s">
        <v>24</v>
      </c>
      <c r="L2" s="2" t="s">
        <v>31</v>
      </c>
      <c r="N2" s="2" t="s">
        <v>32</v>
      </c>
      <c r="O2" s="2">
        <v>1</v>
      </c>
      <c r="P2" s="2">
        <v>2</v>
      </c>
    </row>
    <row r="3" spans="1:16" x14ac:dyDescent="0.3">
      <c r="A3" s="2" t="s">
        <v>51</v>
      </c>
      <c r="B3" s="2" t="s">
        <v>43</v>
      </c>
      <c r="C3" s="2" t="s">
        <v>33</v>
      </c>
      <c r="D3" s="7">
        <v>45298</v>
      </c>
      <c r="E3" s="2">
        <v>1</v>
      </c>
      <c r="F3" s="2" t="str">
        <f>TEXT(EDATE(D3,(E3*12)-1),"YY년 MM월호")</f>
        <v>24년 12월호</v>
      </c>
      <c r="G3" s="2">
        <v>5</v>
      </c>
      <c r="H3" s="3" cm="1">
        <f t="array" ref="H3">_xlfn.XLOOKUP(B3,$K$3:$K$6,$L$3:$L$6)*E3*G3*(1-INDEX($O$3:$P$5,_xlfn.XMATCH(C3,$N$3:$N$5,0),E3))</f>
        <v>460349.99999999994</v>
      </c>
      <c r="I3" s="2" t="str" cm="1">
        <f t="array" ref="I3">fn사은품(E3,C3)</f>
        <v/>
      </c>
      <c r="K3" s="2" t="s">
        <v>43</v>
      </c>
      <c r="L3" s="3">
        <v>99000</v>
      </c>
      <c r="N3" s="2" t="s">
        <v>33</v>
      </c>
      <c r="O3" s="8">
        <v>7.0000000000000007E-2</v>
      </c>
      <c r="P3" s="8">
        <v>0.1</v>
      </c>
    </row>
    <row r="4" spans="1:16" x14ac:dyDescent="0.3">
      <c r="A4" s="2" t="s">
        <v>52</v>
      </c>
      <c r="B4" s="2" t="s">
        <v>48</v>
      </c>
      <c r="C4" s="2" t="s">
        <v>34</v>
      </c>
      <c r="D4" s="7">
        <v>45317</v>
      </c>
      <c r="E4" s="2">
        <v>2</v>
      </c>
      <c r="F4" s="2" t="str">
        <f t="shared" ref="F4:F30" si="0">TEXT(EDATE(D4,(E4*12)-1),"YY년 MM월호")</f>
        <v>25년 12월호</v>
      </c>
      <c r="G4" s="2">
        <v>3</v>
      </c>
      <c r="H4" s="3" cm="1">
        <f t="array" ref="H4">_xlfn.XLOOKUP(B4,$K$3:$K$6,$L$3:$L$6)*E4*G4*(1-INDEX($O$3:$P$5,_xlfn.XMATCH(C4,$N$3:$N$5,0),E4))</f>
        <v>633600</v>
      </c>
      <c r="I4" s="2" t="str" cm="1">
        <f t="array" ref="I4">fn사은품(E4,C4)</f>
        <v>문화상품권</v>
      </c>
      <c r="K4" s="2" t="s">
        <v>47</v>
      </c>
      <c r="L4" s="3">
        <v>129000</v>
      </c>
      <c r="N4" s="2" t="s">
        <v>35</v>
      </c>
      <c r="O4" s="8">
        <v>0.12</v>
      </c>
      <c r="P4" s="8">
        <v>0.15</v>
      </c>
    </row>
    <row r="5" spans="1:16" x14ac:dyDescent="0.3">
      <c r="A5" s="2" t="s">
        <v>53</v>
      </c>
      <c r="B5" s="2" t="s">
        <v>44</v>
      </c>
      <c r="C5" s="2" t="s">
        <v>34</v>
      </c>
      <c r="D5" s="7">
        <v>45319</v>
      </c>
      <c r="E5" s="2">
        <v>2</v>
      </c>
      <c r="F5" s="2" t="str">
        <f t="shared" si="0"/>
        <v>25년 12월호</v>
      </c>
      <c r="G5" s="2">
        <v>1</v>
      </c>
      <c r="H5" s="3" cm="1">
        <f t="array" ref="H5">_xlfn.XLOOKUP(B5,$K$3:$K$6,$L$3:$L$6)*E5*G5*(1-INDEX($O$3:$P$5,_xlfn.XMATCH(C5,$N$3:$N$5,0),E5))</f>
        <v>142400</v>
      </c>
      <c r="I5" s="2" t="str" cm="1">
        <f t="array" ref="I5">fn사은품(E5,C5)</f>
        <v>문화상품권</v>
      </c>
      <c r="K5" s="2" t="s">
        <v>49</v>
      </c>
      <c r="L5" s="3">
        <v>132000</v>
      </c>
      <c r="N5" s="2" t="s">
        <v>34</v>
      </c>
      <c r="O5" s="8">
        <v>0.15</v>
      </c>
      <c r="P5" s="8">
        <v>0.2</v>
      </c>
    </row>
    <row r="6" spans="1:16" x14ac:dyDescent="0.3">
      <c r="A6" s="2" t="s">
        <v>54</v>
      </c>
      <c r="B6" s="2" t="s">
        <v>46</v>
      </c>
      <c r="C6" s="2" t="s">
        <v>33</v>
      </c>
      <c r="D6" s="7">
        <v>45342</v>
      </c>
      <c r="E6" s="2">
        <v>1</v>
      </c>
      <c r="F6" s="2" t="str">
        <f t="shared" si="0"/>
        <v>25년 01월호</v>
      </c>
      <c r="G6" s="2">
        <v>5</v>
      </c>
      <c r="H6" s="3" cm="1">
        <f t="array" ref="H6">_xlfn.XLOOKUP(B6,$K$3:$K$6,$L$3:$L$6)*E6*G6*(1-INDEX($O$3:$P$5,_xlfn.XMATCH(C6,$N$3:$N$5,0),E6))</f>
        <v>599850</v>
      </c>
      <c r="I6" s="2" t="str" cm="1">
        <f t="array" ref="I6">fn사은품(E6,C6)</f>
        <v/>
      </c>
      <c r="K6" s="2" t="s">
        <v>45</v>
      </c>
      <c r="L6" s="3">
        <v>89000</v>
      </c>
    </row>
    <row r="7" spans="1:16" x14ac:dyDescent="0.3">
      <c r="A7" s="2" t="s">
        <v>55</v>
      </c>
      <c r="B7" s="2" t="s">
        <v>48</v>
      </c>
      <c r="C7" s="2" t="s">
        <v>34</v>
      </c>
      <c r="D7" s="7">
        <v>45352</v>
      </c>
      <c r="E7" s="2">
        <v>1</v>
      </c>
      <c r="F7" s="2" t="str">
        <f t="shared" si="0"/>
        <v>25년 02월호</v>
      </c>
      <c r="G7" s="2">
        <v>3</v>
      </c>
      <c r="H7" s="3" cm="1">
        <f t="array" ref="H7">_xlfn.XLOOKUP(B7,$K$3:$K$6,$L$3:$L$6)*E7*G7*(1-INDEX($O$3:$P$5,_xlfn.XMATCH(C7,$N$3:$N$5,0),E7))</f>
        <v>336600</v>
      </c>
      <c r="I7" s="2" t="str" cm="1">
        <f t="array" ref="I7">fn사은품(E7,C7)</f>
        <v>문화상품권</v>
      </c>
    </row>
    <row r="8" spans="1:16" x14ac:dyDescent="0.3">
      <c r="A8" s="2" t="s">
        <v>56</v>
      </c>
      <c r="B8" s="2" t="s">
        <v>44</v>
      </c>
      <c r="C8" s="2" t="s">
        <v>35</v>
      </c>
      <c r="D8" s="7">
        <v>45385</v>
      </c>
      <c r="E8" s="2">
        <v>1</v>
      </c>
      <c r="F8" s="2" t="str">
        <f t="shared" si="0"/>
        <v>25년 03월호</v>
      </c>
      <c r="G8" s="2">
        <v>2</v>
      </c>
      <c r="H8" s="3" cm="1">
        <f t="array" ref="H8">_xlfn.XLOOKUP(B8,$K$3:$K$6,$L$3:$L$6)*E8*G8*(1-INDEX($O$3:$P$5,_xlfn.XMATCH(C8,$N$3:$N$5,0),E8))</f>
        <v>156640</v>
      </c>
      <c r="I8" s="2" t="str" cm="1">
        <f t="array" ref="I8">fn사은품(E8,C8)</f>
        <v>문화상품권</v>
      </c>
      <c r="K8" t="s">
        <v>13</v>
      </c>
    </row>
    <row r="9" spans="1:16" x14ac:dyDescent="0.3">
      <c r="A9" s="2" t="s">
        <v>57</v>
      </c>
      <c r="B9" s="2" t="s">
        <v>43</v>
      </c>
      <c r="C9" s="2" t="s">
        <v>34</v>
      </c>
      <c r="D9" s="7">
        <v>45425</v>
      </c>
      <c r="E9" s="2">
        <v>2</v>
      </c>
      <c r="F9" s="2" t="str">
        <f t="shared" si="0"/>
        <v>26년 04월호</v>
      </c>
      <c r="G9" s="2">
        <v>5</v>
      </c>
      <c r="H9" s="3" cm="1">
        <f t="array" ref="H9">_xlfn.XLOOKUP(B9,$K$3:$K$6,$L$3:$L$6)*E9*G9*(1-INDEX($O$3:$P$5,_xlfn.XMATCH(C9,$N$3:$N$5,0),E9))</f>
        <v>792000</v>
      </c>
      <c r="I9" s="2" t="str" cm="1">
        <f t="array" ref="I9">fn사은품(E9,C9)</f>
        <v>문화상품권</v>
      </c>
      <c r="K9" s="19" t="s">
        <v>50</v>
      </c>
      <c r="L9" s="20"/>
      <c r="M9" s="20"/>
      <c r="N9" s="21"/>
      <c r="O9" s="2" t="str">
        <f t="array" ref="O9">SUM(IF((B3:B30="우등논술")+(B3:B30="월간뉴런"),E3:E30))&amp;"년"</f>
        <v>17년</v>
      </c>
    </row>
    <row r="10" spans="1:16" x14ac:dyDescent="0.3">
      <c r="A10" s="2" t="s">
        <v>58</v>
      </c>
      <c r="B10" s="2" t="s">
        <v>44</v>
      </c>
      <c r="C10" s="2" t="s">
        <v>33</v>
      </c>
      <c r="D10" s="7">
        <v>45433</v>
      </c>
      <c r="E10" s="2">
        <v>1</v>
      </c>
      <c r="F10" s="2" t="str">
        <f t="shared" si="0"/>
        <v>25년 04월호</v>
      </c>
      <c r="G10" s="2">
        <v>4</v>
      </c>
      <c r="H10" s="3" cm="1">
        <f t="array" ref="H10">_xlfn.XLOOKUP(B10,$K$3:$K$6,$L$3:$L$6)*E10*G10*(1-INDEX($O$3:$P$5,_xlfn.XMATCH(C10,$N$3:$N$5,0),E10))</f>
        <v>331080</v>
      </c>
      <c r="I10" s="2" t="str" cm="1">
        <f t="array" ref="I10">fn사은품(E10,C10)</f>
        <v/>
      </c>
    </row>
    <row r="11" spans="1:16" x14ac:dyDescent="0.3">
      <c r="A11" s="2" t="s">
        <v>59</v>
      </c>
      <c r="B11" s="2" t="s">
        <v>43</v>
      </c>
      <c r="C11" s="2" t="s">
        <v>34</v>
      </c>
      <c r="D11" s="7">
        <v>45433</v>
      </c>
      <c r="E11" s="2">
        <v>1</v>
      </c>
      <c r="F11" s="2" t="str">
        <f t="shared" si="0"/>
        <v>25년 04월호</v>
      </c>
      <c r="G11" s="2">
        <v>1</v>
      </c>
      <c r="H11" s="3" cm="1">
        <f t="array" ref="H11">_xlfn.XLOOKUP(B11,$K$3:$K$6,$L$3:$L$6)*E11*G11*(1-INDEX($O$3:$P$5,_xlfn.XMATCH(C11,$N$3:$N$5,0),E11))</f>
        <v>84150</v>
      </c>
      <c r="I11" s="2" t="str" cm="1">
        <f t="array" ref="I11">fn사은품(E11,C11)</f>
        <v>문화상품권</v>
      </c>
      <c r="K11" t="s">
        <v>14</v>
      </c>
    </row>
    <row r="12" spans="1:16" x14ac:dyDescent="0.3">
      <c r="A12" s="2" t="s">
        <v>60</v>
      </c>
      <c r="B12" s="2" t="s">
        <v>43</v>
      </c>
      <c r="C12" s="2" t="s">
        <v>34</v>
      </c>
      <c r="D12" s="7">
        <v>45434</v>
      </c>
      <c r="E12" s="2">
        <v>2</v>
      </c>
      <c r="F12" s="2" t="str">
        <f t="shared" si="0"/>
        <v>26년 04월호</v>
      </c>
      <c r="G12" s="2">
        <v>5</v>
      </c>
      <c r="H12" s="3" cm="1">
        <f t="array" ref="H12">_xlfn.XLOOKUP(B12,$K$3:$K$6,$L$3:$L$6)*E12*G12*(1-INDEX($O$3:$P$5,_xlfn.XMATCH(C12,$N$3:$N$5,0),E12))</f>
        <v>792000</v>
      </c>
      <c r="I12" s="2" t="str" cm="1">
        <f t="array" ref="I12">fn사은품(E12,C12)</f>
        <v>문화상품권</v>
      </c>
      <c r="K12" s="22" t="s">
        <v>186</v>
      </c>
      <c r="L12" s="23"/>
      <c r="M12" s="6" t="s">
        <v>36</v>
      </c>
    </row>
    <row r="13" spans="1:16" x14ac:dyDescent="0.3">
      <c r="A13" s="2" t="s">
        <v>61</v>
      </c>
      <c r="B13" s="2" t="s">
        <v>46</v>
      </c>
      <c r="C13" s="2" t="s">
        <v>35</v>
      </c>
      <c r="D13" s="7">
        <v>45439</v>
      </c>
      <c r="E13" s="2">
        <v>1</v>
      </c>
      <c r="F13" s="2" t="str">
        <f t="shared" si="0"/>
        <v>25년 04월호</v>
      </c>
      <c r="G13" s="2">
        <v>4</v>
      </c>
      <c r="H13" s="3" cm="1">
        <f t="array" ref="H13">_xlfn.XLOOKUP(B13,$K$3:$K$6,$L$3:$L$6)*E13*G13*(1-INDEX($O$3:$P$5,_xlfn.XMATCH(C13,$N$3:$N$5,0),E13))</f>
        <v>454080</v>
      </c>
      <c r="I13" s="2" t="str" cm="1">
        <f t="array" ref="I13">fn사은품(E13,C13)</f>
        <v>문화상품권</v>
      </c>
      <c r="K13" s="2" t="s">
        <v>37</v>
      </c>
      <c r="L13" s="9">
        <v>2</v>
      </c>
      <c r="M13" s="12" t="str">
        <f t="array" ref="M13:M18">REPT("◈",FREQUENCY(MONTH(D3:D30),L13:L18))</f>
        <v>◈◈◈◈◈◈</v>
      </c>
    </row>
    <row r="14" spans="1:16" x14ac:dyDescent="0.3">
      <c r="A14" s="2" t="s">
        <v>62</v>
      </c>
      <c r="B14" s="2" t="s">
        <v>44</v>
      </c>
      <c r="C14" s="2" t="s">
        <v>34</v>
      </c>
      <c r="D14" s="7">
        <v>45459</v>
      </c>
      <c r="E14" s="2">
        <v>1</v>
      </c>
      <c r="F14" s="2" t="str">
        <f t="shared" si="0"/>
        <v>25년 05월호</v>
      </c>
      <c r="G14" s="2">
        <v>1</v>
      </c>
      <c r="H14" s="3" cm="1">
        <f t="array" ref="H14">_xlfn.XLOOKUP(B14,$K$3:$K$6,$L$3:$L$6)*E14*G14*(1-INDEX($O$3:$P$5,_xlfn.XMATCH(C14,$N$3:$N$5,0),E14))</f>
        <v>75650</v>
      </c>
      <c r="I14" s="2" t="str" cm="1">
        <f t="array" ref="I14">fn사은품(E14,C14)</f>
        <v>문화상품권</v>
      </c>
      <c r="K14" s="2" t="s">
        <v>38</v>
      </c>
      <c r="L14" s="9">
        <v>4</v>
      </c>
      <c r="M14" s="12" t="str">
        <v>◈◈</v>
      </c>
    </row>
    <row r="15" spans="1:16" x14ac:dyDescent="0.3">
      <c r="A15" s="2" t="s">
        <v>63</v>
      </c>
      <c r="B15" s="2" t="s">
        <v>48</v>
      </c>
      <c r="C15" s="2" t="s">
        <v>34</v>
      </c>
      <c r="D15" s="7">
        <v>45470</v>
      </c>
      <c r="E15" s="2">
        <v>1</v>
      </c>
      <c r="F15" s="2" t="str">
        <f t="shared" si="0"/>
        <v>25년 05월호</v>
      </c>
      <c r="G15" s="2">
        <v>3</v>
      </c>
      <c r="H15" s="3" cm="1">
        <f t="array" ref="H15">_xlfn.XLOOKUP(B15,$K$3:$K$6,$L$3:$L$6)*E15*G15*(1-INDEX($O$3:$P$5,_xlfn.XMATCH(C15,$N$3:$N$5,0),E15))</f>
        <v>336600</v>
      </c>
      <c r="I15" s="2" t="str" cm="1">
        <f t="array" ref="I15">fn사은품(E15,C15)</f>
        <v>문화상품권</v>
      </c>
      <c r="K15" s="2" t="s">
        <v>39</v>
      </c>
      <c r="L15" s="9">
        <v>6</v>
      </c>
      <c r="M15" s="12" t="str">
        <v>◈◈◈◈◈◈◈◈</v>
      </c>
    </row>
    <row r="16" spans="1:16" x14ac:dyDescent="0.3">
      <c r="A16" s="2" t="s">
        <v>64</v>
      </c>
      <c r="B16" s="2" t="s">
        <v>48</v>
      </c>
      <c r="C16" s="2" t="s">
        <v>33</v>
      </c>
      <c r="D16" s="7">
        <v>45485</v>
      </c>
      <c r="E16" s="2">
        <v>1</v>
      </c>
      <c r="F16" s="2" t="str">
        <f t="shared" si="0"/>
        <v>25년 06월호</v>
      </c>
      <c r="G16" s="2">
        <v>5</v>
      </c>
      <c r="H16" s="3" cm="1">
        <f t="array" ref="H16">_xlfn.XLOOKUP(B16,$K$3:$K$6,$L$3:$L$6)*E16*G16*(1-INDEX($O$3:$P$5,_xlfn.XMATCH(C16,$N$3:$N$5,0),E16))</f>
        <v>613800</v>
      </c>
      <c r="I16" s="2" t="str" cm="1">
        <f t="array" ref="I16">fn사은품(E16,C16)</f>
        <v/>
      </c>
      <c r="K16" s="2" t="s">
        <v>40</v>
      </c>
      <c r="L16" s="9">
        <v>8</v>
      </c>
      <c r="M16" s="12" t="str">
        <v>◈◈◈◈◈</v>
      </c>
    </row>
    <row r="17" spans="1:13" x14ac:dyDescent="0.3">
      <c r="A17" s="2" t="s">
        <v>65</v>
      </c>
      <c r="B17" s="2" t="s">
        <v>46</v>
      </c>
      <c r="C17" s="2" t="s">
        <v>34</v>
      </c>
      <c r="D17" s="7">
        <v>45503</v>
      </c>
      <c r="E17" s="2">
        <v>1</v>
      </c>
      <c r="F17" s="2" t="str">
        <f t="shared" si="0"/>
        <v>25년 06월호</v>
      </c>
      <c r="G17" s="2">
        <v>5</v>
      </c>
      <c r="H17" s="3" cm="1">
        <f t="array" ref="H17">_xlfn.XLOOKUP(B17,$K$3:$K$6,$L$3:$L$6)*E17*G17*(1-INDEX($O$3:$P$5,_xlfn.XMATCH(C17,$N$3:$N$5,0),E17))</f>
        <v>548250</v>
      </c>
      <c r="I17" s="2" t="str" cm="1">
        <f t="array" ref="I17">fn사은품(E17,C17)</f>
        <v>문화상품권</v>
      </c>
      <c r="K17" s="2" t="s">
        <v>41</v>
      </c>
      <c r="L17" s="9">
        <v>10</v>
      </c>
      <c r="M17" s="12" t="str">
        <v>◈◈◈◈</v>
      </c>
    </row>
    <row r="18" spans="1:13" x14ac:dyDescent="0.3">
      <c r="A18" s="2" t="s">
        <v>66</v>
      </c>
      <c r="B18" s="2" t="s">
        <v>48</v>
      </c>
      <c r="C18" s="2" t="s">
        <v>34</v>
      </c>
      <c r="D18" s="7">
        <v>45523</v>
      </c>
      <c r="E18" s="2">
        <v>2</v>
      </c>
      <c r="F18" s="2" t="str">
        <f t="shared" si="0"/>
        <v>26년 07월호</v>
      </c>
      <c r="G18" s="2">
        <v>4</v>
      </c>
      <c r="H18" s="3" cm="1">
        <f t="array" ref="H18">_xlfn.XLOOKUP(B18,$K$3:$K$6,$L$3:$L$6)*E18*G18*(1-INDEX($O$3:$P$5,_xlfn.XMATCH(C18,$N$3:$N$5,0),E18))</f>
        <v>844800</v>
      </c>
      <c r="I18" s="2" t="str" cm="1">
        <f t="array" ref="I18">fn사은품(E18,C18)</f>
        <v>문화상품권</v>
      </c>
      <c r="K18" s="2" t="s">
        <v>42</v>
      </c>
      <c r="L18" s="9">
        <v>12</v>
      </c>
      <c r="M18" s="12" t="str">
        <v>◈◈◈</v>
      </c>
    </row>
    <row r="19" spans="1:13" x14ac:dyDescent="0.3">
      <c r="A19" s="2" t="s">
        <v>67</v>
      </c>
      <c r="B19" s="2" t="s">
        <v>44</v>
      </c>
      <c r="C19" s="2" t="s">
        <v>34</v>
      </c>
      <c r="D19" s="7">
        <v>45533</v>
      </c>
      <c r="E19" s="2">
        <v>1</v>
      </c>
      <c r="F19" s="2" t="str">
        <f t="shared" si="0"/>
        <v>25년 07월호</v>
      </c>
      <c r="G19" s="2">
        <v>5</v>
      </c>
      <c r="H19" s="3" cm="1">
        <f t="array" ref="H19">_xlfn.XLOOKUP(B19,$K$3:$K$6,$L$3:$L$6)*E19*G19*(1-INDEX($O$3:$P$5,_xlfn.XMATCH(C19,$N$3:$N$5,0),E19))</f>
        <v>378250</v>
      </c>
      <c r="I19" s="2" t="str" cm="1">
        <f t="array" ref="I19">fn사은품(E19,C19)</f>
        <v>문화상품권</v>
      </c>
    </row>
    <row r="20" spans="1:13" x14ac:dyDescent="0.3">
      <c r="A20" s="2" t="s">
        <v>68</v>
      </c>
      <c r="B20" s="2" t="s">
        <v>48</v>
      </c>
      <c r="C20" s="2" t="s">
        <v>33</v>
      </c>
      <c r="D20" s="7">
        <v>45535</v>
      </c>
      <c r="E20" s="2">
        <v>1</v>
      </c>
      <c r="F20" s="2" t="str">
        <f t="shared" si="0"/>
        <v>25년 07월호</v>
      </c>
      <c r="G20" s="2">
        <v>1</v>
      </c>
      <c r="H20" s="3" cm="1">
        <f t="array" ref="H20">_xlfn.XLOOKUP(B20,$K$3:$K$6,$L$3:$L$6)*E20*G20*(1-INDEX($O$3:$P$5,_xlfn.XMATCH(C20,$N$3:$N$5,0),E20))</f>
        <v>122759.99999999999</v>
      </c>
      <c r="I20" s="2" t="str" cm="1">
        <f t="array" ref="I20">fn사은품(E20,C20)</f>
        <v/>
      </c>
    </row>
    <row r="21" spans="1:13" x14ac:dyDescent="0.3">
      <c r="A21" s="2" t="s">
        <v>69</v>
      </c>
      <c r="B21" s="2" t="s">
        <v>46</v>
      </c>
      <c r="C21" s="2" t="s">
        <v>33</v>
      </c>
      <c r="D21" s="7">
        <v>45541</v>
      </c>
      <c r="E21" s="2">
        <v>1</v>
      </c>
      <c r="F21" s="2" t="str">
        <f t="shared" si="0"/>
        <v>25년 08월호</v>
      </c>
      <c r="G21" s="2">
        <v>2</v>
      </c>
      <c r="H21" s="3" cm="1">
        <f t="array" ref="H21">_xlfn.XLOOKUP(B21,$K$3:$K$6,$L$3:$L$6)*E21*G21*(1-INDEX($O$3:$P$5,_xlfn.XMATCH(C21,$N$3:$N$5,0),E21))</f>
        <v>239939.99999999997</v>
      </c>
      <c r="I21" s="2" t="str" cm="1">
        <f t="array" ref="I21">fn사은품(E21,C21)</f>
        <v/>
      </c>
    </row>
    <row r="22" spans="1:13" x14ac:dyDescent="0.3">
      <c r="A22" s="2" t="s">
        <v>70</v>
      </c>
      <c r="B22" s="2" t="s">
        <v>46</v>
      </c>
      <c r="C22" s="2" t="s">
        <v>35</v>
      </c>
      <c r="D22" s="7">
        <v>45551</v>
      </c>
      <c r="E22" s="2">
        <v>2</v>
      </c>
      <c r="F22" s="2" t="str">
        <f t="shared" si="0"/>
        <v>26년 08월호</v>
      </c>
      <c r="G22" s="2">
        <v>4</v>
      </c>
      <c r="H22" s="3" cm="1">
        <f t="array" ref="H22">_xlfn.XLOOKUP(B22,$K$3:$K$6,$L$3:$L$6)*E22*G22*(1-INDEX($O$3:$P$5,_xlfn.XMATCH(C22,$N$3:$N$5,0),E22))</f>
        <v>877200</v>
      </c>
      <c r="I22" s="2" t="str" cm="1">
        <f t="array" ref="I22">fn사은품(E22,C22)</f>
        <v>문화상품권</v>
      </c>
    </row>
    <row r="23" spans="1:13" x14ac:dyDescent="0.3">
      <c r="A23" s="2" t="s">
        <v>71</v>
      </c>
      <c r="B23" s="2" t="s">
        <v>43</v>
      </c>
      <c r="C23" s="2" t="s">
        <v>33</v>
      </c>
      <c r="D23" s="7">
        <v>45560</v>
      </c>
      <c r="E23" s="2">
        <v>1</v>
      </c>
      <c r="F23" s="2" t="str">
        <f t="shared" si="0"/>
        <v>25년 08월호</v>
      </c>
      <c r="G23" s="2">
        <v>1</v>
      </c>
      <c r="H23" s="3" cm="1">
        <f t="array" ref="H23">_xlfn.XLOOKUP(B23,$K$3:$K$6,$L$3:$L$6)*E23*G23*(1-INDEX($O$3:$P$5,_xlfn.XMATCH(C23,$N$3:$N$5,0),E23))</f>
        <v>92070</v>
      </c>
      <c r="I23" s="2" t="str" cm="1">
        <f t="array" ref="I23">fn사은품(E23,C23)</f>
        <v/>
      </c>
    </row>
    <row r="24" spans="1:13" x14ac:dyDescent="0.3">
      <c r="A24" s="2" t="s">
        <v>72</v>
      </c>
      <c r="B24" s="2" t="s">
        <v>46</v>
      </c>
      <c r="C24" s="2" t="s">
        <v>34</v>
      </c>
      <c r="D24" s="7">
        <v>45568</v>
      </c>
      <c r="E24" s="2">
        <v>1</v>
      </c>
      <c r="F24" s="2" t="str">
        <f t="shared" si="0"/>
        <v>25년 09월호</v>
      </c>
      <c r="G24" s="2">
        <v>1</v>
      </c>
      <c r="H24" s="3" cm="1">
        <f t="array" ref="H24">_xlfn.XLOOKUP(B24,$K$3:$K$6,$L$3:$L$6)*E24*G24*(1-INDEX($O$3:$P$5,_xlfn.XMATCH(C24,$N$3:$N$5,0),E24))</f>
        <v>109650</v>
      </c>
      <c r="I24" s="2" t="str" cm="1">
        <f t="array" ref="I24">fn사은품(E24,C24)</f>
        <v>문화상품권</v>
      </c>
    </row>
    <row r="25" spans="1:13" x14ac:dyDescent="0.3">
      <c r="A25" s="2" t="s">
        <v>73</v>
      </c>
      <c r="B25" s="2" t="s">
        <v>48</v>
      </c>
      <c r="C25" s="2" t="s">
        <v>34</v>
      </c>
      <c r="D25" s="7">
        <v>45609</v>
      </c>
      <c r="E25" s="2">
        <v>2</v>
      </c>
      <c r="F25" s="2" t="str">
        <f t="shared" si="0"/>
        <v>26년 10월호</v>
      </c>
      <c r="G25" s="2">
        <v>3</v>
      </c>
      <c r="H25" s="3" cm="1">
        <f t="array" ref="H25">_xlfn.XLOOKUP(B25,$K$3:$K$6,$L$3:$L$6)*E25*G25*(1-INDEX($O$3:$P$5,_xlfn.XMATCH(C25,$N$3:$N$5,0),E25))</f>
        <v>633600</v>
      </c>
      <c r="I25" s="2" t="str" cm="1">
        <f t="array" ref="I25">fn사은품(E25,C25)</f>
        <v>문화상품권</v>
      </c>
    </row>
    <row r="26" spans="1:13" x14ac:dyDescent="0.3">
      <c r="A26" s="2" t="s">
        <v>74</v>
      </c>
      <c r="B26" s="2" t="s">
        <v>48</v>
      </c>
      <c r="C26" s="2" t="s">
        <v>34</v>
      </c>
      <c r="D26" s="7">
        <v>45609</v>
      </c>
      <c r="E26" s="2">
        <v>2</v>
      </c>
      <c r="F26" s="2" t="str">
        <f t="shared" si="0"/>
        <v>26년 10월호</v>
      </c>
      <c r="G26" s="2">
        <v>3</v>
      </c>
      <c r="H26" s="3" cm="1">
        <f t="array" ref="H26">_xlfn.XLOOKUP(B26,$K$3:$K$6,$L$3:$L$6)*E26*G26*(1-INDEX($O$3:$P$5,_xlfn.XMATCH(C26,$N$3:$N$5,0),E26))</f>
        <v>633600</v>
      </c>
      <c r="I26" s="2" t="str" cm="1">
        <f t="array" ref="I26">fn사은품(E26,C26)</f>
        <v>문화상품권</v>
      </c>
    </row>
    <row r="27" spans="1:13" x14ac:dyDescent="0.3">
      <c r="A27" s="2" t="s">
        <v>75</v>
      </c>
      <c r="B27" s="2" t="s">
        <v>43</v>
      </c>
      <c r="C27" s="2" t="s">
        <v>35</v>
      </c>
      <c r="D27" s="7">
        <v>45621</v>
      </c>
      <c r="E27" s="2">
        <v>1</v>
      </c>
      <c r="F27" s="2" t="str">
        <f t="shared" si="0"/>
        <v>25년 10월호</v>
      </c>
      <c r="G27" s="2">
        <v>1</v>
      </c>
      <c r="H27" s="3" cm="1">
        <f t="array" ref="H27">_xlfn.XLOOKUP(B27,$K$3:$K$6,$L$3:$L$6)*E27*G27*(1-INDEX($O$3:$P$5,_xlfn.XMATCH(C27,$N$3:$N$5,0),E27))</f>
        <v>87120</v>
      </c>
      <c r="I27" s="2" t="str" cm="1">
        <f t="array" ref="I27">fn사은품(E27,C27)</f>
        <v>문화상품권</v>
      </c>
    </row>
    <row r="28" spans="1:13" x14ac:dyDescent="0.3">
      <c r="A28" s="2" t="s">
        <v>76</v>
      </c>
      <c r="B28" s="2" t="s">
        <v>44</v>
      </c>
      <c r="C28" s="2" t="s">
        <v>33</v>
      </c>
      <c r="D28" s="7">
        <v>45667</v>
      </c>
      <c r="E28" s="2">
        <v>1</v>
      </c>
      <c r="F28" s="2" t="str">
        <f t="shared" si="0"/>
        <v>25년 12월호</v>
      </c>
      <c r="G28" s="2">
        <v>3</v>
      </c>
      <c r="H28" s="3" cm="1">
        <f t="array" ref="H28">_xlfn.XLOOKUP(B28,$K$3:$K$6,$L$3:$L$6)*E28*G28*(1-INDEX($O$3:$P$5,_xlfn.XMATCH(C28,$N$3:$N$5,0),E28))</f>
        <v>248309.99999999997</v>
      </c>
      <c r="I28" s="2" t="str" cm="1">
        <f t="array" ref="I28">fn사은품(E28,C28)</f>
        <v/>
      </c>
    </row>
    <row r="29" spans="1:13" x14ac:dyDescent="0.3">
      <c r="A29" s="2" t="s">
        <v>77</v>
      </c>
      <c r="B29" s="2" t="s">
        <v>48</v>
      </c>
      <c r="C29" s="2" t="s">
        <v>35</v>
      </c>
      <c r="D29" s="7">
        <v>45672</v>
      </c>
      <c r="E29" s="2">
        <v>1</v>
      </c>
      <c r="F29" s="2" t="str">
        <f t="shared" si="0"/>
        <v>25년 12월호</v>
      </c>
      <c r="G29" s="2">
        <v>5</v>
      </c>
      <c r="H29" s="3" cm="1">
        <f t="array" ref="H29">_xlfn.XLOOKUP(B29,$K$3:$K$6,$L$3:$L$6)*E29*G29*(1-INDEX($O$3:$P$5,_xlfn.XMATCH(C29,$N$3:$N$5,0),E29))</f>
        <v>580800</v>
      </c>
      <c r="I29" s="2" t="str" cm="1">
        <f t="array" ref="I29">fn사은품(E29,C29)</f>
        <v>문화상품권</v>
      </c>
    </row>
    <row r="30" spans="1:13" x14ac:dyDescent="0.3">
      <c r="A30" s="2" t="s">
        <v>78</v>
      </c>
      <c r="B30" s="2" t="s">
        <v>46</v>
      </c>
      <c r="C30" s="2" t="s">
        <v>34</v>
      </c>
      <c r="D30" s="7">
        <v>45803</v>
      </c>
      <c r="E30" s="2">
        <v>2</v>
      </c>
      <c r="F30" s="2" t="str">
        <f t="shared" si="0"/>
        <v>27년 04월호</v>
      </c>
      <c r="G30" s="2">
        <v>1</v>
      </c>
      <c r="H30" s="3" cm="1">
        <f t="array" ref="H30">_xlfn.XLOOKUP(B30,$K$3:$K$6,$L$3:$L$6)*E30*G30*(1-INDEX($O$3:$P$5,_xlfn.XMATCH(C30,$N$3:$N$5,0),E30))</f>
        <v>206400</v>
      </c>
      <c r="I30" s="2" t="str" cm="1">
        <f t="array" ref="I30">fn사은품(E30,C30)</f>
        <v>문화상품권</v>
      </c>
    </row>
  </sheetData>
  <mergeCells count="2">
    <mergeCell ref="K9:N9"/>
    <mergeCell ref="K12:L1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ED77-4096-4E3B-8B57-6023DF9C0F20}">
  <dimension ref="A1:I6"/>
  <sheetViews>
    <sheetView workbookViewId="0"/>
  </sheetViews>
  <sheetFormatPr defaultRowHeight="16.5" x14ac:dyDescent="0.3"/>
  <cols>
    <col min="1" max="2" width="20" bestFit="1" customWidth="1"/>
    <col min="3" max="3" width="18" bestFit="1" customWidth="1"/>
    <col min="4" max="5" width="20" bestFit="1" customWidth="1"/>
    <col min="6" max="7" width="16" bestFit="1" customWidth="1"/>
    <col min="8" max="8" width="21.375" bestFit="1" customWidth="1"/>
    <col min="9" max="9" width="28" bestFit="1" customWidth="1"/>
  </cols>
  <sheetData>
    <row r="1" spans="1:9" x14ac:dyDescent="0.3">
      <c r="A1" t="s">
        <v>241</v>
      </c>
    </row>
    <row r="3" spans="1:9" x14ac:dyDescent="0.3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  <c r="H3" t="s">
        <v>239</v>
      </c>
      <c r="I3" t="s">
        <v>238</v>
      </c>
    </row>
    <row r="4" spans="1:9" x14ac:dyDescent="0.3">
      <c r="A4" t="s">
        <v>6</v>
      </c>
      <c r="B4" t="s">
        <v>134</v>
      </c>
      <c r="C4" s="16">
        <v>45788</v>
      </c>
      <c r="D4" t="s">
        <v>135</v>
      </c>
      <c r="E4" t="s">
        <v>136</v>
      </c>
      <c r="F4">
        <v>5324</v>
      </c>
      <c r="G4">
        <v>954</v>
      </c>
      <c r="H4" t="s">
        <v>222</v>
      </c>
      <c r="I4">
        <v>5</v>
      </c>
    </row>
    <row r="5" spans="1:9" x14ac:dyDescent="0.3">
      <c r="A5" t="s">
        <v>6</v>
      </c>
      <c r="B5" t="s">
        <v>134</v>
      </c>
      <c r="C5" s="16">
        <v>45785</v>
      </c>
      <c r="D5" t="s">
        <v>240</v>
      </c>
      <c r="E5" t="s">
        <v>170</v>
      </c>
      <c r="F5">
        <v>4985</v>
      </c>
      <c r="G5">
        <v>1240</v>
      </c>
      <c r="H5" t="s">
        <v>222</v>
      </c>
      <c r="I5">
        <v>5</v>
      </c>
    </row>
    <row r="6" spans="1:9" x14ac:dyDescent="0.3">
      <c r="A6" t="s">
        <v>6</v>
      </c>
      <c r="B6" t="s">
        <v>134</v>
      </c>
      <c r="C6" s="16">
        <v>45794</v>
      </c>
      <c r="D6" t="s">
        <v>162</v>
      </c>
      <c r="E6" t="s">
        <v>163</v>
      </c>
      <c r="F6">
        <v>2210</v>
      </c>
      <c r="G6">
        <v>1243</v>
      </c>
      <c r="H6" t="s">
        <v>222</v>
      </c>
      <c r="I6">
        <v>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B9ACB-AE7B-400D-95B6-D2150D69392D}">
  <dimension ref="B4:H16"/>
  <sheetViews>
    <sheetView workbookViewId="0"/>
  </sheetViews>
  <sheetFormatPr defaultRowHeight="16.5" x14ac:dyDescent="0.3"/>
  <cols>
    <col min="2" max="2" width="17.125" bestFit="1" customWidth="1"/>
    <col min="3" max="3" width="9.625" bestFit="1" customWidth="1"/>
    <col min="4" max="4" width="10.75" bestFit="1" customWidth="1"/>
    <col min="5" max="9" width="8.375" bestFit="1" customWidth="1"/>
    <col min="10" max="10" width="7.875" bestFit="1" customWidth="1"/>
    <col min="11" max="12" width="9.875" bestFit="1" customWidth="1"/>
    <col min="13" max="14" width="14.5" bestFit="1" customWidth="1"/>
  </cols>
  <sheetData>
    <row r="4" spans="2:8" x14ac:dyDescent="0.3">
      <c r="D4" s="17" t="s">
        <v>132</v>
      </c>
    </row>
    <row r="5" spans="2:8" x14ac:dyDescent="0.3">
      <c r="B5" s="17" t="s">
        <v>230</v>
      </c>
      <c r="C5" s="17" t="s">
        <v>229</v>
      </c>
      <c r="D5" t="s">
        <v>144</v>
      </c>
      <c r="E5" t="s">
        <v>8</v>
      </c>
      <c r="F5" t="s">
        <v>137</v>
      </c>
      <c r="G5" t="s">
        <v>140</v>
      </c>
      <c r="H5" t="s">
        <v>6</v>
      </c>
    </row>
    <row r="6" spans="2:8" x14ac:dyDescent="0.3">
      <c r="B6" t="s">
        <v>222</v>
      </c>
      <c r="D6" s="18"/>
      <c r="E6" s="18"/>
      <c r="F6" s="18"/>
      <c r="G6" s="18"/>
      <c r="H6" s="18"/>
    </row>
    <row r="7" spans="2:8" x14ac:dyDescent="0.3">
      <c r="C7" t="s">
        <v>226</v>
      </c>
      <c r="D7" s="18">
        <v>1495</v>
      </c>
      <c r="E7" s="18">
        <v>4454.5</v>
      </c>
      <c r="F7" s="18">
        <v>2575.5</v>
      </c>
      <c r="G7" s="18">
        <v>1962</v>
      </c>
      <c r="H7" s="18">
        <v>4173</v>
      </c>
    </row>
    <row r="8" spans="2:8" x14ac:dyDescent="0.3">
      <c r="C8" t="s">
        <v>228</v>
      </c>
      <c r="D8" s="18">
        <v>380.5</v>
      </c>
      <c r="E8" s="18">
        <v>1936</v>
      </c>
      <c r="F8" s="18">
        <v>958</v>
      </c>
      <c r="G8" s="18">
        <v>1380</v>
      </c>
      <c r="H8" s="18">
        <v>1145.6666666666667</v>
      </c>
    </row>
    <row r="9" spans="2:8" x14ac:dyDescent="0.3">
      <c r="B9" t="s">
        <v>223</v>
      </c>
      <c r="D9" s="18"/>
      <c r="E9" s="18"/>
      <c r="F9" s="18"/>
      <c r="G9" s="18"/>
      <c r="H9" s="18"/>
    </row>
    <row r="10" spans="2:8" x14ac:dyDescent="0.3">
      <c r="C10" t="s">
        <v>226</v>
      </c>
      <c r="D10" s="18">
        <v>2087</v>
      </c>
      <c r="E10" s="18">
        <v>1724</v>
      </c>
      <c r="F10" s="18">
        <v>4571</v>
      </c>
      <c r="G10" s="18">
        <v>1882</v>
      </c>
      <c r="H10" s="18">
        <v>2921</v>
      </c>
    </row>
    <row r="11" spans="2:8" x14ac:dyDescent="0.3">
      <c r="C11" t="s">
        <v>228</v>
      </c>
      <c r="D11" s="18">
        <v>765</v>
      </c>
      <c r="E11" s="18">
        <v>821</v>
      </c>
      <c r="F11" s="18">
        <v>2525.5</v>
      </c>
      <c r="G11" s="18">
        <v>1053</v>
      </c>
      <c r="H11" s="18">
        <v>926</v>
      </c>
    </row>
    <row r="12" spans="2:8" x14ac:dyDescent="0.3">
      <c r="B12" t="s">
        <v>224</v>
      </c>
      <c r="D12" s="18"/>
      <c r="E12" s="18"/>
      <c r="F12" s="18"/>
      <c r="G12" s="18"/>
      <c r="H12" s="18"/>
    </row>
    <row r="13" spans="2:8" x14ac:dyDescent="0.3">
      <c r="C13" t="s">
        <v>226</v>
      </c>
      <c r="D13" s="18">
        <v>2263</v>
      </c>
      <c r="E13" s="18">
        <v>2927</v>
      </c>
      <c r="F13" s="18">
        <v>4939.5</v>
      </c>
      <c r="G13" s="18">
        <v>1819.5</v>
      </c>
      <c r="H13" s="18">
        <v>3080</v>
      </c>
    </row>
    <row r="14" spans="2:8" x14ac:dyDescent="0.3">
      <c r="C14" t="s">
        <v>228</v>
      </c>
      <c r="D14" s="18">
        <v>1360</v>
      </c>
      <c r="E14" s="18">
        <v>1353.5</v>
      </c>
      <c r="F14" s="18">
        <v>2534</v>
      </c>
      <c r="G14" s="18">
        <v>688</v>
      </c>
      <c r="H14" s="18">
        <v>1557.5</v>
      </c>
    </row>
    <row r="15" spans="2:8" x14ac:dyDescent="0.3">
      <c r="B15" t="s">
        <v>225</v>
      </c>
      <c r="D15" s="18">
        <v>1885.4</v>
      </c>
      <c r="E15" s="18">
        <v>2847.8571428571427</v>
      </c>
      <c r="F15" s="18">
        <v>4028.6666666666665</v>
      </c>
      <c r="G15" s="18">
        <v>1873</v>
      </c>
      <c r="H15" s="18">
        <v>3503</v>
      </c>
    </row>
    <row r="16" spans="2:8" x14ac:dyDescent="0.3">
      <c r="B16" t="s">
        <v>227</v>
      </c>
      <c r="D16" s="18">
        <v>730.2</v>
      </c>
      <c r="E16" s="18">
        <v>1291.7142857142858</v>
      </c>
      <c r="F16" s="18">
        <v>2005.8333333333333</v>
      </c>
      <c r="G16" s="18">
        <v>972.4</v>
      </c>
      <c r="H16" s="18">
        <v>1200.5714285714287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24"/>
  <sheetViews>
    <sheetView workbookViewId="0"/>
  </sheetViews>
  <sheetFormatPr defaultRowHeight="16.5" x14ac:dyDescent="0.3"/>
  <sheetData>
    <row r="1" spans="1:11" x14ac:dyDescent="0.3">
      <c r="A1" t="s">
        <v>10</v>
      </c>
      <c r="I1" t="s">
        <v>127</v>
      </c>
    </row>
    <row r="2" spans="1:11" x14ac:dyDescent="0.3">
      <c r="A2" t="s">
        <v>0</v>
      </c>
      <c r="B2" t="s">
        <v>1</v>
      </c>
      <c r="C2" t="s">
        <v>2</v>
      </c>
      <c r="D2" t="s">
        <v>187</v>
      </c>
      <c r="E2" t="s">
        <v>3</v>
      </c>
      <c r="F2" t="s">
        <v>4</v>
      </c>
      <c r="G2" t="s">
        <v>5</v>
      </c>
      <c r="I2" s="2" t="s">
        <v>0</v>
      </c>
      <c r="J2" s="2" t="s">
        <v>4</v>
      </c>
      <c r="K2" s="2" t="s">
        <v>5</v>
      </c>
    </row>
    <row r="3" spans="1:11" x14ac:dyDescent="0.3">
      <c r="A3" t="s">
        <v>7</v>
      </c>
      <c r="B3" t="s">
        <v>188</v>
      </c>
      <c r="C3">
        <v>2025.03</v>
      </c>
      <c r="D3" t="s">
        <v>189</v>
      </c>
      <c r="E3" t="s">
        <v>190</v>
      </c>
      <c r="F3">
        <v>3279</v>
      </c>
      <c r="G3">
        <v>1837</v>
      </c>
      <c r="I3" s="2" t="s">
        <v>8</v>
      </c>
      <c r="J3" s="13">
        <v>3635.4</v>
      </c>
      <c r="K3" s="13">
        <v>1368.8</v>
      </c>
    </row>
    <row r="4" spans="1:11" x14ac:dyDescent="0.3">
      <c r="A4" t="s">
        <v>9</v>
      </c>
      <c r="B4" t="s">
        <v>191</v>
      </c>
      <c r="C4">
        <v>2025.11</v>
      </c>
      <c r="D4">
        <v>4500</v>
      </c>
      <c r="E4" t="s">
        <v>192</v>
      </c>
      <c r="F4">
        <v>3737</v>
      </c>
      <c r="G4">
        <v>1547</v>
      </c>
      <c r="I4" s="2" t="s">
        <v>7</v>
      </c>
      <c r="J4" s="13">
        <v>3114.7142857142858</v>
      </c>
      <c r="K4" s="13">
        <v>1096.1428571428571</v>
      </c>
    </row>
    <row r="5" spans="1:11" x14ac:dyDescent="0.3">
      <c r="A5" t="s">
        <v>6</v>
      </c>
      <c r="B5" t="s">
        <v>193</v>
      </c>
      <c r="C5">
        <v>2025.05</v>
      </c>
      <c r="D5">
        <v>1729</v>
      </c>
      <c r="E5" t="s">
        <v>194</v>
      </c>
      <c r="F5">
        <v>3832</v>
      </c>
      <c r="G5">
        <v>817</v>
      </c>
      <c r="I5" s="2" t="s">
        <v>9</v>
      </c>
      <c r="J5" s="13">
        <v>2856</v>
      </c>
      <c r="K5" s="13">
        <v>1377.5</v>
      </c>
    </row>
    <row r="6" spans="1:11" x14ac:dyDescent="0.3">
      <c r="A6" t="s">
        <v>6</v>
      </c>
      <c r="B6" t="s">
        <v>193</v>
      </c>
      <c r="C6">
        <v>2025.07</v>
      </c>
      <c r="D6" t="s">
        <v>195</v>
      </c>
      <c r="E6" t="s">
        <v>196</v>
      </c>
      <c r="F6">
        <v>5257</v>
      </c>
      <c r="G6">
        <v>826</v>
      </c>
      <c r="I6" s="2" t="s">
        <v>6</v>
      </c>
      <c r="J6" s="13">
        <v>2578.8333333333335</v>
      </c>
      <c r="K6" s="13">
        <v>665.83333333333337</v>
      </c>
    </row>
    <row r="7" spans="1:11" x14ac:dyDescent="0.3">
      <c r="A7" t="s">
        <v>7</v>
      </c>
      <c r="B7" t="s">
        <v>188</v>
      </c>
      <c r="C7">
        <v>2025.01</v>
      </c>
      <c r="D7">
        <v>5126</v>
      </c>
      <c r="E7" t="s">
        <v>197</v>
      </c>
      <c r="F7">
        <v>2643</v>
      </c>
      <c r="G7">
        <v>1825</v>
      </c>
    </row>
    <row r="8" spans="1:11" x14ac:dyDescent="0.3">
      <c r="A8" t="s">
        <v>6</v>
      </c>
      <c r="B8" t="s">
        <v>193</v>
      </c>
      <c r="C8">
        <v>2025.04</v>
      </c>
      <c r="D8">
        <v>7586</v>
      </c>
      <c r="E8" t="s">
        <v>198</v>
      </c>
      <c r="F8">
        <v>2894</v>
      </c>
      <c r="G8">
        <v>187</v>
      </c>
    </row>
    <row r="9" spans="1:11" x14ac:dyDescent="0.3">
      <c r="A9" t="s">
        <v>6</v>
      </c>
      <c r="B9" t="s">
        <v>193</v>
      </c>
      <c r="C9">
        <v>2025.08</v>
      </c>
      <c r="D9">
        <v>4465</v>
      </c>
      <c r="E9" t="s">
        <v>199</v>
      </c>
      <c r="F9">
        <v>785</v>
      </c>
      <c r="G9">
        <v>351</v>
      </c>
    </row>
    <row r="10" spans="1:11" x14ac:dyDescent="0.3">
      <c r="A10" t="s">
        <v>8</v>
      </c>
      <c r="B10" t="s">
        <v>200</v>
      </c>
      <c r="C10">
        <v>2025.09</v>
      </c>
      <c r="D10" t="s">
        <v>201</v>
      </c>
      <c r="E10" t="s">
        <v>202</v>
      </c>
      <c r="F10">
        <v>4049</v>
      </c>
      <c r="G10">
        <v>1968</v>
      </c>
    </row>
    <row r="11" spans="1:11" x14ac:dyDescent="0.3">
      <c r="A11" t="s">
        <v>8</v>
      </c>
      <c r="B11" t="s">
        <v>200</v>
      </c>
      <c r="C11">
        <v>2025.07</v>
      </c>
      <c r="D11">
        <v>1685</v>
      </c>
      <c r="E11" t="s">
        <v>203</v>
      </c>
      <c r="F11">
        <v>1614</v>
      </c>
      <c r="G11">
        <v>1066</v>
      </c>
    </row>
    <row r="12" spans="1:11" x14ac:dyDescent="0.3">
      <c r="A12" t="s">
        <v>8</v>
      </c>
      <c r="B12" t="s">
        <v>200</v>
      </c>
      <c r="C12">
        <v>2025.03</v>
      </c>
      <c r="D12">
        <v>6938</v>
      </c>
      <c r="E12" t="s">
        <v>204</v>
      </c>
      <c r="F12">
        <v>4648</v>
      </c>
      <c r="G12">
        <v>995</v>
      </c>
    </row>
    <row r="13" spans="1:11" x14ac:dyDescent="0.3">
      <c r="A13" t="s">
        <v>6</v>
      </c>
      <c r="B13" t="s">
        <v>193</v>
      </c>
      <c r="C13">
        <v>2025.03</v>
      </c>
      <c r="D13">
        <v>1355</v>
      </c>
      <c r="E13" t="s">
        <v>205</v>
      </c>
      <c r="F13">
        <v>1794</v>
      </c>
      <c r="G13">
        <v>642</v>
      </c>
    </row>
    <row r="14" spans="1:11" x14ac:dyDescent="0.3">
      <c r="A14" t="s">
        <v>7</v>
      </c>
      <c r="B14" t="s">
        <v>188</v>
      </c>
      <c r="C14">
        <v>2025.02</v>
      </c>
      <c r="D14">
        <v>2892</v>
      </c>
      <c r="E14" t="s">
        <v>206</v>
      </c>
      <c r="F14">
        <v>3819</v>
      </c>
      <c r="G14">
        <v>399</v>
      </c>
    </row>
    <row r="15" spans="1:11" x14ac:dyDescent="0.3">
      <c r="A15" t="s">
        <v>7</v>
      </c>
      <c r="B15" t="s">
        <v>188</v>
      </c>
      <c r="C15">
        <v>2025.06</v>
      </c>
      <c r="D15">
        <v>6187</v>
      </c>
      <c r="E15" t="s">
        <v>207</v>
      </c>
      <c r="F15">
        <v>1938</v>
      </c>
      <c r="G15">
        <v>751</v>
      </c>
    </row>
    <row r="16" spans="1:11" x14ac:dyDescent="0.3">
      <c r="A16" t="s">
        <v>8</v>
      </c>
      <c r="B16" t="s">
        <v>200</v>
      </c>
      <c r="C16">
        <v>2025.05</v>
      </c>
      <c r="D16">
        <v>1902</v>
      </c>
      <c r="E16" t="s">
        <v>208</v>
      </c>
      <c r="F16">
        <v>3199</v>
      </c>
      <c r="G16">
        <v>837</v>
      </c>
    </row>
    <row r="17" spans="1:7" x14ac:dyDescent="0.3">
      <c r="A17" t="s">
        <v>9</v>
      </c>
      <c r="B17" t="s">
        <v>191</v>
      </c>
      <c r="C17">
        <v>2025.02</v>
      </c>
      <c r="D17" t="s">
        <v>209</v>
      </c>
      <c r="E17" t="s">
        <v>210</v>
      </c>
      <c r="F17">
        <v>4996</v>
      </c>
      <c r="G17">
        <v>436</v>
      </c>
    </row>
    <row r="18" spans="1:7" x14ac:dyDescent="0.3">
      <c r="A18" t="s">
        <v>6</v>
      </c>
      <c r="B18" t="s">
        <v>193</v>
      </c>
      <c r="C18">
        <v>2025.11</v>
      </c>
      <c r="D18" t="s">
        <v>211</v>
      </c>
      <c r="E18" t="s">
        <v>212</v>
      </c>
      <c r="F18">
        <v>911</v>
      </c>
      <c r="G18">
        <v>1172</v>
      </c>
    </row>
    <row r="19" spans="1:7" x14ac:dyDescent="0.3">
      <c r="A19" t="s">
        <v>7</v>
      </c>
      <c r="B19" t="s">
        <v>188</v>
      </c>
      <c r="C19">
        <v>2025.01</v>
      </c>
      <c r="D19" t="s">
        <v>213</v>
      </c>
      <c r="E19" t="s">
        <v>214</v>
      </c>
      <c r="F19">
        <v>5333</v>
      </c>
      <c r="G19">
        <v>693</v>
      </c>
    </row>
    <row r="20" spans="1:7" x14ac:dyDescent="0.3">
      <c r="A20" t="s">
        <v>8</v>
      </c>
      <c r="B20" t="s">
        <v>200</v>
      </c>
      <c r="C20">
        <v>2025.08</v>
      </c>
      <c r="D20">
        <v>5383</v>
      </c>
      <c r="E20" t="s">
        <v>215</v>
      </c>
      <c r="F20">
        <v>4667</v>
      </c>
      <c r="G20">
        <v>1978</v>
      </c>
    </row>
    <row r="21" spans="1:7" x14ac:dyDescent="0.3">
      <c r="A21" t="s">
        <v>7</v>
      </c>
      <c r="B21" t="s">
        <v>188</v>
      </c>
      <c r="C21">
        <v>2025.12</v>
      </c>
      <c r="D21">
        <v>7743</v>
      </c>
      <c r="E21" t="s">
        <v>216</v>
      </c>
      <c r="F21">
        <v>3596</v>
      </c>
      <c r="G21">
        <v>832</v>
      </c>
    </row>
    <row r="22" spans="1:7" x14ac:dyDescent="0.3">
      <c r="A22" t="s">
        <v>9</v>
      </c>
      <c r="B22" t="s">
        <v>191</v>
      </c>
      <c r="C22">
        <v>2025.05</v>
      </c>
      <c r="D22">
        <v>7492</v>
      </c>
      <c r="E22" t="s">
        <v>217</v>
      </c>
      <c r="F22">
        <v>1525</v>
      </c>
      <c r="G22">
        <v>1736</v>
      </c>
    </row>
    <row r="23" spans="1:7" x14ac:dyDescent="0.3">
      <c r="A23" t="s">
        <v>9</v>
      </c>
      <c r="B23" t="s">
        <v>191</v>
      </c>
      <c r="C23">
        <v>2025.08</v>
      </c>
      <c r="D23">
        <v>2318</v>
      </c>
      <c r="E23" t="s">
        <v>218</v>
      </c>
      <c r="F23">
        <v>1166</v>
      </c>
      <c r="G23">
        <v>1791</v>
      </c>
    </row>
    <row r="24" spans="1:7" x14ac:dyDescent="0.3">
      <c r="A24" t="s">
        <v>7</v>
      </c>
      <c r="B24" t="s">
        <v>188</v>
      </c>
      <c r="C24">
        <v>2025.06</v>
      </c>
      <c r="D24">
        <v>6181</v>
      </c>
      <c r="E24" t="s">
        <v>219</v>
      </c>
      <c r="F24">
        <v>1195</v>
      </c>
      <c r="G24">
        <v>1336</v>
      </c>
    </row>
  </sheetData>
  <dataConsolidate function="average" topLabels="1">
    <dataRefs count="1">
      <dataRef ref="A2:G24" sheet="분석작업-2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F7"/>
  <sheetViews>
    <sheetView workbookViewId="0"/>
  </sheetViews>
  <sheetFormatPr defaultRowHeight="16.5" x14ac:dyDescent="0.3"/>
  <cols>
    <col min="2" max="2" width="13.75" customWidth="1"/>
  </cols>
  <sheetData>
    <row r="2" spans="2:6" x14ac:dyDescent="0.3">
      <c r="B2" t="s">
        <v>131</v>
      </c>
    </row>
    <row r="4" spans="2:6" x14ac:dyDescent="0.3">
      <c r="B4" s="2" t="s">
        <v>15</v>
      </c>
      <c r="C4" s="2" t="s">
        <v>221</v>
      </c>
      <c r="D4" s="2" t="s">
        <v>220</v>
      </c>
      <c r="E4" s="2" t="s">
        <v>242</v>
      </c>
      <c r="F4" s="2" t="s">
        <v>243</v>
      </c>
    </row>
    <row r="5" spans="2:6" x14ac:dyDescent="0.3">
      <c r="B5" s="2" t="s">
        <v>128</v>
      </c>
      <c r="C5" s="3">
        <v>4125</v>
      </c>
      <c r="D5" s="3">
        <v>3248</v>
      </c>
      <c r="E5" s="3">
        <v>3550</v>
      </c>
      <c r="F5" s="3">
        <v>4358</v>
      </c>
    </row>
    <row r="6" spans="2:6" x14ac:dyDescent="0.3">
      <c r="B6" s="2" t="s">
        <v>129</v>
      </c>
      <c r="C6" s="3">
        <v>2120</v>
      </c>
      <c r="D6" s="3">
        <v>3592</v>
      </c>
      <c r="E6" s="3">
        <v>2621</v>
      </c>
      <c r="F6" s="3">
        <v>1850</v>
      </c>
    </row>
    <row r="7" spans="2:6" x14ac:dyDescent="0.3">
      <c r="B7" s="2" t="s">
        <v>130</v>
      </c>
      <c r="C7" s="3">
        <v>1020</v>
      </c>
      <c r="D7" s="3">
        <v>1150</v>
      </c>
      <c r="E7" s="3">
        <v>2750</v>
      </c>
      <c r="F7" s="3">
        <v>1820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F16"/>
  <sheetViews>
    <sheetView workbookViewId="0"/>
  </sheetViews>
  <sheetFormatPr defaultRowHeight="16.5" x14ac:dyDescent="0.3"/>
  <cols>
    <col min="2" max="2" width="10.25" customWidth="1"/>
    <col min="3" max="3" width="12.5" bestFit="1" customWidth="1"/>
    <col min="4" max="4" width="15.25" customWidth="1"/>
    <col min="5" max="5" width="11.75" customWidth="1"/>
    <col min="6" max="6" width="11.125" customWidth="1"/>
  </cols>
  <sheetData>
    <row r="2" spans="2:6" x14ac:dyDescent="0.3">
      <c r="B2" s="2" t="s">
        <v>96</v>
      </c>
      <c r="C2" s="2" t="s">
        <v>94</v>
      </c>
      <c r="D2" s="2" t="s">
        <v>95</v>
      </c>
      <c r="E2" s="2" t="s">
        <v>97</v>
      </c>
      <c r="F2" s="2" t="s">
        <v>98</v>
      </c>
    </row>
    <row r="3" spans="2:6" x14ac:dyDescent="0.3">
      <c r="B3" s="2" t="s">
        <v>99</v>
      </c>
      <c r="C3" s="14">
        <v>3202</v>
      </c>
      <c r="D3" s="2" t="s">
        <v>113</v>
      </c>
      <c r="E3" s="15">
        <v>1200</v>
      </c>
      <c r="F3" s="1">
        <v>20</v>
      </c>
    </row>
    <row r="4" spans="2:6" x14ac:dyDescent="0.3">
      <c r="B4" s="2" t="s">
        <v>100</v>
      </c>
      <c r="C4" s="14">
        <v>31105</v>
      </c>
      <c r="D4" s="2" t="s">
        <v>114</v>
      </c>
      <c r="E4" s="15">
        <v>350</v>
      </c>
      <c r="F4" s="1">
        <v>30</v>
      </c>
    </row>
    <row r="5" spans="2:6" x14ac:dyDescent="0.3">
      <c r="B5" s="2" t="s">
        <v>101</v>
      </c>
      <c r="C5" s="14">
        <v>3105</v>
      </c>
      <c r="D5" s="2" t="s">
        <v>115</v>
      </c>
      <c r="E5" s="15">
        <v>100</v>
      </c>
      <c r="F5" s="1">
        <v>50</v>
      </c>
    </row>
    <row r="6" spans="2:6" x14ac:dyDescent="0.3">
      <c r="B6" s="2" t="s">
        <v>102</v>
      </c>
      <c r="C6" s="14">
        <v>3702</v>
      </c>
      <c r="D6" s="2" t="s">
        <v>116</v>
      </c>
      <c r="E6" s="15">
        <v>1150</v>
      </c>
      <c r="F6" s="1">
        <v>35</v>
      </c>
    </row>
    <row r="7" spans="2:6" x14ac:dyDescent="0.3">
      <c r="B7" s="2" t="s">
        <v>103</v>
      </c>
      <c r="C7" s="14">
        <v>31203</v>
      </c>
      <c r="D7" s="2" t="s">
        <v>117</v>
      </c>
      <c r="E7" s="15">
        <v>852</v>
      </c>
      <c r="F7" s="1">
        <v>42</v>
      </c>
    </row>
    <row r="8" spans="2:6" x14ac:dyDescent="0.3">
      <c r="B8" s="2" t="s">
        <v>104</v>
      </c>
      <c r="C8" s="14">
        <v>31401</v>
      </c>
      <c r="D8" s="2" t="s">
        <v>118</v>
      </c>
      <c r="E8" s="15">
        <v>510</v>
      </c>
      <c r="F8" s="1">
        <v>31</v>
      </c>
    </row>
    <row r="9" spans="2:6" x14ac:dyDescent="0.3">
      <c r="B9" s="2" t="s">
        <v>105</v>
      </c>
      <c r="C9" s="14">
        <v>31506</v>
      </c>
      <c r="D9" s="2" t="s">
        <v>119</v>
      </c>
      <c r="E9" s="15">
        <v>380</v>
      </c>
      <c r="F9" s="1">
        <v>28</v>
      </c>
    </row>
    <row r="10" spans="2:6" x14ac:dyDescent="0.3">
      <c r="B10" s="2" t="s">
        <v>106</v>
      </c>
      <c r="C10" s="14">
        <v>3904</v>
      </c>
      <c r="D10" s="2" t="s">
        <v>120</v>
      </c>
      <c r="E10" s="15">
        <v>120</v>
      </c>
      <c r="F10" s="1">
        <v>18</v>
      </c>
    </row>
    <row r="11" spans="2:6" x14ac:dyDescent="0.3">
      <c r="B11" s="2" t="s">
        <v>107</v>
      </c>
      <c r="C11" s="14">
        <v>5101</v>
      </c>
      <c r="D11" s="2" t="s">
        <v>121</v>
      </c>
      <c r="E11" s="15">
        <v>1050</v>
      </c>
      <c r="F11" s="1">
        <v>15</v>
      </c>
    </row>
    <row r="12" spans="2:6" x14ac:dyDescent="0.3">
      <c r="B12" s="2" t="s">
        <v>108</v>
      </c>
      <c r="C12" s="14">
        <v>51101</v>
      </c>
      <c r="D12" s="2" t="s">
        <v>122</v>
      </c>
      <c r="E12" s="15">
        <v>452</v>
      </c>
      <c r="F12" s="1">
        <v>24</v>
      </c>
    </row>
    <row r="13" spans="2:6" x14ac:dyDescent="0.3">
      <c r="B13" s="2" t="s">
        <v>109</v>
      </c>
      <c r="C13" s="14">
        <v>51302</v>
      </c>
      <c r="D13" s="2" t="s">
        <v>123</v>
      </c>
      <c r="E13" s="15">
        <v>112</v>
      </c>
      <c r="F13" s="1">
        <v>22</v>
      </c>
    </row>
    <row r="14" spans="2:6" x14ac:dyDescent="0.3">
      <c r="B14" s="2" t="s">
        <v>110</v>
      </c>
      <c r="C14" s="14">
        <v>5202</v>
      </c>
      <c r="D14" s="2" t="s">
        <v>124</v>
      </c>
      <c r="E14" s="15">
        <v>698</v>
      </c>
      <c r="F14" s="1">
        <v>37</v>
      </c>
    </row>
    <row r="15" spans="2:6" x14ac:dyDescent="0.3">
      <c r="B15" s="2" t="s">
        <v>111</v>
      </c>
      <c r="C15" s="14">
        <v>5404</v>
      </c>
      <c r="D15" s="2" t="s">
        <v>125</v>
      </c>
      <c r="E15" s="15">
        <v>1010</v>
      </c>
      <c r="F15" s="1">
        <v>36</v>
      </c>
    </row>
    <row r="16" spans="2:6" x14ac:dyDescent="0.3">
      <c r="B16" s="2" t="s">
        <v>112</v>
      </c>
      <c r="C16" s="14">
        <v>51503</v>
      </c>
      <c r="D16" s="2" t="s">
        <v>126</v>
      </c>
      <c r="E16" s="15">
        <v>950</v>
      </c>
      <c r="F16" s="1">
        <v>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아파트동호수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전기사용량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3:L12"/>
  <sheetViews>
    <sheetView workbookViewId="0"/>
  </sheetViews>
  <sheetFormatPr defaultRowHeight="16.5" x14ac:dyDescent="0.3"/>
  <cols>
    <col min="1" max="1" width="1.625" customWidth="1"/>
    <col min="4" max="4" width="12.375" customWidth="1"/>
    <col min="6" max="6" width="10.75" customWidth="1"/>
    <col min="8" max="8" width="10.375" customWidth="1"/>
    <col min="9" max="10" width="11.5" customWidth="1"/>
    <col min="11" max="11" width="1.625" customWidth="1"/>
    <col min="12" max="12" width="15.125" customWidth="1"/>
  </cols>
  <sheetData>
    <row r="3" spans="2:12" x14ac:dyDescent="0.3">
      <c r="H3" t="s">
        <v>93</v>
      </c>
      <c r="I3" s="24">
        <v>45836.764409722222</v>
      </c>
      <c r="J3" s="25"/>
    </row>
    <row r="5" spans="2:12" x14ac:dyDescent="0.3">
      <c r="B5" s="2" t="s">
        <v>16</v>
      </c>
      <c r="C5" s="2" t="s">
        <v>17</v>
      </c>
      <c r="D5" s="2" t="s">
        <v>88</v>
      </c>
      <c r="E5" s="2" t="s">
        <v>18</v>
      </c>
      <c r="F5" s="2" t="s">
        <v>19</v>
      </c>
      <c r="G5" s="2" t="s">
        <v>20</v>
      </c>
      <c r="H5" s="2" t="s">
        <v>92</v>
      </c>
      <c r="I5" s="2" t="s">
        <v>91</v>
      </c>
      <c r="J5" s="2" t="s">
        <v>21</v>
      </c>
      <c r="L5" s="2" t="s">
        <v>87</v>
      </c>
    </row>
    <row r="6" spans="2:12" x14ac:dyDescent="0.3">
      <c r="B6" s="4">
        <v>1</v>
      </c>
      <c r="C6" s="4" t="s">
        <v>22</v>
      </c>
      <c r="D6" s="4" t="s">
        <v>86</v>
      </c>
      <c r="E6" s="4" t="s">
        <v>90</v>
      </c>
      <c r="F6" s="5">
        <v>31146</v>
      </c>
      <c r="G6" s="4">
        <v>35</v>
      </c>
      <c r="H6" s="4">
        <v>60</v>
      </c>
      <c r="I6" s="4">
        <v>175</v>
      </c>
      <c r="J6" s="4">
        <v>19.591836730000001</v>
      </c>
      <c r="L6" s="10" t="s">
        <v>83</v>
      </c>
    </row>
    <row r="7" spans="2:12" x14ac:dyDescent="0.3">
      <c r="F7" s="16"/>
      <c r="L7" s="10" t="s">
        <v>82</v>
      </c>
    </row>
    <row r="8" spans="2:12" x14ac:dyDescent="0.3">
      <c r="F8" s="16"/>
      <c r="L8" s="10" t="s">
        <v>80</v>
      </c>
    </row>
    <row r="9" spans="2:12" x14ac:dyDescent="0.3">
      <c r="F9" s="16"/>
      <c r="L9" s="10" t="s">
        <v>81</v>
      </c>
    </row>
    <row r="10" spans="2:12" x14ac:dyDescent="0.3">
      <c r="L10" s="2" t="s">
        <v>84</v>
      </c>
    </row>
    <row r="11" spans="2:12" x14ac:dyDescent="0.3">
      <c r="L11" s="2" t="s">
        <v>85</v>
      </c>
    </row>
    <row r="12" spans="2:12" x14ac:dyDescent="0.3">
      <c r="L12" s="10" t="s">
        <v>89</v>
      </c>
    </row>
  </sheetData>
  <mergeCells count="1">
    <mergeCell ref="I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19050</xdr:colOff>
                <xdr:row>3</xdr:row>
                <xdr:rowOff>28575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08C5FD-0CD4-4F9A-B4EF-0E2469F8AA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계산작업</vt:lpstr>
      <vt:lpstr>5월제주공항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2023-10-15T04:13:26Z</cp:lastPrinted>
  <dcterms:created xsi:type="dcterms:W3CDTF">2021-03-11T05:14:31Z</dcterms:created>
  <dcterms:modified xsi:type="dcterms:W3CDTF">2023-10-27T10:31:37Z</dcterms:modified>
</cp:coreProperties>
</file>