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 hidePivotFieldList="1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3권_문제집\스프레드시트 상시시험문제\정답\"/>
    </mc:Choice>
  </mc:AlternateContent>
  <xr:revisionPtr revIDLastSave="0" documentId="13_ncr:1_{5FA36B74-8C39-4890-8CE7-CA164C8E171A}" xr6:coauthVersionLast="47" xr6:coauthVersionMax="47" xr10:uidLastSave="{00000000-0000-0000-0000-000000000000}"/>
  <bookViews>
    <workbookView xWindow="17925" yWindow="1020" windowWidth="16515" windowHeight="14205" tabRatio="694" activeTab="2" xr2:uid="{00000000-000D-0000-FFFF-FFFF00000000}"/>
  </bookViews>
  <sheets>
    <sheet name="기본작업-1" sheetId="9" r:id="rId1"/>
    <sheet name="기본작업-2" sheetId="2" r:id="rId2"/>
    <sheet name="계산작업" sheetId="3" r:id="rId3"/>
    <sheet name="분석작업-1" sheetId="8" r:id="rId4"/>
    <sheet name="분석작업-2" sheetId="10" r:id="rId5"/>
    <sheet name="기타작업-1" sheetId="6" r:id="rId6"/>
    <sheet name="기타작업-2" sheetId="5" r:id="rId7"/>
    <sheet name="기타작업-3" sheetId="7" r:id="rId8"/>
  </sheets>
  <functionGroups builtInGroupCount="19"/>
  <definedNames>
    <definedName name="_xlnm._FilterDatabase" localSheetId="0" hidden="1">'기본작업-1'!$A$2:$H$29</definedName>
    <definedName name="_xlnm._FilterDatabase" localSheetId="1" hidden="1">'기본작업-2'!$A$2:$H$29</definedName>
    <definedName name="_xlnm._FilterDatabase" localSheetId="4" hidden="1">'분석작업-2'!$A$1:$H$28</definedName>
    <definedName name="_xlnm.Criteria" localSheetId="0">'기본작업-1'!$A$32:$A$33</definedName>
    <definedName name="_xlnm.Criteria" localSheetId="1">'기본작업-2'!#REF!</definedName>
    <definedName name="_xlnm.Extract" localSheetId="0">'기본작업-1'!$B$35:$E$35</definedName>
    <definedName name="_xlnm.Extract" localSheetId="1">'기본작업-2'!#REF!</definedName>
    <definedName name="_xlnm.Print_Area" localSheetId="1">'기본작업-2'!$A$2:$H$30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3" l="1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" i="3"/>
  <c r="A33" i="9"/>
  <c r="K4" i="3" a="1"/>
  <c r="K14" i="3" a="1"/>
  <c r="K24" i="3" a="1"/>
  <c r="K5" i="3" a="1"/>
  <c r="K15" i="3" a="1"/>
  <c r="K25" i="3" a="1"/>
  <c r="K6" i="3" a="1"/>
  <c r="K16" i="3" a="1"/>
  <c r="K26" i="3" a="1"/>
  <c r="K7" i="3" a="1"/>
  <c r="K17" i="3" a="1"/>
  <c r="K27" i="3" a="1"/>
  <c r="K8" i="3" a="1"/>
  <c r="K18" i="3" a="1"/>
  <c r="K28" i="3" a="1"/>
  <c r="K9" i="3" a="1"/>
  <c r="K19" i="3" a="1"/>
  <c r="K29" i="3" a="1"/>
  <c r="K10" i="3" a="1"/>
  <c r="K20" i="3" a="1"/>
  <c r="K11" i="3" a="1"/>
  <c r="K21" i="3" a="1"/>
  <c r="K12" i="3" a="1"/>
  <c r="K22" i="3" a="1"/>
  <c r="K13" i="3" a="1"/>
  <c r="K23" i="3" a="1"/>
  <c r="K3" i="3" a="1"/>
  <c r="K23" i="3" l="1"/>
  <c r="K13" i="3"/>
  <c r="K22" i="3"/>
  <c r="K12" i="3"/>
  <c r="K21" i="3"/>
  <c r="K11" i="3"/>
  <c r="K20" i="3"/>
  <c r="K10" i="3"/>
  <c r="K29" i="3"/>
  <c r="K19" i="3"/>
  <c r="K9" i="3"/>
  <c r="K28" i="3"/>
  <c r="K18" i="3"/>
  <c r="K8" i="3"/>
  <c r="K27" i="3"/>
  <c r="K17" i="3"/>
  <c r="K7" i="3"/>
  <c r="K26" i="3"/>
  <c r="K16" i="3"/>
  <c r="K6" i="3"/>
  <c r="K25" i="3"/>
  <c r="K15" i="3"/>
  <c r="K5" i="3"/>
  <c r="K24" i="3"/>
  <c r="K14" i="3"/>
  <c r="K4" i="3"/>
  <c r="K3" i="3"/>
  <c r="H30" i="9"/>
  <c r="G30" i="9"/>
  <c r="F30" i="9"/>
  <c r="E30" i="9"/>
  <c r="C34" i="3" l="1" a="1"/>
  <c r="C34" i="3" s="1"/>
  <c r="C35" i="3" a="1"/>
  <c r="C35" i="3" s="1"/>
  <c r="C36" i="3" a="1"/>
  <c r="C36" i="3" s="1"/>
  <c r="C37" i="3" a="1"/>
  <c r="C37" i="3" s="1"/>
  <c r="C38" i="3" a="1"/>
  <c r="C38" i="3" s="1"/>
  <c r="C39" i="3" a="1"/>
  <c r="C39" i="3" s="1"/>
  <c r="C33" i="3" a="1"/>
  <c r="C33" i="3" s="1"/>
  <c r="B34" i="3" a="1"/>
  <c r="B34" i="3" s="1"/>
  <c r="B35" i="3" a="1"/>
  <c r="B35" i="3" s="1"/>
  <c r="B36" i="3" a="1"/>
  <c r="B36" i="3" s="1"/>
  <c r="B37" i="3" a="1"/>
  <c r="B37" i="3"/>
  <c r="B38" i="3" a="1"/>
  <c r="B38" i="3" s="1"/>
  <c r="B39" i="3" a="1"/>
  <c r="B39" i="3" s="1"/>
  <c r="B33" i="3" a="1"/>
  <c r="B33" i="3" s="1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" i="3"/>
  <c r="D8" i="6" l="1"/>
  <c r="D7" i="6"/>
  <c r="D6" i="6"/>
  <c r="D5" i="6"/>
  <c r="D4" i="6"/>
  <c r="H30" i="2"/>
  <c r="G30" i="2"/>
  <c r="F30" i="2"/>
  <c r="E3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1" type="1" refreshedVersion="6">
    <dbPr connection="DSN=MS Access Database;DBQ=E:\영진(2021년)\1급\excel\스프레드시트(파일) - 최종\기출문제\도서.accdb;DefaultDir=E:\영진(2021년)\1급\excel\스프레드시트(파일) - 최종\기출문제;DriverId=25;FIL=MS Access;MaxBufferSize=2048;PageTimeout=5;" command="SELECT 판매현황.도서분류, 판매현황.출판일, 판매현황.도서명, 판매현황.판매량_x000d__x000a_FROM 판매현황 판매현황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<sst xmlns="http://schemas.openxmlformats.org/spreadsheetml/2006/main" count="459" uniqueCount="141">
  <si>
    <t>도서분류</t>
    <phoneticPr fontId="1" type="noConversion"/>
  </si>
  <si>
    <t>도서명</t>
  </si>
  <si>
    <t>저자</t>
  </si>
  <si>
    <t>출판일</t>
  </si>
  <si>
    <t>페이지</t>
  </si>
  <si>
    <t>정가</t>
  </si>
  <si>
    <t>회원리뷰수</t>
  </si>
  <si>
    <t>판매량</t>
  </si>
  <si>
    <t>가정과 생활</t>
  </si>
  <si>
    <t>2,000원으로 밥상 차리기(개정판)</t>
  </si>
  <si>
    <t>김용환</t>
  </si>
  <si>
    <t>365일 건강한 식당</t>
  </si>
  <si>
    <t>㈜ 아워홈</t>
  </si>
  <si>
    <t>5,000원으로 손님상 차리기(개정판)</t>
  </si>
  <si>
    <t>이수연</t>
  </si>
  <si>
    <t>500원으로 밑반찬 만들기(개정판)</t>
  </si>
  <si>
    <t>이혜원</t>
  </si>
  <si>
    <t>기타</t>
  </si>
  <si>
    <t>개정판 월급만으로는 살수없다</t>
  </si>
  <si>
    <t>전애리 외</t>
  </si>
  <si>
    <t>남편사용설명서(개정판)</t>
  </si>
  <si>
    <t>이병준</t>
  </si>
  <si>
    <t>열혈 백패킹</t>
  </si>
  <si>
    <t>이우철</t>
  </si>
  <si>
    <t>SNS의 보이지 않는 위협</t>
  </si>
  <si>
    <t>김승중 외</t>
    <phoneticPr fontId="1" type="noConversion"/>
  </si>
  <si>
    <t>러블리 홈베이킹</t>
  </si>
  <si>
    <t>고아라</t>
  </si>
  <si>
    <t>한국인의 명절 요리</t>
  </si>
  <si>
    <t>매일매일 맛있는 도시락</t>
  </si>
  <si>
    <t>김지혜</t>
  </si>
  <si>
    <t>더디쉬의 홈메이드 아침밥</t>
  </si>
  <si>
    <t>더디쉬</t>
  </si>
  <si>
    <t>컴퓨터일반/활용</t>
  </si>
  <si>
    <t>눈이 편한 스마트폰</t>
  </si>
  <si>
    <t>김혜경</t>
  </si>
  <si>
    <t>구글앱스 for 스마트워킹</t>
  </si>
  <si>
    <t>강성범 외</t>
    <phoneticPr fontId="1" type="noConversion"/>
  </si>
  <si>
    <t>퍼스널 3D 프린팅</t>
  </si>
  <si>
    <t>김수민</t>
  </si>
  <si>
    <t>사무자동화</t>
  </si>
  <si>
    <t>학교에서 통하는 Prezi 발표수업 달인되기 개정판</t>
  </si>
  <si>
    <t>정동임 외</t>
    <phoneticPr fontId="1" type="noConversion"/>
  </si>
  <si>
    <t>How to Prezi 실무활용 테크닉 3rd Edition</t>
  </si>
  <si>
    <t>장경호</t>
  </si>
  <si>
    <t>한글 더 쉽게 배우기</t>
    <phoneticPr fontId="1" type="noConversion"/>
  </si>
  <si>
    <t>박소영</t>
  </si>
  <si>
    <t>그래픽/멀티미디어</t>
  </si>
  <si>
    <t>프리미어 프로 CC 더 쉽게 배우기</t>
  </si>
  <si>
    <t>이정희</t>
  </si>
  <si>
    <t>언리얼엔진4 ArcVR(아크브이알)</t>
  </si>
  <si>
    <t>정재헌</t>
  </si>
  <si>
    <t>프로그래밍</t>
  </si>
  <si>
    <t>학교에서 통하는 스크래치 프로그래밍</t>
  </si>
  <si>
    <t>최성일 외</t>
    <phoneticPr fontId="1" type="noConversion"/>
  </si>
  <si>
    <t>그림으로 배우는 JAVA Programming</t>
  </si>
  <si>
    <t xml:space="preserve">Mana </t>
    <phoneticPr fontId="1" type="noConversion"/>
  </si>
  <si>
    <t>컴퓨터공학</t>
  </si>
  <si>
    <t>그림으로 배우는 Http &amp; Network</t>
  </si>
  <si>
    <t>우에노 센</t>
  </si>
  <si>
    <t>코딩인터뷰 퀘스천</t>
  </si>
  <si>
    <t>Narasimha</t>
    <phoneticPr fontId="1" type="noConversion"/>
  </si>
  <si>
    <t>일러스트레이터 CC&amp;CS6 더 쉽게 배우기</t>
  </si>
  <si>
    <t>이상진</t>
  </si>
  <si>
    <t>여행사진의 기술 두번째 이야기</t>
  </si>
  <si>
    <t>유호종</t>
  </si>
  <si>
    <t>1,000원으로 국찌개 만들기(개정판)</t>
  </si>
  <si>
    <t>평균</t>
    <phoneticPr fontId="1" type="noConversion"/>
  </si>
  <si>
    <t>[표1]</t>
    <phoneticPr fontId="1" type="noConversion"/>
  </si>
  <si>
    <t>도서분류</t>
    <phoneticPr fontId="1" type="noConversion"/>
  </si>
  <si>
    <t>포인트</t>
    <phoneticPr fontId="1" type="noConversion"/>
  </si>
  <si>
    <t>판매지수</t>
    <phoneticPr fontId="1" type="noConversion"/>
  </si>
  <si>
    <t>비고</t>
    <phoneticPr fontId="1" type="noConversion"/>
  </si>
  <si>
    <t>강성범 외</t>
    <phoneticPr fontId="1" type="noConversion"/>
  </si>
  <si>
    <t>정동임 외</t>
    <phoneticPr fontId="1" type="noConversion"/>
  </si>
  <si>
    <t>한글 더 쉽게 배우기</t>
    <phoneticPr fontId="1" type="noConversion"/>
  </si>
  <si>
    <t>최성일 외</t>
    <phoneticPr fontId="1" type="noConversion"/>
  </si>
  <si>
    <t xml:space="preserve">Mana </t>
    <phoneticPr fontId="1" type="noConversion"/>
  </si>
  <si>
    <t>Narasimha</t>
    <phoneticPr fontId="1" type="noConversion"/>
  </si>
  <si>
    <t>[표2]</t>
    <phoneticPr fontId="1" type="noConversion"/>
  </si>
  <si>
    <t>[표3] 적립률</t>
    <phoneticPr fontId="1" type="noConversion"/>
  </si>
  <si>
    <t>도서분류</t>
    <phoneticPr fontId="1" type="noConversion"/>
  </si>
  <si>
    <t>회원리뷰수가 50개 이상인 개수</t>
    <phoneticPr fontId="1" type="noConversion"/>
  </si>
  <si>
    <t>판매량 평균</t>
    <phoneticPr fontId="1" type="noConversion"/>
  </si>
  <si>
    <t xml:space="preserve">              발행연도
분야</t>
    <phoneticPr fontId="1" type="noConversion"/>
  </si>
  <si>
    <t>도서분류</t>
  </si>
  <si>
    <t>[표1] 국제 도서 전시회 (International Book Fair) 나라별 참가 업체수</t>
    <phoneticPr fontId="1" type="noConversion"/>
  </si>
  <si>
    <t>단위 : 사</t>
    <phoneticPr fontId="1" type="noConversion"/>
  </si>
  <si>
    <t>지역</t>
    <phoneticPr fontId="1" type="noConversion"/>
  </si>
  <si>
    <t>국가명</t>
    <phoneticPr fontId="1" type="noConversion"/>
  </si>
  <si>
    <t>아메리카</t>
    <phoneticPr fontId="1" type="noConversion"/>
  </si>
  <si>
    <t>캐나다</t>
    <phoneticPr fontId="1" type="noConversion"/>
  </si>
  <si>
    <t>아시아</t>
    <phoneticPr fontId="1" type="noConversion"/>
  </si>
  <si>
    <t>중국</t>
    <phoneticPr fontId="1" type="noConversion"/>
  </si>
  <si>
    <t>유럽</t>
    <phoneticPr fontId="1" type="noConversion"/>
  </si>
  <si>
    <t>독일</t>
    <phoneticPr fontId="1" type="noConversion"/>
  </si>
  <si>
    <t>미국</t>
    <phoneticPr fontId="1" type="noConversion"/>
  </si>
  <si>
    <t>영국</t>
    <phoneticPr fontId="1" type="noConversion"/>
  </si>
  <si>
    <t>오세아니아</t>
    <phoneticPr fontId="1" type="noConversion"/>
  </si>
  <si>
    <t>뉴질랜드</t>
    <phoneticPr fontId="1" type="noConversion"/>
  </si>
  <si>
    <t>아시아</t>
    <phoneticPr fontId="1" type="noConversion"/>
  </si>
  <si>
    <t>대한민국</t>
    <phoneticPr fontId="1" type="noConversion"/>
  </si>
  <si>
    <t>오세아니아</t>
    <phoneticPr fontId="1" type="noConversion"/>
  </si>
  <si>
    <t>호주</t>
    <phoneticPr fontId="1" type="noConversion"/>
  </si>
  <si>
    <t>아메리카</t>
    <phoneticPr fontId="1" type="noConversion"/>
  </si>
  <si>
    <t>브라질</t>
    <phoneticPr fontId="1" type="noConversion"/>
  </si>
  <si>
    <t>일본</t>
    <phoneticPr fontId="1" type="noConversion"/>
  </si>
  <si>
    <t>유럽</t>
    <phoneticPr fontId="1" type="noConversion"/>
  </si>
  <si>
    <t>프랑스</t>
    <phoneticPr fontId="1" type="noConversion"/>
  </si>
  <si>
    <t>년도별 공공도서관수</t>
    <phoneticPr fontId="1" type="noConversion"/>
  </si>
  <si>
    <t>년도</t>
    <phoneticPr fontId="1" type="noConversion"/>
  </si>
  <si>
    <t>공공도서관수</t>
    <phoneticPr fontId="1" type="noConversion"/>
  </si>
  <si>
    <t>국민 총인구</t>
    <phoneticPr fontId="1" type="noConversion"/>
  </si>
  <si>
    <t>1관당 인구수</t>
    <phoneticPr fontId="1" type="noConversion"/>
  </si>
  <si>
    <t>2019년</t>
  </si>
  <si>
    <t>2021년</t>
  </si>
  <si>
    <t>도서명</t>
    <phoneticPr fontId="1" type="noConversion"/>
  </si>
  <si>
    <t>저자</t>
    <phoneticPr fontId="1" type="noConversion"/>
  </si>
  <si>
    <t>출판일</t>
    <phoneticPr fontId="1" type="noConversion"/>
  </si>
  <si>
    <t>페이지수</t>
    <phoneticPr fontId="1" type="noConversion"/>
  </si>
  <si>
    <t>정가</t>
    <phoneticPr fontId="1" type="noConversion"/>
  </si>
  <si>
    <t>[표1] 도서 등록</t>
    <phoneticPr fontId="1" type="noConversion"/>
  </si>
  <si>
    <t>조건</t>
    <phoneticPr fontId="1" type="noConversion"/>
  </si>
  <si>
    <t>(모두)</t>
  </si>
  <si>
    <t>총합계</t>
  </si>
  <si>
    <t>2012년</t>
  </si>
  <si>
    <t>2013년</t>
  </si>
  <si>
    <t>2014년</t>
  </si>
  <si>
    <t>2015년</t>
  </si>
  <si>
    <t>2016년</t>
  </si>
  <si>
    <t>2017년</t>
  </si>
  <si>
    <t>2018년</t>
  </si>
  <si>
    <t>개수 : 도서명</t>
  </si>
  <si>
    <t>합계 : 판매량</t>
  </si>
  <si>
    <t>-</t>
    <phoneticPr fontId="1" type="noConversion"/>
  </si>
  <si>
    <t>-</t>
    <phoneticPr fontId="1" type="noConversion"/>
  </si>
  <si>
    <t>-</t>
    <phoneticPr fontId="1" type="noConversion"/>
  </si>
  <si>
    <t>2022년</t>
  </si>
  <si>
    <t>2023년</t>
  </si>
  <si>
    <t>2024년</t>
  </si>
  <si>
    <t>2020년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</si>
</sst>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#,##0_);[Red]\(#,##0\)"/>
    <numFmt numFmtId="177" formatCode="#&quot;년 이상&quot;"/>
    <numFmt numFmtId="178" formatCode="0.0_ "/>
    <numFmt numFmtId="179" formatCode="#&quot;년 미만&quot;"/>
    <numFmt numFmtId="180" formatCode="_(* #,##0_);_(* \(#,##0\);_(* &quot;-&quot;_);_(@_)"/>
    <numFmt numFmtId="181" formatCode="General&quot;권&quot;"/>
    <numFmt numFmtId="182" formatCode="#,##0_ "/>
    <numFmt numFmtId="183" formatCode="[&gt;0]0.0;;;&quot;※&quot;"/>
  </numFmts>
  <fonts count="6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33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applyFont="1" applyFill="1" applyBorder="1">
      <alignment vertical="center"/>
    </xf>
    <xf numFmtId="14" fontId="3" fillId="0" borderId="1" xfId="0" applyNumberFormat="1" applyFont="1" applyFill="1" applyBorder="1" applyAlignment="1">
      <alignment horizontal="center" vertical="center"/>
    </xf>
    <xf numFmtId="41" fontId="3" fillId="0" borderId="1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1" xfId="0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179" fontId="0" fillId="0" borderId="5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9" fontId="0" fillId="0" borderId="1" xfId="0" applyNumberFormat="1" applyBorder="1">
      <alignment vertical="center"/>
    </xf>
    <xf numFmtId="0" fontId="0" fillId="0" borderId="0" xfId="0" applyAlignment="1">
      <alignment horizontal="right" vertical="center"/>
    </xf>
    <xf numFmtId="180" fontId="0" fillId="0" borderId="1" xfId="1" applyNumberFormat="1" applyFont="1" applyBorder="1">
      <alignment vertical="center"/>
    </xf>
    <xf numFmtId="180" fontId="0" fillId="0" borderId="6" xfId="1" applyNumberFormat="1" applyFont="1" applyFill="1" applyBorder="1" applyAlignment="1">
      <alignment horizontal="right" vertical="center"/>
    </xf>
    <xf numFmtId="0" fontId="0" fillId="0" borderId="1" xfId="0" applyBorder="1">
      <alignment vertical="center"/>
    </xf>
    <xf numFmtId="176" fontId="3" fillId="0" borderId="1" xfId="0" applyNumberFormat="1" applyFont="1" applyFill="1" applyBorder="1" applyAlignment="1" applyProtection="1">
      <alignment horizontal="center" vertical="center"/>
      <protection hidden="1"/>
    </xf>
    <xf numFmtId="176" fontId="3" fillId="0" borderId="1" xfId="1" applyNumberFormat="1" applyFont="1" applyFill="1" applyBorder="1" applyProtection="1">
      <alignment vertical="center"/>
      <protection hidden="1"/>
    </xf>
    <xf numFmtId="176" fontId="3" fillId="0" borderId="1" xfId="0" applyNumberFormat="1" applyFont="1" applyFill="1" applyBorder="1" applyProtection="1">
      <alignment vertical="center"/>
      <protection hidden="1"/>
    </xf>
    <xf numFmtId="0" fontId="0" fillId="0" borderId="0" xfId="0" pivotButton="1">
      <alignment vertical="center"/>
    </xf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183" fontId="0" fillId="0" borderId="1" xfId="1" applyNumberFormat="1" applyFon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0" fillId="0" borderId="4" xfId="0" applyFill="1" applyBorder="1" applyAlignment="1">
      <alignment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  <i/>
        <color rgb="FF0070C0"/>
      </font>
    </dxf>
    <dxf>
      <font>
        <b/>
        <i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년도별 공공도서관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'기타작업-1'!$D$3</c:f>
              <c:strCache>
                <c:ptCount val="1"/>
                <c:pt idx="0">
                  <c:v>1관당 인구수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'기타작업-1'!$A$4:$A$8</c:f>
              <c:strCache>
                <c:ptCount val="5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  <c:pt idx="4">
                  <c:v>2024년</c:v>
                </c:pt>
              </c:strCache>
            </c:strRef>
          </c:cat>
          <c:val>
            <c:numRef>
              <c:f>'기타작업-1'!$D$4:$D$8</c:f>
              <c:numCache>
                <c:formatCode>_(* #,##0_);_(* \(#,##0\);_(* "-"_);_(@_)</c:formatCode>
                <c:ptCount val="5"/>
                <c:pt idx="0">
                  <c:v>70801.05974395448</c:v>
                </c:pt>
                <c:pt idx="1">
                  <c:v>66555.554677206848</c:v>
                </c:pt>
                <c:pt idx="2">
                  <c:v>64547.435114503816</c:v>
                </c:pt>
                <c:pt idx="3">
                  <c:v>61531.729468599035</c:v>
                </c:pt>
                <c:pt idx="4">
                  <c:v>59123.078612716759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30-4BE2-B337-A31CCBBB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4118111"/>
        <c:axId val="1357569039"/>
      </c:barChart>
      <c:lineChart>
        <c:grouping val="standar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공공도서관수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F130-4BE2-B337-A31CCBBBE1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'기타작업-1'!$A$4:$A$8</c:f>
              <c:strCache>
                <c:ptCount val="5"/>
                <c:pt idx="0">
                  <c:v>2020년</c:v>
                </c:pt>
                <c:pt idx="1">
                  <c:v>2021년</c:v>
                </c:pt>
                <c:pt idx="2">
                  <c:v>2022년</c:v>
                </c:pt>
                <c:pt idx="3">
                  <c:v>2023년</c:v>
                </c:pt>
                <c:pt idx="4">
                  <c:v>2024년</c:v>
                </c:pt>
              </c:strCache>
            </c:strRef>
          </c:cat>
          <c:val>
            <c:numRef>
              <c:f>'기타작업-1'!$B$4:$B$8</c:f>
              <c:numCache>
                <c:formatCode>_(* #,##0_);_(* \(#,##0\);_(* "-"_);_(@_)</c:formatCode>
                <c:ptCount val="5"/>
                <c:pt idx="0">
                  <c:v>703</c:v>
                </c:pt>
                <c:pt idx="1">
                  <c:v>759</c:v>
                </c:pt>
                <c:pt idx="2">
                  <c:v>786</c:v>
                </c:pt>
                <c:pt idx="3">
                  <c:v>828</c:v>
                </c:pt>
                <c:pt idx="4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30-4BE2-B337-A31CCBBBE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727087"/>
        <c:axId val="1384716271"/>
      </c:lineChart>
      <c:catAx>
        <c:axId val="1384118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7569039"/>
        <c:crosses val="autoZero"/>
        <c:auto val="1"/>
        <c:lblAlgn val="ctr"/>
        <c:lblOffset val="100"/>
        <c:noMultiLvlLbl val="0"/>
      </c:catAx>
      <c:valAx>
        <c:axId val="1357569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인구수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118111"/>
        <c:crosses val="autoZero"/>
        <c:crossBetween val="between"/>
      </c:valAx>
      <c:valAx>
        <c:axId val="1384716271"/>
        <c:scaling>
          <c:orientation val="minMax"/>
        </c:scaling>
        <c:delete val="0"/>
        <c:axPos val="r"/>
        <c:title>
          <c:tx>
            <c:rich>
              <a:bodyPr rot="0" spcFirstLastPara="1" vertOverflow="ellipsis" vert="eaVert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도서관수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eaVert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4727087"/>
        <c:crosses val="max"/>
        <c:crossBetween val="between"/>
      </c:valAx>
      <c:catAx>
        <c:axId val="138472708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84716271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1">
          <a:satMod val="175000"/>
          <a:alpha val="40000"/>
        </a:schemeClr>
      </a:glo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28</xdr:row>
      <xdr:rowOff>223156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6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아이콘별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2</xdr:row>
          <xdr:rowOff>123825</xdr:rowOff>
        </xdr:to>
        <xdr:sp macro="" textlink="">
          <xdr:nvSpPr>
            <xdr:cNvPr id="7169" name="cmd도서등록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036.936556828703" createdVersion="6" refreshedVersion="6" minRefreshableVersion="3" recordCount="27" xr:uid="{00000000-000A-0000-FFFF-FFFF00000000}">
  <cacheSource type="external" connectionId="1"/>
  <cacheFields count="4">
    <cacheField name="도서분류" numFmtId="0" sqlType="-9">
      <sharedItems count="7">
        <s v="가정과 생활"/>
        <s v="기타"/>
        <s v="컴퓨터일반/활용"/>
        <s v="사무자동화"/>
        <s v="그래픽/멀티미디어"/>
        <s v="프로그래밍"/>
        <s v="컴퓨터공학"/>
      </sharedItems>
    </cacheField>
    <cacheField name="출판일" numFmtId="0" sqlType="11">
      <sharedItems containsSemiMixedTypes="0" containsNonDate="0" containsDate="1" containsString="0" minDate="2012-09-10T00:00:00" maxDate="2019-09-03T00:00:00" count="24">
        <d v="2016-07-01T00:00:00"/>
        <d v="2014-08-25T00:00:00"/>
        <d v="2018-04-10T00:00:00"/>
        <d v="2018-03-15T00:00:00"/>
        <d v="2017-01-15T00:00:00"/>
        <d v="2018-05-20T00:00:00"/>
        <d v="2015-03-10T00:00:00"/>
        <d v="2015-03-31T00:00:00"/>
        <d v="2013-06-28T00:00:00"/>
        <d v="2012-09-14T00:00:00"/>
        <d v="2012-09-10T00:00:00"/>
        <d v="2019-09-02T00:00:00"/>
        <d v="2015-02-28T00:00:00"/>
        <d v="2015-02-04T00:00:00"/>
        <d v="2014-11-03T00:00:00"/>
        <d v="2014-07-25T00:00:00"/>
        <d v="2014-12-26T00:00:00"/>
        <d v="2015-04-30T00:00:00"/>
        <d v="2015-04-29T00:00:00"/>
        <d v="2015-01-23T00:00:00"/>
        <d v="2014-07-29T00:00:00"/>
        <d v="2014-10-15T00:00:00"/>
        <d v="2014-07-15T00:00:00"/>
        <d v="2016-11-15T00:00:00"/>
      </sharedItems>
      <fieldGroup base="1">
        <rangePr groupBy="years" startDate="2012-09-10T00:00:00" endDate="2019-09-03T00:00:00"/>
        <groupItems count="10">
          <s v="&lt;2012-09-10"/>
          <s v="2012년"/>
          <s v="2013년"/>
          <s v="2014년"/>
          <s v="2015년"/>
          <s v="2016년"/>
          <s v="2017년"/>
          <s v="2018년"/>
          <s v="2019년"/>
          <s v="&gt;2019-09-03"/>
        </groupItems>
      </fieldGroup>
    </cacheField>
    <cacheField name="도서명" numFmtId="0" sqlType="-9">
      <sharedItems count="27">
        <s v="2,000원으로 밥상 차리기(개정판)"/>
        <s v="365일 건강한 식당"/>
        <s v="5,000원으로 손님상 차리기(개정판)"/>
        <s v="500원으로 밑반찬 만들기(개정판)"/>
        <s v="개정판 월급만으로는 살수없다"/>
        <s v="남편사용설명서(개정판)"/>
        <s v="열혈 백패킹"/>
        <s v="SNS의 보이지 않는 위협"/>
        <s v="러블리 홈베이킹"/>
        <s v="한국인의 명절 요리"/>
        <s v="매일매일 맛있는 도시락"/>
        <s v="더디쉬의 홈메이드 아침밥"/>
        <s v="눈이 편한 스마트폰"/>
        <s v="구글앱스 for 스마트워킹"/>
        <s v="퍼스널 3D 프린팅"/>
        <s v="학교에서 통하는 Prezi 발표수업 달인되기 개정판"/>
        <s v="How to Prezi 실무활용 테크닉 3rd Edition"/>
        <s v="한글 더 쉽게 배우기"/>
        <s v="프리미어 프로 CC 더 쉽게 배우기"/>
        <s v="언리얼엔진4 ArcVR(아크브이알)"/>
        <s v="학교에서 통하는 스크래치 프로그래밍"/>
        <s v="그림으로 배우는 JAVA Programming"/>
        <s v="그림으로 배우는 Http &amp; Network"/>
        <s v="코딩인터뷰 퀘스천"/>
        <s v="일러스트레이터 CC&amp;CS6 더 쉽게 배우기"/>
        <s v="여행사진의 기술 두번째 이야기"/>
        <s v="1,000원으로 국찌개 만들기(개정판)"/>
      </sharedItems>
    </cacheField>
    <cacheField name="판매량" numFmtId="0" sqlType="4">
      <sharedItems containsSemiMixedTypes="0" containsString="0" containsNumber="1" containsInteger="1" minValue="1294" maxValue="12395" count="25">
        <n v="8563"/>
        <n v="5987"/>
        <n v="3657"/>
        <n v="12395"/>
        <n v="5962"/>
        <n v="3215"/>
        <n v="1896"/>
        <n v="1697"/>
        <n v="6541"/>
        <n v="8451"/>
        <n v="5302"/>
        <n v="3364"/>
        <n v="2563"/>
        <n v="2412"/>
        <n v="3794"/>
        <n v="4587"/>
        <n v="9687"/>
        <n v="2432"/>
        <n v="1369"/>
        <n v="6321"/>
        <n v="7743"/>
        <n v="6540"/>
        <n v="1294"/>
        <n v="3390"/>
        <n v="1069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x v="0"/>
    <x v="0"/>
  </r>
  <r>
    <x v="0"/>
    <x v="1"/>
    <x v="1"/>
    <x v="1"/>
  </r>
  <r>
    <x v="0"/>
    <x v="2"/>
    <x v="2"/>
    <x v="2"/>
  </r>
  <r>
    <x v="0"/>
    <x v="3"/>
    <x v="3"/>
    <x v="3"/>
  </r>
  <r>
    <x v="1"/>
    <x v="4"/>
    <x v="4"/>
    <x v="4"/>
  </r>
  <r>
    <x v="1"/>
    <x v="5"/>
    <x v="5"/>
    <x v="5"/>
  </r>
  <r>
    <x v="1"/>
    <x v="6"/>
    <x v="6"/>
    <x v="6"/>
  </r>
  <r>
    <x v="1"/>
    <x v="7"/>
    <x v="7"/>
    <x v="7"/>
  </r>
  <r>
    <x v="0"/>
    <x v="8"/>
    <x v="8"/>
    <x v="8"/>
  </r>
  <r>
    <x v="0"/>
    <x v="9"/>
    <x v="9"/>
    <x v="9"/>
  </r>
  <r>
    <x v="0"/>
    <x v="10"/>
    <x v="10"/>
    <x v="10"/>
  </r>
  <r>
    <x v="0"/>
    <x v="11"/>
    <x v="11"/>
    <x v="11"/>
  </r>
  <r>
    <x v="2"/>
    <x v="12"/>
    <x v="12"/>
    <x v="12"/>
  </r>
  <r>
    <x v="2"/>
    <x v="13"/>
    <x v="13"/>
    <x v="6"/>
  </r>
  <r>
    <x v="2"/>
    <x v="14"/>
    <x v="14"/>
    <x v="13"/>
  </r>
  <r>
    <x v="3"/>
    <x v="12"/>
    <x v="15"/>
    <x v="14"/>
  </r>
  <r>
    <x v="3"/>
    <x v="6"/>
    <x v="16"/>
    <x v="15"/>
  </r>
  <r>
    <x v="3"/>
    <x v="15"/>
    <x v="17"/>
    <x v="16"/>
  </r>
  <r>
    <x v="4"/>
    <x v="7"/>
    <x v="18"/>
    <x v="17"/>
  </r>
  <r>
    <x v="4"/>
    <x v="16"/>
    <x v="19"/>
    <x v="18"/>
  </r>
  <r>
    <x v="5"/>
    <x v="17"/>
    <x v="20"/>
    <x v="19"/>
  </r>
  <r>
    <x v="5"/>
    <x v="18"/>
    <x v="21"/>
    <x v="20"/>
  </r>
  <r>
    <x v="6"/>
    <x v="19"/>
    <x v="22"/>
    <x v="21"/>
  </r>
  <r>
    <x v="6"/>
    <x v="20"/>
    <x v="23"/>
    <x v="22"/>
  </r>
  <r>
    <x v="4"/>
    <x v="21"/>
    <x v="24"/>
    <x v="19"/>
  </r>
  <r>
    <x v="4"/>
    <x v="22"/>
    <x v="25"/>
    <x v="23"/>
  </r>
  <r>
    <x v="0"/>
    <x v="23"/>
    <x v="26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compact="0" outline="1" outlineData="1" compactData="0" multipleFieldFilters="0" fieldListSortAscending="1">
  <location ref="B4:D13" firstHeaderRow="0" firstDataRow="1" firstDataCol="1" rowPageCount="1" colPageCount="1"/>
  <pivotFields count="4">
    <pivotField axis="axisPage" compact="0" showAll="0">
      <items count="8">
        <item x="1"/>
        <item x="0"/>
        <item x="4"/>
        <item x="3"/>
        <item x="6"/>
        <item x="2"/>
        <item x="5"/>
        <item t="default"/>
      </items>
    </pivotField>
    <pivotField axis="axisRow" compact="0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compact="0" showAll="0"/>
    <pivotField dataField="1" compact="0" showAll="0"/>
  </pivotFields>
  <rowFields count="1">
    <field x="1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-1"/>
  </pageFields>
  <dataFields count="2">
    <dataField name="개수 : 도서명" fld="2" subtotal="count" baseField="1" baseItem="1" numFmtId="181"/>
    <dataField name="합계 : 판매량" fld="3" baseField="1" baseItem="1" numFmtId="182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2:H39"/>
  <sheetViews>
    <sheetView workbookViewId="0"/>
  </sheetViews>
  <sheetFormatPr defaultRowHeight="16.5"/>
  <cols>
    <col min="1" max="1" width="17.125" bestFit="1" customWidth="1"/>
    <col min="2" max="2" width="43.75" bestFit="1" customWidth="1"/>
    <col min="3" max="3" width="9.875" bestFit="1" customWidth="1"/>
    <col min="4" max="4" width="14.25" customWidth="1"/>
    <col min="7" max="7" width="10.375" bestFit="1" customWidth="1"/>
    <col min="8" max="8" width="11.7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43931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43905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43971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9" t="s">
        <v>67</v>
      </c>
      <c r="B30" s="29"/>
      <c r="C30" s="29"/>
      <c r="D30" s="29"/>
      <c r="E30" s="19">
        <f>AVERAGE(E3:E29)</f>
        <v>335.55555555555554</v>
      </c>
      <c r="F30" s="20">
        <f t="shared" ref="F30:H30" si="0">AVERAGE(F3:F29)</f>
        <v>16555.555555555555</v>
      </c>
      <c r="G30" s="21">
        <f t="shared" si="0"/>
        <v>59.037037037037038</v>
      </c>
      <c r="H30" s="20">
        <f t="shared" si="0"/>
        <v>5113.9629629629626</v>
      </c>
    </row>
    <row r="32" spans="1:8">
      <c r="A32" s="7" t="s">
        <v>122</v>
      </c>
    </row>
    <row r="33" spans="1:5">
      <c r="A33" t="b">
        <f>AND(OR(A3="컴퓨터일반/활용",A3="사무자동화"),F3&gt;=AVERAGE($F$3:$F$29))</f>
        <v>0</v>
      </c>
    </row>
    <row r="35" spans="1:5">
      <c r="B35" s="1" t="s">
        <v>1</v>
      </c>
      <c r="C35" s="1" t="s">
        <v>4</v>
      </c>
      <c r="D35" s="1" t="s">
        <v>5</v>
      </c>
      <c r="E35" s="1" t="s">
        <v>7</v>
      </c>
    </row>
    <row r="36" spans="1:5">
      <c r="B36" s="2" t="s">
        <v>36</v>
      </c>
      <c r="C36" s="1">
        <v>416</v>
      </c>
      <c r="D36" s="4">
        <v>18000</v>
      </c>
      <c r="E36" s="4">
        <v>1896</v>
      </c>
    </row>
    <row r="37" spans="1:5">
      <c r="B37" s="2" t="s">
        <v>38</v>
      </c>
      <c r="C37" s="1">
        <v>314</v>
      </c>
      <c r="D37" s="4">
        <v>18000</v>
      </c>
      <c r="E37" s="4">
        <v>2412</v>
      </c>
    </row>
    <row r="38" spans="1:5">
      <c r="B38" s="2" t="s">
        <v>41</v>
      </c>
      <c r="C38" s="1">
        <v>248</v>
      </c>
      <c r="D38" s="4">
        <v>18000</v>
      </c>
      <c r="E38" s="4">
        <v>3794</v>
      </c>
    </row>
    <row r="39" spans="1:5">
      <c r="B39" s="2" t="s">
        <v>45</v>
      </c>
      <c r="C39" s="1">
        <v>504</v>
      </c>
      <c r="D39" s="4">
        <v>20000</v>
      </c>
      <c r="E39" s="4">
        <v>9687</v>
      </c>
    </row>
  </sheetData>
  <mergeCells count="1">
    <mergeCell ref="A30:D30"/>
  </mergeCells>
  <phoneticPr fontId="1" type="noConversion"/>
  <conditionalFormatting sqref="E30:H30">
    <cfRule type="expression" dxfId="1" priority="2">
      <formula>AND(YEAR(TODAY())-YEAR($D30)&gt;=2,YEAR(TODAY())-YEAR($D30)&lt;=4)</formula>
    </cfRule>
  </conditionalFormatting>
  <conditionalFormatting sqref="A3:H29">
    <cfRule type="expression" dxfId="0" priority="1">
      <formula>AND(YEAR(TODAY())-YEAR($D3)&gt;=2,YEAR(TODAY())-YEAR($D3)&lt;=4)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2:H30"/>
  <sheetViews>
    <sheetView view="pageBreakPreview" zoomScaleNormal="100" zoomScaleSheetLayoutView="100" workbookViewId="0"/>
  </sheetViews>
  <sheetFormatPr defaultRowHeight="16.5"/>
  <cols>
    <col min="1" max="1" width="17.125" bestFit="1" customWidth="1"/>
    <col min="2" max="2" width="43.75" bestFit="1" customWidth="1"/>
    <col min="3" max="3" width="9.875" bestFit="1" customWidth="1"/>
    <col min="4" max="4" width="14.25" customWidth="1"/>
    <col min="7" max="7" width="10.375" bestFit="1" customWidth="1"/>
    <col min="8" max="8" width="11.75" customWidth="1"/>
  </cols>
  <sheetData>
    <row r="2" spans="1:8">
      <c r="A2" s="1" t="s">
        <v>0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</row>
    <row r="3" spans="1:8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2">
        <v>25</v>
      </c>
      <c r="H3" s="4">
        <v>8563</v>
      </c>
    </row>
    <row r="4" spans="1:8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2">
        <v>30</v>
      </c>
      <c r="H4" s="4">
        <v>5987</v>
      </c>
    </row>
    <row r="5" spans="1:8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2">
        <v>18</v>
      </c>
      <c r="H5" s="4">
        <v>3657</v>
      </c>
    </row>
    <row r="6" spans="1:8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2">
        <v>15</v>
      </c>
      <c r="H6" s="4">
        <v>12395</v>
      </c>
    </row>
    <row r="7" spans="1:8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2">
        <v>45</v>
      </c>
      <c r="H7" s="4">
        <v>5962</v>
      </c>
    </row>
    <row r="8" spans="1:8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2">
        <v>58</v>
      </c>
      <c r="H8" s="4">
        <v>3215</v>
      </c>
    </row>
    <row r="9" spans="1:8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2">
        <v>100</v>
      </c>
      <c r="H9" s="4">
        <v>1896</v>
      </c>
    </row>
    <row r="10" spans="1:8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2">
        <v>67</v>
      </c>
      <c r="H10" s="4">
        <v>1697</v>
      </c>
    </row>
    <row r="11" spans="1:8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2">
        <v>41</v>
      </c>
      <c r="H11" s="4">
        <v>6541</v>
      </c>
    </row>
    <row r="12" spans="1:8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2">
        <v>76</v>
      </c>
      <c r="H12" s="4">
        <v>8451</v>
      </c>
    </row>
    <row r="13" spans="1:8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2">
        <v>92</v>
      </c>
      <c r="H13" s="4">
        <v>5302</v>
      </c>
    </row>
    <row r="14" spans="1:8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2">
        <v>63</v>
      </c>
      <c r="H14" s="4">
        <v>3364</v>
      </c>
    </row>
    <row r="15" spans="1:8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2">
        <v>11</v>
      </c>
      <c r="H15" s="4">
        <v>2563</v>
      </c>
    </row>
    <row r="16" spans="1:8">
      <c r="A16" s="2" t="s">
        <v>33</v>
      </c>
      <c r="B16" s="2" t="s">
        <v>36</v>
      </c>
      <c r="C16" s="2" t="s">
        <v>37</v>
      </c>
      <c r="D16" s="3">
        <v>42039</v>
      </c>
      <c r="E16" s="1">
        <v>416</v>
      </c>
      <c r="F16" s="4">
        <v>18000</v>
      </c>
      <c r="G16" s="2">
        <v>56</v>
      </c>
      <c r="H16" s="4">
        <v>1896</v>
      </c>
    </row>
    <row r="17" spans="1:8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2">
        <v>120</v>
      </c>
      <c r="H17" s="4">
        <v>2412</v>
      </c>
    </row>
    <row r="18" spans="1:8">
      <c r="A18" s="2" t="s">
        <v>40</v>
      </c>
      <c r="B18" s="2" t="s">
        <v>41</v>
      </c>
      <c r="C18" s="2" t="s">
        <v>42</v>
      </c>
      <c r="D18" s="3">
        <v>42063</v>
      </c>
      <c r="E18" s="1">
        <v>248</v>
      </c>
      <c r="F18" s="4">
        <v>18000</v>
      </c>
      <c r="G18" s="2">
        <v>47</v>
      </c>
      <c r="H18" s="4">
        <v>3794</v>
      </c>
    </row>
    <row r="19" spans="1:8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2">
        <v>84</v>
      </c>
      <c r="H19" s="4">
        <v>4587</v>
      </c>
    </row>
    <row r="20" spans="1:8">
      <c r="A20" s="2" t="s">
        <v>40</v>
      </c>
      <c r="B20" s="2" t="s">
        <v>45</v>
      </c>
      <c r="C20" s="2" t="s">
        <v>46</v>
      </c>
      <c r="D20" s="3">
        <v>41845</v>
      </c>
      <c r="E20" s="1">
        <v>504</v>
      </c>
      <c r="F20" s="4">
        <v>20000</v>
      </c>
      <c r="G20" s="2">
        <v>61</v>
      </c>
      <c r="H20" s="4">
        <v>9687</v>
      </c>
    </row>
    <row r="21" spans="1:8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2">
        <v>77</v>
      </c>
      <c r="H21" s="4">
        <v>2432</v>
      </c>
    </row>
    <row r="22" spans="1:8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2">
        <v>66</v>
      </c>
      <c r="H22" s="4">
        <v>1369</v>
      </c>
    </row>
    <row r="23" spans="1:8">
      <c r="A23" s="2" t="s">
        <v>52</v>
      </c>
      <c r="B23" s="2" t="s">
        <v>53</v>
      </c>
      <c r="C23" s="2" t="s">
        <v>54</v>
      </c>
      <c r="D23" s="3">
        <v>42124</v>
      </c>
      <c r="E23" s="1">
        <v>384</v>
      </c>
      <c r="F23" s="4">
        <v>18000</v>
      </c>
      <c r="G23" s="2">
        <v>55</v>
      </c>
      <c r="H23" s="4">
        <v>6321</v>
      </c>
    </row>
    <row r="24" spans="1:8">
      <c r="A24" s="2" t="s">
        <v>52</v>
      </c>
      <c r="B24" s="2" t="s">
        <v>55</v>
      </c>
      <c r="C24" s="2" t="s">
        <v>56</v>
      </c>
      <c r="D24" s="3">
        <v>42123</v>
      </c>
      <c r="E24" s="1">
        <v>576</v>
      </c>
      <c r="F24" s="4">
        <v>18000</v>
      </c>
      <c r="G24" s="2">
        <v>44</v>
      </c>
      <c r="H24" s="4">
        <v>7743</v>
      </c>
    </row>
    <row r="25" spans="1:8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2">
        <v>33</v>
      </c>
      <c r="H25" s="4">
        <v>6540</v>
      </c>
    </row>
    <row r="26" spans="1:8">
      <c r="A26" s="2" t="s">
        <v>57</v>
      </c>
      <c r="B26" s="2" t="s">
        <v>60</v>
      </c>
      <c r="C26" s="2" t="s">
        <v>61</v>
      </c>
      <c r="D26" s="3">
        <v>41849</v>
      </c>
      <c r="E26" s="1">
        <v>776</v>
      </c>
      <c r="F26" s="4">
        <v>35000</v>
      </c>
      <c r="G26" s="2">
        <v>22</v>
      </c>
      <c r="H26" s="4">
        <v>1294</v>
      </c>
    </row>
    <row r="27" spans="1:8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2">
        <v>88</v>
      </c>
      <c r="H27" s="4">
        <v>6321</v>
      </c>
    </row>
    <row r="28" spans="1:8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2">
        <v>99</v>
      </c>
      <c r="H28" s="4">
        <v>3390</v>
      </c>
    </row>
    <row r="29" spans="1:8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2">
        <v>101</v>
      </c>
      <c r="H29" s="4">
        <v>10698</v>
      </c>
    </row>
    <row r="30" spans="1:8">
      <c r="A30" s="29" t="s">
        <v>67</v>
      </c>
      <c r="B30" s="29"/>
      <c r="C30" s="29"/>
      <c r="D30" s="29"/>
      <c r="E30" s="19">
        <f>AVERAGE(E3:E29)</f>
        <v>335.55555555555554</v>
      </c>
      <c r="F30" s="20">
        <f t="shared" ref="F30:H30" si="0">AVERAGE(F3:F29)</f>
        <v>16555.555555555555</v>
      </c>
      <c r="G30" s="21">
        <f t="shared" si="0"/>
        <v>59.037037037037038</v>
      </c>
      <c r="H30" s="20">
        <f t="shared" si="0"/>
        <v>5113.9629629629626</v>
      </c>
    </row>
  </sheetData>
  <sheetProtection sheet="1" objects="1" scenarios="1"/>
  <mergeCells count="1">
    <mergeCell ref="A30:D30"/>
  </mergeCells>
  <phoneticPr fontId="1" type="noConversion"/>
  <pageMargins left="0.7" right="0.7" top="0.75" bottom="0.75" header="0.3" footer="0.3"/>
  <pageSetup paperSize="9" scale="64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K40"/>
  <sheetViews>
    <sheetView tabSelected="1" workbookViewId="0"/>
  </sheetViews>
  <sheetFormatPr defaultRowHeight="16.5"/>
  <cols>
    <col min="1" max="1" width="17.125" bestFit="1" customWidth="1"/>
    <col min="2" max="2" width="43.75" bestFit="1" customWidth="1"/>
    <col min="3" max="3" width="11.125" bestFit="1" customWidth="1"/>
    <col min="4" max="4" width="13.75" customWidth="1"/>
    <col min="5" max="5" width="18.625" customWidth="1"/>
    <col min="6" max="7" width="10.875" customWidth="1"/>
    <col min="8" max="8" width="11.375" bestFit="1" customWidth="1"/>
    <col min="9" max="9" width="12.25" customWidth="1"/>
    <col min="10" max="10" width="24.25" customWidth="1"/>
    <col min="11" max="11" width="11.25" customWidth="1"/>
  </cols>
  <sheetData>
    <row r="1" spans="1:11">
      <c r="A1" t="s">
        <v>68</v>
      </c>
    </row>
    <row r="2" spans="1:11">
      <c r="A2" s="1" t="s">
        <v>69</v>
      </c>
      <c r="B2" s="1" t="s">
        <v>1</v>
      </c>
      <c r="C2" s="1" t="s">
        <v>2</v>
      </c>
      <c r="D2" s="1" t="s">
        <v>3</v>
      </c>
      <c r="E2" s="1" t="s">
        <v>4</v>
      </c>
      <c r="F2" s="1" t="s">
        <v>5</v>
      </c>
      <c r="G2" s="5" t="s">
        <v>70</v>
      </c>
      <c r="H2" s="1" t="s">
        <v>6</v>
      </c>
      <c r="I2" s="1" t="s">
        <v>7</v>
      </c>
      <c r="J2" s="5" t="s">
        <v>71</v>
      </c>
      <c r="K2" s="5" t="s">
        <v>72</v>
      </c>
    </row>
    <row r="3" spans="1:11">
      <c r="A3" s="2" t="s">
        <v>8</v>
      </c>
      <c r="B3" s="2" t="s">
        <v>9</v>
      </c>
      <c r="C3" s="2" t="s">
        <v>10</v>
      </c>
      <c r="D3" s="3">
        <v>42552</v>
      </c>
      <c r="E3" s="1">
        <v>256</v>
      </c>
      <c r="F3" s="4">
        <v>10800</v>
      </c>
      <c r="G3" s="4">
        <f>F3*INDEX($F$34:$I$40,MATCH(A3,$E$34:$E$40,0),MATCH(YEAR(D3),$F$32:$I$32,1))</f>
        <v>2160</v>
      </c>
      <c r="H3" s="2">
        <v>25</v>
      </c>
      <c r="I3" s="4">
        <v>8563</v>
      </c>
      <c r="J3" s="6" t="str">
        <f>_xlfn.CONCAT(REPT("★",QUOTIENT(I3,1000)),REPT("☆",10-QUOTIENT(I3,1000)))</f>
        <v>★★★★★★★★☆☆</v>
      </c>
      <c r="K3" s="6" t="str" cm="1">
        <f t="array" ref="K3">fn비고(H3,I3)</f>
        <v>인기도서</v>
      </c>
    </row>
    <row r="4" spans="1:11">
      <c r="A4" s="2" t="s">
        <v>8</v>
      </c>
      <c r="B4" s="2" t="s">
        <v>11</v>
      </c>
      <c r="C4" s="2" t="s">
        <v>12</v>
      </c>
      <c r="D4" s="3">
        <v>41876</v>
      </c>
      <c r="E4" s="1">
        <v>228</v>
      </c>
      <c r="F4" s="4">
        <v>14000</v>
      </c>
      <c r="G4" s="4">
        <f t="shared" ref="G4:G29" si="0">F4*INDEX($F$34:$I$40,MATCH(A4,$E$34:$E$40,0),MATCH(YEAR(D4),$F$32:$I$32,1))</f>
        <v>3500</v>
      </c>
      <c r="H4" s="2">
        <v>30</v>
      </c>
      <c r="I4" s="4">
        <v>5987</v>
      </c>
      <c r="J4" s="28" t="str">
        <f t="shared" ref="J4:J29" si="1">_xlfn.CONCAT(REPT("★",QUOTIENT(I4,1000)),REPT("☆",10-QUOTIENT(I4,1000)))</f>
        <v>★★★★★☆☆☆☆☆</v>
      </c>
      <c r="K4" s="27" t="str" cm="1">
        <f t="array" ref="K4">fn비고(H4,I4)</f>
        <v/>
      </c>
    </row>
    <row r="5" spans="1:11">
      <c r="A5" s="2" t="s">
        <v>8</v>
      </c>
      <c r="B5" s="2" t="s">
        <v>13</v>
      </c>
      <c r="C5" s="2" t="s">
        <v>14</v>
      </c>
      <c r="D5" s="3">
        <v>43200</v>
      </c>
      <c r="E5" s="1">
        <v>232</v>
      </c>
      <c r="F5" s="4">
        <v>9800</v>
      </c>
      <c r="G5" s="4">
        <f t="shared" si="0"/>
        <v>980</v>
      </c>
      <c r="H5" s="2">
        <v>18</v>
      </c>
      <c r="I5" s="4">
        <v>3657</v>
      </c>
      <c r="J5" s="28" t="str">
        <f t="shared" si="1"/>
        <v>★★★☆☆☆☆☆☆☆</v>
      </c>
      <c r="K5" s="27" t="str" cm="1">
        <f t="array" ref="K5">fn비고(H5,I5)</f>
        <v/>
      </c>
    </row>
    <row r="6" spans="1:11">
      <c r="A6" s="2" t="s">
        <v>8</v>
      </c>
      <c r="B6" s="2" t="s">
        <v>15</v>
      </c>
      <c r="C6" s="2" t="s">
        <v>16</v>
      </c>
      <c r="D6" s="3">
        <v>43174</v>
      </c>
      <c r="E6" s="1">
        <v>200</v>
      </c>
      <c r="F6" s="4">
        <v>9800</v>
      </c>
      <c r="G6" s="4">
        <f t="shared" si="0"/>
        <v>980</v>
      </c>
      <c r="H6" s="2">
        <v>15</v>
      </c>
      <c r="I6" s="4">
        <v>9854</v>
      </c>
      <c r="J6" s="28" t="str">
        <f t="shared" si="1"/>
        <v>★★★★★★★★★☆</v>
      </c>
      <c r="K6" s="27" t="str" cm="1">
        <f t="array" ref="K6">fn비고(H6,I6)</f>
        <v>인기도서</v>
      </c>
    </row>
    <row r="7" spans="1:11">
      <c r="A7" s="2" t="s">
        <v>17</v>
      </c>
      <c r="B7" s="2" t="s">
        <v>18</v>
      </c>
      <c r="C7" s="2" t="s">
        <v>19</v>
      </c>
      <c r="D7" s="3">
        <v>42750</v>
      </c>
      <c r="E7" s="1">
        <v>272</v>
      </c>
      <c r="F7" s="4">
        <v>9800</v>
      </c>
      <c r="G7" s="4">
        <f t="shared" si="0"/>
        <v>980</v>
      </c>
      <c r="H7" s="2">
        <v>45</v>
      </c>
      <c r="I7" s="4">
        <v>5962</v>
      </c>
      <c r="J7" s="28" t="str">
        <f t="shared" si="1"/>
        <v>★★★★★☆☆☆☆☆</v>
      </c>
      <c r="K7" s="27" t="str" cm="1">
        <f t="array" ref="K7">fn비고(H7,I7)</f>
        <v/>
      </c>
    </row>
    <row r="8" spans="1:11">
      <c r="A8" s="2" t="s">
        <v>17</v>
      </c>
      <c r="B8" s="2" t="s">
        <v>20</v>
      </c>
      <c r="C8" s="2" t="s">
        <v>21</v>
      </c>
      <c r="D8" s="3">
        <v>43240</v>
      </c>
      <c r="E8" s="1">
        <v>288</v>
      </c>
      <c r="F8" s="4">
        <v>12000</v>
      </c>
      <c r="G8" s="4">
        <f t="shared" si="0"/>
        <v>1200</v>
      </c>
      <c r="H8" s="2">
        <v>58</v>
      </c>
      <c r="I8" s="4">
        <v>3215</v>
      </c>
      <c r="J8" s="28" t="str">
        <f t="shared" si="1"/>
        <v>★★★☆☆☆☆☆☆☆</v>
      </c>
      <c r="K8" s="27" t="str" cm="1">
        <f t="array" ref="K8">fn비고(H8,I8)</f>
        <v/>
      </c>
    </row>
    <row r="9" spans="1:11">
      <c r="A9" s="2" t="s">
        <v>17</v>
      </c>
      <c r="B9" s="2" t="s">
        <v>22</v>
      </c>
      <c r="C9" s="2" t="s">
        <v>23</v>
      </c>
      <c r="D9" s="3">
        <v>42073</v>
      </c>
      <c r="E9" s="1">
        <v>224</v>
      </c>
      <c r="F9" s="4">
        <v>13000</v>
      </c>
      <c r="G9" s="4">
        <f t="shared" si="0"/>
        <v>2600</v>
      </c>
      <c r="H9" s="2">
        <v>100</v>
      </c>
      <c r="I9" s="4">
        <v>1896</v>
      </c>
      <c r="J9" s="28" t="str">
        <f t="shared" si="1"/>
        <v>★☆☆☆☆☆☆☆☆☆</v>
      </c>
      <c r="K9" s="27" t="str" cm="1">
        <f t="array" ref="K9">fn비고(H9,I9)</f>
        <v>관심도서</v>
      </c>
    </row>
    <row r="10" spans="1:11">
      <c r="A10" s="2" t="s">
        <v>17</v>
      </c>
      <c r="B10" s="2" t="s">
        <v>24</v>
      </c>
      <c r="C10" s="2" t="s">
        <v>25</v>
      </c>
      <c r="D10" s="3">
        <v>42094</v>
      </c>
      <c r="E10" s="1">
        <v>384</v>
      </c>
      <c r="F10" s="4">
        <v>20000</v>
      </c>
      <c r="G10" s="4">
        <f t="shared" si="0"/>
        <v>4000</v>
      </c>
      <c r="H10" s="2">
        <v>67</v>
      </c>
      <c r="I10" s="4">
        <v>1697</v>
      </c>
      <c r="J10" s="28" t="str">
        <f t="shared" si="1"/>
        <v>★☆☆☆☆☆☆☆☆☆</v>
      </c>
      <c r="K10" s="27" t="str" cm="1">
        <f t="array" ref="K10">fn비고(H10,I10)</f>
        <v/>
      </c>
    </row>
    <row r="11" spans="1:11">
      <c r="A11" s="2" t="s">
        <v>8</v>
      </c>
      <c r="B11" s="2" t="s">
        <v>26</v>
      </c>
      <c r="C11" s="2" t="s">
        <v>27</v>
      </c>
      <c r="D11" s="3">
        <v>41453</v>
      </c>
      <c r="E11" s="1">
        <v>264</v>
      </c>
      <c r="F11" s="4">
        <v>13000</v>
      </c>
      <c r="G11" s="4">
        <f t="shared" si="0"/>
        <v>3250</v>
      </c>
      <c r="H11" s="2">
        <v>41</v>
      </c>
      <c r="I11" s="4">
        <v>6541</v>
      </c>
      <c r="J11" s="28" t="str">
        <f t="shared" si="1"/>
        <v>★★★★★★☆☆☆☆</v>
      </c>
      <c r="K11" s="27" t="str" cm="1">
        <f t="array" ref="K11">fn비고(H11,I11)</f>
        <v>인기도서</v>
      </c>
    </row>
    <row r="12" spans="1:11">
      <c r="A12" s="2" t="s">
        <v>8</v>
      </c>
      <c r="B12" s="2" t="s">
        <v>28</v>
      </c>
      <c r="C12" s="2" t="s">
        <v>16</v>
      </c>
      <c r="D12" s="3">
        <v>41166</v>
      </c>
      <c r="E12" s="1">
        <v>208</v>
      </c>
      <c r="F12" s="4">
        <v>12000</v>
      </c>
      <c r="G12" s="4">
        <f t="shared" si="0"/>
        <v>3000</v>
      </c>
      <c r="H12" s="2">
        <v>81</v>
      </c>
      <c r="I12" s="4">
        <v>8451</v>
      </c>
      <c r="J12" s="28" t="str">
        <f t="shared" si="1"/>
        <v>★★★★★★★★☆☆</v>
      </c>
      <c r="K12" s="27" t="str" cm="1">
        <f t="array" ref="K12">fn비고(H12,I12)</f>
        <v>추천</v>
      </c>
    </row>
    <row r="13" spans="1:11">
      <c r="A13" s="2" t="s">
        <v>8</v>
      </c>
      <c r="B13" s="2" t="s">
        <v>29</v>
      </c>
      <c r="C13" s="2" t="s">
        <v>30</v>
      </c>
      <c r="D13" s="3">
        <v>41162</v>
      </c>
      <c r="E13" s="1">
        <v>192</v>
      </c>
      <c r="F13" s="4">
        <v>12000</v>
      </c>
      <c r="G13" s="4">
        <f t="shared" si="0"/>
        <v>3000</v>
      </c>
      <c r="H13" s="2">
        <v>92</v>
      </c>
      <c r="I13" s="4">
        <v>5302</v>
      </c>
      <c r="J13" s="28" t="str">
        <f t="shared" si="1"/>
        <v>★★★★★☆☆☆☆☆</v>
      </c>
      <c r="K13" s="27" t="str" cm="1">
        <f t="array" ref="K13">fn비고(H13,I13)</f>
        <v>관심도서</v>
      </c>
    </row>
    <row r="14" spans="1:11">
      <c r="A14" s="2" t="s">
        <v>8</v>
      </c>
      <c r="B14" s="2" t="s">
        <v>31</v>
      </c>
      <c r="C14" s="2" t="s">
        <v>32</v>
      </c>
      <c r="D14" s="3">
        <v>43710</v>
      </c>
      <c r="E14" s="1">
        <v>216</v>
      </c>
      <c r="F14" s="4">
        <v>12000</v>
      </c>
      <c r="G14" s="4">
        <f t="shared" si="0"/>
        <v>600</v>
      </c>
      <c r="H14" s="2">
        <v>63</v>
      </c>
      <c r="I14" s="4">
        <v>3364</v>
      </c>
      <c r="J14" s="28" t="str">
        <f t="shared" si="1"/>
        <v>★★★☆☆☆☆☆☆☆</v>
      </c>
      <c r="K14" s="27" t="str" cm="1">
        <f t="array" ref="K14">fn비고(H14,I14)</f>
        <v/>
      </c>
    </row>
    <row r="15" spans="1:11">
      <c r="A15" s="2" t="s">
        <v>33</v>
      </c>
      <c r="B15" s="2" t="s">
        <v>34</v>
      </c>
      <c r="C15" s="2" t="s">
        <v>35</v>
      </c>
      <c r="D15" s="3">
        <v>42063</v>
      </c>
      <c r="E15" s="1">
        <v>200</v>
      </c>
      <c r="F15" s="4">
        <v>12000</v>
      </c>
      <c r="G15" s="4">
        <f t="shared" si="0"/>
        <v>3000</v>
      </c>
      <c r="H15" s="2">
        <v>11</v>
      </c>
      <c r="I15" s="4">
        <v>2563</v>
      </c>
      <c r="J15" s="28" t="str">
        <f t="shared" si="1"/>
        <v>★★☆☆☆☆☆☆☆☆</v>
      </c>
      <c r="K15" s="27" t="str" cm="1">
        <f t="array" ref="K15">fn비고(H15,I15)</f>
        <v/>
      </c>
    </row>
    <row r="16" spans="1:11">
      <c r="A16" s="2" t="s">
        <v>33</v>
      </c>
      <c r="B16" s="2" t="s">
        <v>36</v>
      </c>
      <c r="C16" s="2" t="s">
        <v>73</v>
      </c>
      <c r="D16" s="3">
        <v>42039</v>
      </c>
      <c r="E16" s="1">
        <v>416</v>
      </c>
      <c r="F16" s="4">
        <v>18000</v>
      </c>
      <c r="G16" s="4">
        <f t="shared" si="0"/>
        <v>4500</v>
      </c>
      <c r="H16" s="2">
        <v>56</v>
      </c>
      <c r="I16" s="4">
        <v>1896</v>
      </c>
      <c r="J16" s="28" t="str">
        <f t="shared" si="1"/>
        <v>★☆☆☆☆☆☆☆☆☆</v>
      </c>
      <c r="K16" s="27" t="str" cm="1">
        <f t="array" ref="K16">fn비고(H16,I16)</f>
        <v/>
      </c>
    </row>
    <row r="17" spans="1:11">
      <c r="A17" s="2" t="s">
        <v>33</v>
      </c>
      <c r="B17" s="2" t="s">
        <v>38</v>
      </c>
      <c r="C17" s="2" t="s">
        <v>39</v>
      </c>
      <c r="D17" s="3">
        <v>41946</v>
      </c>
      <c r="E17" s="1">
        <v>314</v>
      </c>
      <c r="F17" s="4">
        <v>18000</v>
      </c>
      <c r="G17" s="4">
        <f t="shared" si="0"/>
        <v>6300</v>
      </c>
      <c r="H17" s="2">
        <v>120</v>
      </c>
      <c r="I17" s="4">
        <v>2412</v>
      </c>
      <c r="J17" s="28" t="str">
        <f t="shared" si="1"/>
        <v>★★☆☆☆☆☆☆☆☆</v>
      </c>
      <c r="K17" s="27" t="str" cm="1">
        <f t="array" ref="K17">fn비고(H17,I17)</f>
        <v>관심도서</v>
      </c>
    </row>
    <row r="18" spans="1:11">
      <c r="A18" s="2" t="s">
        <v>40</v>
      </c>
      <c r="B18" s="2" t="s">
        <v>41</v>
      </c>
      <c r="C18" s="2" t="s">
        <v>74</v>
      </c>
      <c r="D18" s="3">
        <v>42063</v>
      </c>
      <c r="E18" s="1">
        <v>248</v>
      </c>
      <c r="F18" s="4">
        <v>18000</v>
      </c>
      <c r="G18" s="4">
        <f t="shared" si="0"/>
        <v>1800</v>
      </c>
      <c r="H18" s="2">
        <v>47</v>
      </c>
      <c r="I18" s="4">
        <v>3794</v>
      </c>
      <c r="J18" s="28" t="str">
        <f t="shared" si="1"/>
        <v>★★★☆☆☆☆☆☆☆</v>
      </c>
      <c r="K18" s="27" t="str" cm="1">
        <f t="array" ref="K18">fn비고(H18,I18)</f>
        <v/>
      </c>
    </row>
    <row r="19" spans="1:11">
      <c r="A19" s="2" t="s">
        <v>40</v>
      </c>
      <c r="B19" s="2" t="s">
        <v>43</v>
      </c>
      <c r="C19" s="2" t="s">
        <v>44</v>
      </c>
      <c r="D19" s="3">
        <v>42073</v>
      </c>
      <c r="E19" s="1">
        <v>214</v>
      </c>
      <c r="F19" s="4">
        <v>15000</v>
      </c>
      <c r="G19" s="4">
        <f t="shared" si="0"/>
        <v>1500</v>
      </c>
      <c r="H19" s="2">
        <v>84</v>
      </c>
      <c r="I19" s="4">
        <v>4587</v>
      </c>
      <c r="J19" s="28" t="str">
        <f t="shared" si="1"/>
        <v>★★★★☆☆☆☆☆☆</v>
      </c>
      <c r="K19" s="27" t="str" cm="1">
        <f t="array" ref="K19">fn비고(H19,I19)</f>
        <v>관심도서</v>
      </c>
    </row>
    <row r="20" spans="1:11">
      <c r="A20" s="2" t="s">
        <v>40</v>
      </c>
      <c r="B20" s="2" t="s">
        <v>75</v>
      </c>
      <c r="C20" s="2" t="s">
        <v>46</v>
      </c>
      <c r="D20" s="3">
        <v>41845</v>
      </c>
      <c r="E20" s="1">
        <v>504</v>
      </c>
      <c r="F20" s="4">
        <v>20000</v>
      </c>
      <c r="G20" s="4">
        <f t="shared" si="0"/>
        <v>4000</v>
      </c>
      <c r="H20" s="2">
        <v>61</v>
      </c>
      <c r="I20" s="4">
        <v>9687</v>
      </c>
      <c r="J20" s="28" t="str">
        <f t="shared" si="1"/>
        <v>★★★★★★★★★☆</v>
      </c>
      <c r="K20" s="27" t="str" cm="1">
        <f t="array" ref="K20">fn비고(H20,I20)</f>
        <v>인기도서</v>
      </c>
    </row>
    <row r="21" spans="1:11">
      <c r="A21" s="2" t="s">
        <v>47</v>
      </c>
      <c r="B21" s="2" t="s">
        <v>48</v>
      </c>
      <c r="C21" s="2" t="s">
        <v>49</v>
      </c>
      <c r="D21" s="3">
        <v>42094</v>
      </c>
      <c r="E21" s="1">
        <v>368</v>
      </c>
      <c r="F21" s="4">
        <v>18000</v>
      </c>
      <c r="G21" s="4">
        <f t="shared" si="0"/>
        <v>2700</v>
      </c>
      <c r="H21" s="2">
        <v>77</v>
      </c>
      <c r="I21" s="4">
        <v>2432</v>
      </c>
      <c r="J21" s="28" t="str">
        <f t="shared" si="1"/>
        <v>★★☆☆☆☆☆☆☆☆</v>
      </c>
      <c r="K21" s="27" t="str" cm="1">
        <f t="array" ref="K21">fn비고(H21,I21)</f>
        <v/>
      </c>
    </row>
    <row r="22" spans="1:11">
      <c r="A22" s="2" t="s">
        <v>47</v>
      </c>
      <c r="B22" s="2" t="s">
        <v>50</v>
      </c>
      <c r="C22" s="2" t="s">
        <v>51</v>
      </c>
      <c r="D22" s="3">
        <v>41999</v>
      </c>
      <c r="E22" s="1">
        <v>528</v>
      </c>
      <c r="F22" s="4">
        <v>36000</v>
      </c>
      <c r="G22" s="4">
        <f t="shared" si="0"/>
        <v>10800</v>
      </c>
      <c r="H22" s="2">
        <v>66</v>
      </c>
      <c r="I22" s="4">
        <v>1369</v>
      </c>
      <c r="J22" s="28" t="str">
        <f t="shared" si="1"/>
        <v>★☆☆☆☆☆☆☆☆☆</v>
      </c>
      <c r="K22" s="27" t="str" cm="1">
        <f t="array" ref="K22">fn비고(H22,I22)</f>
        <v/>
      </c>
    </row>
    <row r="23" spans="1:11">
      <c r="A23" s="2" t="s">
        <v>52</v>
      </c>
      <c r="B23" s="2" t="s">
        <v>53</v>
      </c>
      <c r="C23" s="2" t="s">
        <v>76</v>
      </c>
      <c r="D23" s="3">
        <v>42124</v>
      </c>
      <c r="E23" s="1">
        <v>384</v>
      </c>
      <c r="F23" s="4">
        <v>18000</v>
      </c>
      <c r="G23" s="4">
        <f t="shared" si="0"/>
        <v>2700</v>
      </c>
      <c r="H23" s="2">
        <v>55</v>
      </c>
      <c r="I23" s="4">
        <v>6321</v>
      </c>
      <c r="J23" s="28" t="str">
        <f t="shared" si="1"/>
        <v>★★★★★★☆☆☆☆</v>
      </c>
      <c r="K23" s="27" t="str" cm="1">
        <f t="array" ref="K23">fn비고(H23,I23)</f>
        <v>인기도서</v>
      </c>
    </row>
    <row r="24" spans="1:11">
      <c r="A24" s="2" t="s">
        <v>52</v>
      </c>
      <c r="B24" s="2" t="s">
        <v>55</v>
      </c>
      <c r="C24" s="2" t="s">
        <v>77</v>
      </c>
      <c r="D24" s="3">
        <v>42123</v>
      </c>
      <c r="E24" s="1">
        <v>576</v>
      </c>
      <c r="F24" s="4">
        <v>18000</v>
      </c>
      <c r="G24" s="4">
        <f t="shared" si="0"/>
        <v>2700</v>
      </c>
      <c r="H24" s="2">
        <v>44</v>
      </c>
      <c r="I24" s="4">
        <v>7743</v>
      </c>
      <c r="J24" s="28" t="str">
        <f t="shared" si="1"/>
        <v>★★★★★★★☆☆☆</v>
      </c>
      <c r="K24" s="27" t="str" cm="1">
        <f t="array" ref="K24">fn비고(H24,I24)</f>
        <v>인기도서</v>
      </c>
    </row>
    <row r="25" spans="1:11">
      <c r="A25" s="2" t="s">
        <v>57</v>
      </c>
      <c r="B25" s="2" t="s">
        <v>58</v>
      </c>
      <c r="C25" s="2" t="s">
        <v>59</v>
      </c>
      <c r="D25" s="3">
        <v>42027</v>
      </c>
      <c r="E25" s="1">
        <v>320</v>
      </c>
      <c r="F25" s="4">
        <v>15000</v>
      </c>
      <c r="G25" s="4">
        <f t="shared" si="0"/>
        <v>2400</v>
      </c>
      <c r="H25" s="2">
        <v>33</v>
      </c>
      <c r="I25" s="4">
        <v>6540</v>
      </c>
      <c r="J25" s="28" t="str">
        <f t="shared" si="1"/>
        <v>★★★★★★☆☆☆☆</v>
      </c>
      <c r="K25" s="27" t="str" cm="1">
        <f t="array" ref="K25">fn비고(H25,I25)</f>
        <v>인기도서</v>
      </c>
    </row>
    <row r="26" spans="1:11">
      <c r="A26" s="2" t="s">
        <v>57</v>
      </c>
      <c r="B26" s="2" t="s">
        <v>60</v>
      </c>
      <c r="C26" s="2" t="s">
        <v>78</v>
      </c>
      <c r="D26" s="3">
        <v>41849</v>
      </c>
      <c r="E26" s="1">
        <v>776</v>
      </c>
      <c r="F26" s="4">
        <v>35000</v>
      </c>
      <c r="G26" s="4">
        <f t="shared" si="0"/>
        <v>9100</v>
      </c>
      <c r="H26" s="2">
        <v>22</v>
      </c>
      <c r="I26" s="4">
        <v>1294</v>
      </c>
      <c r="J26" s="28" t="str">
        <f t="shared" si="1"/>
        <v>★☆☆☆☆☆☆☆☆☆</v>
      </c>
      <c r="K26" s="27" t="str" cm="1">
        <f t="array" ref="K26">fn비고(H26,I26)</f>
        <v/>
      </c>
    </row>
    <row r="27" spans="1:11">
      <c r="A27" s="2" t="s">
        <v>47</v>
      </c>
      <c r="B27" s="2" t="s">
        <v>62</v>
      </c>
      <c r="C27" s="2" t="s">
        <v>63</v>
      </c>
      <c r="D27" s="3">
        <v>41927</v>
      </c>
      <c r="E27" s="1">
        <v>480</v>
      </c>
      <c r="F27" s="4">
        <v>23000</v>
      </c>
      <c r="G27" s="4">
        <f t="shared" si="0"/>
        <v>6900</v>
      </c>
      <c r="H27" s="2">
        <v>88</v>
      </c>
      <c r="I27" s="4">
        <v>6321</v>
      </c>
      <c r="J27" s="28" t="str">
        <f t="shared" si="1"/>
        <v>★★★★★★☆☆☆☆</v>
      </c>
      <c r="K27" s="27" t="str" cm="1">
        <f t="array" ref="K27">fn비고(H27,I27)</f>
        <v>추천</v>
      </c>
    </row>
    <row r="28" spans="1:11">
      <c r="A28" s="2" t="s">
        <v>47</v>
      </c>
      <c r="B28" s="2" t="s">
        <v>64</v>
      </c>
      <c r="C28" s="2" t="s">
        <v>65</v>
      </c>
      <c r="D28" s="3">
        <v>41835</v>
      </c>
      <c r="E28" s="1">
        <v>520</v>
      </c>
      <c r="F28" s="4">
        <v>25000</v>
      </c>
      <c r="G28" s="4">
        <f t="shared" si="0"/>
        <v>7500</v>
      </c>
      <c r="H28" s="2">
        <v>99</v>
      </c>
      <c r="I28" s="4">
        <v>7390</v>
      </c>
      <c r="J28" s="28" t="str">
        <f t="shared" si="1"/>
        <v>★★★★★★★☆☆☆</v>
      </c>
      <c r="K28" s="27" t="str" cm="1">
        <f t="array" ref="K28">fn비고(H28,I28)</f>
        <v>추천</v>
      </c>
    </row>
    <row r="29" spans="1:11">
      <c r="A29" s="2" t="s">
        <v>8</v>
      </c>
      <c r="B29" s="2" t="s">
        <v>66</v>
      </c>
      <c r="C29" s="2" t="s">
        <v>32</v>
      </c>
      <c r="D29" s="3">
        <v>42689</v>
      </c>
      <c r="E29" s="1">
        <v>248</v>
      </c>
      <c r="F29" s="4">
        <v>9800</v>
      </c>
      <c r="G29" s="4">
        <f t="shared" si="0"/>
        <v>1960</v>
      </c>
      <c r="H29" s="2">
        <v>101</v>
      </c>
      <c r="I29" s="4">
        <v>5786</v>
      </c>
      <c r="J29" s="28" t="str">
        <f t="shared" si="1"/>
        <v>★★★★★☆☆☆☆☆</v>
      </c>
      <c r="K29" s="27" t="str" cm="1">
        <f t="array" ref="K29">fn비고(H29,I29)</f>
        <v>관심도서</v>
      </c>
    </row>
    <row r="31" spans="1:11">
      <c r="A31" s="7" t="s">
        <v>79</v>
      </c>
      <c r="E31" t="s">
        <v>80</v>
      </c>
    </row>
    <row r="32" spans="1:11">
      <c r="A32" s="8" t="s">
        <v>81</v>
      </c>
      <c r="B32" s="5" t="s">
        <v>82</v>
      </c>
      <c r="C32" s="5" t="s">
        <v>83</v>
      </c>
      <c r="E32" s="30" t="s">
        <v>84</v>
      </c>
      <c r="F32" s="9">
        <v>2012</v>
      </c>
      <c r="G32" s="9">
        <v>2015</v>
      </c>
      <c r="H32" s="9">
        <v>2017</v>
      </c>
      <c r="I32" s="9">
        <v>2019</v>
      </c>
    </row>
    <row r="33" spans="1:9">
      <c r="A33" s="2" t="s">
        <v>8</v>
      </c>
      <c r="B33" s="10">
        <f t="array" ref="B33">SUM(IF(($A$3:$A$29=A33)*($H$3:$H$29&gt;=50),1))</f>
        <v>4</v>
      </c>
      <c r="C33" s="11">
        <f t="array" ref="C33">AVERAGE(IF($A$3:$A$29=A33,$I$3:$I$29))</f>
        <v>6389.4444444444443</v>
      </c>
      <c r="E33" s="31"/>
      <c r="F33" s="12">
        <v>2015</v>
      </c>
      <c r="G33" s="12">
        <v>2017</v>
      </c>
      <c r="H33" s="12">
        <v>2019</v>
      </c>
      <c r="I33" s="13"/>
    </row>
    <row r="34" spans="1:9">
      <c r="A34" s="2" t="s">
        <v>17</v>
      </c>
      <c r="B34" s="10">
        <f t="array" ref="B34">SUM(IF(($A$3:$A$29=A34)*($H$3:$H$29&gt;=50),1))</f>
        <v>3</v>
      </c>
      <c r="C34" s="11">
        <f t="array" ref="C34">AVERAGE(IF($A$3:$A$29=A34,$I$3:$I$29))</f>
        <v>3192.5</v>
      </c>
      <c r="E34" s="2" t="s">
        <v>8</v>
      </c>
      <c r="F34" s="14">
        <v>0.25</v>
      </c>
      <c r="G34" s="14">
        <v>0.2</v>
      </c>
      <c r="H34" s="14">
        <v>0.1</v>
      </c>
      <c r="I34" s="14">
        <v>0.05</v>
      </c>
    </row>
    <row r="35" spans="1:9">
      <c r="A35" s="2" t="s">
        <v>33</v>
      </c>
      <c r="B35" s="10">
        <f t="array" ref="B35">SUM(IF(($A$3:$A$29=A35)*($H$3:$H$29&gt;=50),1))</f>
        <v>2</v>
      </c>
      <c r="C35" s="11">
        <f t="array" ref="C35">AVERAGE(IF($A$3:$A$29=A35,$I$3:$I$29))</f>
        <v>2290.3333333333335</v>
      </c>
      <c r="E35" s="2" t="s">
        <v>17</v>
      </c>
      <c r="F35" s="14">
        <v>0.3</v>
      </c>
      <c r="G35" s="14">
        <v>0.2</v>
      </c>
      <c r="H35" s="14">
        <v>0.1</v>
      </c>
      <c r="I35" s="14">
        <v>0.05</v>
      </c>
    </row>
    <row r="36" spans="1:9">
      <c r="A36" s="2" t="s">
        <v>40</v>
      </c>
      <c r="B36" s="10">
        <f t="array" ref="B36">SUM(IF(($A$3:$A$29=A36)*($H$3:$H$29&gt;=50),1))</f>
        <v>2</v>
      </c>
      <c r="C36" s="11">
        <f t="array" ref="C36">AVERAGE(IF($A$3:$A$29=A36,$I$3:$I$29))</f>
        <v>6022.666666666667</v>
      </c>
      <c r="E36" s="2" t="s">
        <v>33</v>
      </c>
      <c r="F36" s="14">
        <v>0.35</v>
      </c>
      <c r="G36" s="14">
        <v>0.25</v>
      </c>
      <c r="H36" s="14">
        <v>0.1</v>
      </c>
      <c r="I36" s="14">
        <v>0.05</v>
      </c>
    </row>
    <row r="37" spans="1:9">
      <c r="A37" s="2" t="s">
        <v>47</v>
      </c>
      <c r="B37" s="10">
        <f t="array" ref="B37">SUM(IF(($A$3:$A$29=A37)*($H$3:$H$29&gt;=50),1))</f>
        <v>4</v>
      </c>
      <c r="C37" s="11">
        <f t="array" ref="C37">AVERAGE(IF($A$3:$A$29=A37,$I$3:$I$29))</f>
        <v>4378</v>
      </c>
      <c r="E37" s="2" t="s">
        <v>40</v>
      </c>
      <c r="F37" s="14">
        <v>0.2</v>
      </c>
      <c r="G37" s="14">
        <v>0.1</v>
      </c>
      <c r="H37" s="14">
        <v>0.05</v>
      </c>
      <c r="I37" s="14">
        <v>0.02</v>
      </c>
    </row>
    <row r="38" spans="1:9">
      <c r="A38" s="2" t="s">
        <v>52</v>
      </c>
      <c r="B38" s="10">
        <f t="array" ref="B38">SUM(IF(($A$3:$A$29=A38)*($H$3:$H$29&gt;=50),1))</f>
        <v>1</v>
      </c>
      <c r="C38" s="11">
        <f t="array" ref="C38">AVERAGE(IF($A$3:$A$29=A38,$I$3:$I$29))</f>
        <v>7032</v>
      </c>
      <c r="E38" s="2" t="s">
        <v>47</v>
      </c>
      <c r="F38" s="14">
        <v>0.3</v>
      </c>
      <c r="G38" s="14">
        <v>0.15</v>
      </c>
      <c r="H38" s="14">
        <v>0.1</v>
      </c>
      <c r="I38" s="14">
        <v>7.0000000000000007E-2</v>
      </c>
    </row>
    <row r="39" spans="1:9">
      <c r="A39" s="2" t="s">
        <v>57</v>
      </c>
      <c r="B39" s="10">
        <f t="array" ref="B39">SUM(IF(($A$3:$A$29=A39)*($H$3:$H$29&gt;=50),1))</f>
        <v>0</v>
      </c>
      <c r="C39" s="11">
        <f t="array" ref="C39">AVERAGE(IF($A$3:$A$29=A39,$I$3:$I$29))</f>
        <v>3917</v>
      </c>
      <c r="E39" s="2" t="s">
        <v>52</v>
      </c>
      <c r="F39" s="14">
        <v>0.25</v>
      </c>
      <c r="G39" s="14">
        <v>0.15</v>
      </c>
      <c r="H39" s="14">
        <v>0.08</v>
      </c>
      <c r="I39" s="14">
        <v>0.02</v>
      </c>
    </row>
    <row r="40" spans="1:9">
      <c r="E40" s="2" t="s">
        <v>57</v>
      </c>
      <c r="F40" s="14">
        <v>0.26</v>
      </c>
      <c r="G40" s="14">
        <v>0.16</v>
      </c>
      <c r="H40" s="14">
        <v>7.0000000000000007E-2</v>
      </c>
      <c r="I40" s="14">
        <v>0.04</v>
      </c>
    </row>
  </sheetData>
  <mergeCells count="1">
    <mergeCell ref="E32:E33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D13"/>
  <sheetViews>
    <sheetView workbookViewId="0"/>
  </sheetViews>
  <sheetFormatPr defaultRowHeight="16.5"/>
  <cols>
    <col min="2" max="2" width="8.875" customWidth="1"/>
    <col min="3" max="4" width="12.5" customWidth="1"/>
    <col min="5" max="6" width="12.5" bestFit="1" customWidth="1"/>
  </cols>
  <sheetData>
    <row r="2" spans="2:4">
      <c r="B2" s="22" t="s">
        <v>85</v>
      </c>
      <c r="C2" t="s">
        <v>123</v>
      </c>
    </row>
    <row r="4" spans="2:4">
      <c r="B4" s="22" t="s">
        <v>3</v>
      </c>
      <c r="C4" t="s">
        <v>132</v>
      </c>
      <c r="D4" t="s">
        <v>133</v>
      </c>
    </row>
    <row r="5" spans="2:4">
      <c r="B5" t="s">
        <v>125</v>
      </c>
      <c r="C5" s="23">
        <v>2</v>
      </c>
      <c r="D5" s="24">
        <v>13753</v>
      </c>
    </row>
    <row r="6" spans="2:4">
      <c r="B6" t="s">
        <v>126</v>
      </c>
      <c r="C6" s="23">
        <v>1</v>
      </c>
      <c r="D6" s="24">
        <v>6541</v>
      </c>
    </row>
    <row r="7" spans="2:4">
      <c r="B7" t="s">
        <v>127</v>
      </c>
      <c r="C7" s="23">
        <v>7</v>
      </c>
      <c r="D7" s="24">
        <v>30460</v>
      </c>
    </row>
    <row r="8" spans="2:4">
      <c r="B8" t="s">
        <v>128</v>
      </c>
      <c r="C8" s="23">
        <v>10</v>
      </c>
      <c r="D8" s="24">
        <v>39469</v>
      </c>
    </row>
    <row r="9" spans="2:4">
      <c r="B9" t="s">
        <v>129</v>
      </c>
      <c r="C9" s="23">
        <v>2</v>
      </c>
      <c r="D9" s="24">
        <v>19261</v>
      </c>
    </row>
    <row r="10" spans="2:4">
      <c r="B10" t="s">
        <v>130</v>
      </c>
      <c r="C10" s="23">
        <v>1</v>
      </c>
      <c r="D10" s="24">
        <v>5962</v>
      </c>
    </row>
    <row r="11" spans="2:4">
      <c r="B11" t="s">
        <v>131</v>
      </c>
      <c r="C11" s="23">
        <v>3</v>
      </c>
      <c r="D11" s="24">
        <v>19267</v>
      </c>
    </row>
    <row r="12" spans="2:4">
      <c r="B12" t="s">
        <v>114</v>
      </c>
      <c r="C12" s="23">
        <v>1</v>
      </c>
      <c r="D12" s="24">
        <v>3364</v>
      </c>
    </row>
    <row r="13" spans="2:4">
      <c r="B13" t="s">
        <v>124</v>
      </c>
      <c r="C13" s="23">
        <v>27</v>
      </c>
      <c r="D13" s="24">
        <v>138077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 filterMode="1"/>
  <dimension ref="A1:H28"/>
  <sheetViews>
    <sheetView workbookViewId="0"/>
  </sheetViews>
  <sheetFormatPr defaultRowHeight="16.5"/>
  <cols>
    <col min="1" max="1" width="17.125" bestFit="1" customWidth="1"/>
    <col min="2" max="2" width="43.75" bestFit="1" customWidth="1"/>
    <col min="3" max="3" width="9.875" bestFit="1" customWidth="1"/>
    <col min="4" max="4" width="10.75" bestFit="1" customWidth="1"/>
    <col min="5" max="5" width="6.75" bestFit="1" customWidth="1"/>
    <col min="6" max="6" width="8.125" bestFit="1" customWidth="1"/>
    <col min="7" max="7" width="10.375" bestFit="1" customWidth="1"/>
    <col min="8" max="8" width="8.125" bestFit="1" customWidth="1"/>
  </cols>
  <sheetData>
    <row r="1" spans="1:8">
      <c r="A1" s="1" t="s">
        <v>85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hidden="1">
      <c r="A2" s="2" t="s">
        <v>8</v>
      </c>
      <c r="B2" s="2" t="s">
        <v>9</v>
      </c>
      <c r="C2" s="2" t="s">
        <v>10</v>
      </c>
      <c r="D2" s="3">
        <v>42552</v>
      </c>
      <c r="E2" s="4">
        <v>256</v>
      </c>
      <c r="F2" s="4">
        <v>10800</v>
      </c>
      <c r="G2" s="4">
        <v>25</v>
      </c>
      <c r="H2" s="4">
        <v>8563</v>
      </c>
    </row>
    <row r="3" spans="1:8" hidden="1">
      <c r="A3" s="2" t="s">
        <v>8</v>
      </c>
      <c r="B3" s="2" t="s">
        <v>11</v>
      </c>
      <c r="C3" s="2" t="s">
        <v>12</v>
      </c>
      <c r="D3" s="3">
        <v>41876</v>
      </c>
      <c r="E3" s="4">
        <v>228</v>
      </c>
      <c r="F3" s="4">
        <v>14000</v>
      </c>
      <c r="G3" s="4">
        <v>30</v>
      </c>
      <c r="H3" s="4">
        <v>5987</v>
      </c>
    </row>
    <row r="4" spans="1:8">
      <c r="A4" s="2" t="s">
        <v>8</v>
      </c>
      <c r="B4" s="2" t="s">
        <v>13</v>
      </c>
      <c r="C4" s="2" t="s">
        <v>14</v>
      </c>
      <c r="D4" s="3">
        <v>43200</v>
      </c>
      <c r="E4" s="4">
        <v>232</v>
      </c>
      <c r="F4" s="4">
        <v>9800</v>
      </c>
      <c r="G4" s="4">
        <v>18</v>
      </c>
      <c r="H4" s="4">
        <v>3657</v>
      </c>
    </row>
    <row r="5" spans="1:8">
      <c r="A5" s="2" t="s">
        <v>8</v>
      </c>
      <c r="B5" s="2" t="s">
        <v>15</v>
      </c>
      <c r="C5" s="2" t="s">
        <v>16</v>
      </c>
      <c r="D5" s="3">
        <v>43174</v>
      </c>
      <c r="E5" s="4">
        <v>200</v>
      </c>
      <c r="F5" s="4">
        <v>9800</v>
      </c>
      <c r="G5" s="4">
        <v>15</v>
      </c>
      <c r="H5" s="4">
        <v>12395</v>
      </c>
    </row>
    <row r="6" spans="1:8">
      <c r="A6" s="2" t="s">
        <v>17</v>
      </c>
      <c r="B6" s="2" t="s">
        <v>18</v>
      </c>
      <c r="C6" s="2" t="s">
        <v>19</v>
      </c>
      <c r="D6" s="3">
        <v>42750</v>
      </c>
      <c r="E6" s="4">
        <v>272</v>
      </c>
      <c r="F6" s="4">
        <v>9800</v>
      </c>
      <c r="G6" s="4">
        <v>45</v>
      </c>
      <c r="H6" s="4">
        <v>5962</v>
      </c>
    </row>
    <row r="7" spans="1:8" hidden="1">
      <c r="A7" s="2" t="s">
        <v>17</v>
      </c>
      <c r="B7" s="2" t="s">
        <v>20</v>
      </c>
      <c r="C7" s="2" t="s">
        <v>21</v>
      </c>
      <c r="D7" s="3">
        <v>43240</v>
      </c>
      <c r="E7" s="4">
        <v>288</v>
      </c>
      <c r="F7" s="4">
        <v>12000</v>
      </c>
      <c r="G7" s="4">
        <v>58</v>
      </c>
      <c r="H7" s="4">
        <v>3215</v>
      </c>
    </row>
    <row r="8" spans="1:8" hidden="1">
      <c r="A8" s="2" t="s">
        <v>17</v>
      </c>
      <c r="B8" s="2" t="s">
        <v>22</v>
      </c>
      <c r="C8" s="2" t="s">
        <v>23</v>
      </c>
      <c r="D8" s="3">
        <v>42073</v>
      </c>
      <c r="E8" s="4">
        <v>224</v>
      </c>
      <c r="F8" s="4">
        <v>13000</v>
      </c>
      <c r="G8" s="4">
        <v>100</v>
      </c>
      <c r="H8" s="4">
        <v>1896</v>
      </c>
    </row>
    <row r="9" spans="1:8" hidden="1">
      <c r="A9" s="2" t="s">
        <v>17</v>
      </c>
      <c r="B9" s="2" t="s">
        <v>24</v>
      </c>
      <c r="C9" s="2" t="s">
        <v>25</v>
      </c>
      <c r="D9" s="3">
        <v>42094</v>
      </c>
      <c r="E9" s="4">
        <v>384</v>
      </c>
      <c r="F9" s="4">
        <v>20000</v>
      </c>
      <c r="G9" s="4">
        <v>67</v>
      </c>
      <c r="H9" s="4">
        <v>1697</v>
      </c>
    </row>
    <row r="10" spans="1:8" hidden="1">
      <c r="A10" s="2" t="s">
        <v>8</v>
      </c>
      <c r="B10" s="2" t="s">
        <v>26</v>
      </c>
      <c r="C10" s="2" t="s">
        <v>27</v>
      </c>
      <c r="D10" s="3">
        <v>41453</v>
      </c>
      <c r="E10" s="4">
        <v>264</v>
      </c>
      <c r="F10" s="4">
        <v>13000</v>
      </c>
      <c r="G10" s="4">
        <v>41</v>
      </c>
      <c r="H10" s="4">
        <v>6541</v>
      </c>
    </row>
    <row r="11" spans="1:8" hidden="1">
      <c r="A11" s="2" t="s">
        <v>8</v>
      </c>
      <c r="B11" s="2" t="s">
        <v>28</v>
      </c>
      <c r="C11" s="2" t="s">
        <v>16</v>
      </c>
      <c r="D11" s="3">
        <v>41166</v>
      </c>
      <c r="E11" s="4">
        <v>208</v>
      </c>
      <c r="F11" s="4">
        <v>12000</v>
      </c>
      <c r="G11" s="4">
        <v>76</v>
      </c>
      <c r="H11" s="4">
        <v>8451</v>
      </c>
    </row>
    <row r="12" spans="1:8" hidden="1">
      <c r="A12" s="2" t="s">
        <v>8</v>
      </c>
      <c r="B12" s="2" t="s">
        <v>29</v>
      </c>
      <c r="C12" s="2" t="s">
        <v>30</v>
      </c>
      <c r="D12" s="3">
        <v>41162</v>
      </c>
      <c r="E12" s="4">
        <v>192</v>
      </c>
      <c r="F12" s="4">
        <v>12000</v>
      </c>
      <c r="G12" s="4">
        <v>92</v>
      </c>
      <c r="H12" s="4">
        <v>5302</v>
      </c>
    </row>
    <row r="13" spans="1:8" hidden="1">
      <c r="A13" s="2" t="s">
        <v>8</v>
      </c>
      <c r="B13" s="2" t="s">
        <v>31</v>
      </c>
      <c r="C13" s="2" t="s">
        <v>32</v>
      </c>
      <c r="D13" s="3">
        <v>43710</v>
      </c>
      <c r="E13" s="4">
        <v>216</v>
      </c>
      <c r="F13" s="4">
        <v>12000</v>
      </c>
      <c r="G13" s="4">
        <v>63</v>
      </c>
      <c r="H13" s="4">
        <v>3364</v>
      </c>
    </row>
    <row r="14" spans="1:8" hidden="1">
      <c r="A14" s="2" t="s">
        <v>33</v>
      </c>
      <c r="B14" s="2" t="s">
        <v>34</v>
      </c>
      <c r="C14" s="2" t="s">
        <v>35</v>
      </c>
      <c r="D14" s="3">
        <v>42063</v>
      </c>
      <c r="E14" s="4">
        <v>200</v>
      </c>
      <c r="F14" s="4">
        <v>12000</v>
      </c>
      <c r="G14" s="4">
        <v>11</v>
      </c>
      <c r="H14" s="4">
        <v>2563</v>
      </c>
    </row>
    <row r="15" spans="1:8" hidden="1">
      <c r="A15" s="2" t="s">
        <v>33</v>
      </c>
      <c r="B15" s="2" t="s">
        <v>36</v>
      </c>
      <c r="C15" s="2" t="s">
        <v>37</v>
      </c>
      <c r="D15" s="3">
        <v>42039</v>
      </c>
      <c r="E15" s="4">
        <v>416</v>
      </c>
      <c r="F15" s="4">
        <v>18000</v>
      </c>
      <c r="G15" s="4">
        <v>56</v>
      </c>
      <c r="H15" s="4">
        <v>1896</v>
      </c>
    </row>
    <row r="16" spans="1:8" hidden="1">
      <c r="A16" s="2" t="s">
        <v>33</v>
      </c>
      <c r="B16" s="2" t="s">
        <v>38</v>
      </c>
      <c r="C16" s="2" t="s">
        <v>39</v>
      </c>
      <c r="D16" s="3">
        <v>41946</v>
      </c>
      <c r="E16" s="4">
        <v>314</v>
      </c>
      <c r="F16" s="4">
        <v>18000</v>
      </c>
      <c r="G16" s="4">
        <v>120</v>
      </c>
      <c r="H16" s="4">
        <v>2412</v>
      </c>
    </row>
    <row r="17" spans="1:8" hidden="1">
      <c r="A17" s="2" t="s">
        <v>40</v>
      </c>
      <c r="B17" s="2" t="s">
        <v>41</v>
      </c>
      <c r="C17" s="2" t="s">
        <v>42</v>
      </c>
      <c r="D17" s="3">
        <v>42063</v>
      </c>
      <c r="E17" s="4">
        <v>248</v>
      </c>
      <c r="F17" s="4">
        <v>18000</v>
      </c>
      <c r="G17" s="4">
        <v>47</v>
      </c>
      <c r="H17" s="4">
        <v>3794</v>
      </c>
    </row>
    <row r="18" spans="1:8" hidden="1">
      <c r="A18" s="2" t="s">
        <v>40</v>
      </c>
      <c r="B18" s="2" t="s">
        <v>43</v>
      </c>
      <c r="C18" s="2" t="s">
        <v>44</v>
      </c>
      <c r="D18" s="3">
        <v>42073</v>
      </c>
      <c r="E18" s="4">
        <v>214</v>
      </c>
      <c r="F18" s="4">
        <v>15000</v>
      </c>
      <c r="G18" s="4">
        <v>84</v>
      </c>
      <c r="H18" s="4">
        <v>4587</v>
      </c>
    </row>
    <row r="19" spans="1:8" hidden="1">
      <c r="A19" s="2" t="s">
        <v>40</v>
      </c>
      <c r="B19" s="2" t="s">
        <v>45</v>
      </c>
      <c r="C19" s="2" t="s">
        <v>46</v>
      </c>
      <c r="D19" s="3">
        <v>41845</v>
      </c>
      <c r="E19" s="4">
        <v>504</v>
      </c>
      <c r="F19" s="4">
        <v>20000</v>
      </c>
      <c r="G19" s="4">
        <v>61</v>
      </c>
      <c r="H19" s="4">
        <v>9687</v>
      </c>
    </row>
    <row r="20" spans="1:8" hidden="1">
      <c r="A20" s="2" t="s">
        <v>47</v>
      </c>
      <c r="B20" s="2" t="s">
        <v>48</v>
      </c>
      <c r="C20" s="2" t="s">
        <v>49</v>
      </c>
      <c r="D20" s="3">
        <v>42094</v>
      </c>
      <c r="E20" s="4">
        <v>368</v>
      </c>
      <c r="F20" s="4">
        <v>18000</v>
      </c>
      <c r="G20" s="4">
        <v>77</v>
      </c>
      <c r="H20" s="4">
        <v>2432</v>
      </c>
    </row>
    <row r="21" spans="1:8">
      <c r="A21" s="2" t="s">
        <v>47</v>
      </c>
      <c r="B21" s="2" t="s">
        <v>50</v>
      </c>
      <c r="C21" s="2" t="s">
        <v>51</v>
      </c>
      <c r="D21" s="3">
        <v>41999</v>
      </c>
      <c r="E21" s="4">
        <v>528</v>
      </c>
      <c r="F21" s="4">
        <v>36000</v>
      </c>
      <c r="G21" s="4">
        <v>66</v>
      </c>
      <c r="H21" s="4">
        <v>1369</v>
      </c>
    </row>
    <row r="22" spans="1:8" hidden="1">
      <c r="A22" s="2" t="s">
        <v>52</v>
      </c>
      <c r="B22" s="2" t="s">
        <v>53</v>
      </c>
      <c r="C22" s="2" t="s">
        <v>54</v>
      </c>
      <c r="D22" s="3">
        <v>42124</v>
      </c>
      <c r="E22" s="4">
        <v>384</v>
      </c>
      <c r="F22" s="4">
        <v>18000</v>
      </c>
      <c r="G22" s="4">
        <v>55</v>
      </c>
      <c r="H22" s="4">
        <v>6321</v>
      </c>
    </row>
    <row r="23" spans="1:8" hidden="1">
      <c r="A23" s="2" t="s">
        <v>52</v>
      </c>
      <c r="B23" s="2" t="s">
        <v>55</v>
      </c>
      <c r="C23" s="2" t="s">
        <v>56</v>
      </c>
      <c r="D23" s="3">
        <v>42123</v>
      </c>
      <c r="E23" s="4">
        <v>576</v>
      </c>
      <c r="F23" s="4">
        <v>18000</v>
      </c>
      <c r="G23" s="4">
        <v>44</v>
      </c>
      <c r="H23" s="4">
        <v>7743</v>
      </c>
    </row>
    <row r="24" spans="1:8" hidden="1">
      <c r="A24" s="2" t="s">
        <v>57</v>
      </c>
      <c r="B24" s="2" t="s">
        <v>58</v>
      </c>
      <c r="C24" s="2" t="s">
        <v>59</v>
      </c>
      <c r="D24" s="3">
        <v>42027</v>
      </c>
      <c r="E24" s="4">
        <v>320</v>
      </c>
      <c r="F24" s="4">
        <v>15000</v>
      </c>
      <c r="G24" s="4">
        <v>33</v>
      </c>
      <c r="H24" s="4">
        <v>6540</v>
      </c>
    </row>
    <row r="25" spans="1:8">
      <c r="A25" s="2" t="s">
        <v>57</v>
      </c>
      <c r="B25" s="2" t="s">
        <v>60</v>
      </c>
      <c r="C25" s="2" t="s">
        <v>61</v>
      </c>
      <c r="D25" s="3">
        <v>41849</v>
      </c>
      <c r="E25" s="4">
        <v>776</v>
      </c>
      <c r="F25" s="4">
        <v>35000</v>
      </c>
      <c r="G25" s="4">
        <v>22</v>
      </c>
      <c r="H25" s="4">
        <v>1294</v>
      </c>
    </row>
    <row r="26" spans="1:8" hidden="1">
      <c r="A26" s="2" t="s">
        <v>47</v>
      </c>
      <c r="B26" s="2" t="s">
        <v>62</v>
      </c>
      <c r="C26" s="2" t="s">
        <v>63</v>
      </c>
      <c r="D26" s="3">
        <v>41927</v>
      </c>
      <c r="E26" s="4">
        <v>480</v>
      </c>
      <c r="F26" s="4">
        <v>23000</v>
      </c>
      <c r="G26" s="4">
        <v>88</v>
      </c>
      <c r="H26" s="4">
        <v>6321</v>
      </c>
    </row>
    <row r="27" spans="1:8" hidden="1">
      <c r="A27" s="2" t="s">
        <v>47</v>
      </c>
      <c r="B27" s="2" t="s">
        <v>64</v>
      </c>
      <c r="C27" s="2" t="s">
        <v>65</v>
      </c>
      <c r="D27" s="3">
        <v>41835</v>
      </c>
      <c r="E27" s="4">
        <v>520</v>
      </c>
      <c r="F27" s="4">
        <v>25000</v>
      </c>
      <c r="G27" s="4">
        <v>99</v>
      </c>
      <c r="H27" s="4">
        <v>3390</v>
      </c>
    </row>
    <row r="28" spans="1:8">
      <c r="A28" s="2" t="s">
        <v>8</v>
      </c>
      <c r="B28" s="2" t="s">
        <v>66</v>
      </c>
      <c r="C28" s="2" t="s">
        <v>32</v>
      </c>
      <c r="D28" s="3">
        <v>42689</v>
      </c>
      <c r="E28" s="4">
        <v>248</v>
      </c>
      <c r="F28" s="4">
        <v>9800</v>
      </c>
      <c r="G28" s="4">
        <v>101</v>
      </c>
      <c r="H28" s="4">
        <v>10698</v>
      </c>
    </row>
  </sheetData>
  <autoFilter ref="A1:H28" xr:uid="{00000000-0009-0000-0000-000004000000}">
    <filterColumn colId="5">
      <customFilters>
        <customFilter operator="greaterThanOrEqual" val="30000"/>
        <customFilter operator="lessThan" val="10000"/>
      </customFilters>
    </filterColumn>
  </autoFilter>
  <phoneticPr fontId="1" type="noConversion"/>
  <dataValidations count="1">
    <dataValidation type="textLength" errorStyle="information" allowBlank="1" showInputMessage="1" showErrorMessage="1" errorTitle="저자 입력" error="10자 이내로 입력해 주세요." promptTitle="저자 입력" prompt="10자 이내로 입력" sqref="C2:C28" xr:uid="{00000000-0002-0000-0400-000000000000}">
      <formula1>1</formula1>
      <formula2>10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8"/>
  <sheetViews>
    <sheetView workbookViewId="0">
      <selection sqref="A1:D1"/>
    </sheetView>
  </sheetViews>
  <sheetFormatPr defaultRowHeight="16.5"/>
  <cols>
    <col min="2" max="4" width="12.75" customWidth="1"/>
  </cols>
  <sheetData>
    <row r="1" spans="1:4" ht="20.25">
      <c r="A1" s="32" t="s">
        <v>109</v>
      </c>
      <c r="B1" s="32"/>
      <c r="C1" s="32"/>
      <c r="D1" s="32"/>
    </row>
    <row r="3" spans="1:4">
      <c r="A3" s="6" t="s">
        <v>110</v>
      </c>
      <c r="B3" s="6" t="s">
        <v>111</v>
      </c>
      <c r="C3" s="6" t="s">
        <v>112</v>
      </c>
      <c r="D3" s="6" t="s">
        <v>113</v>
      </c>
    </row>
    <row r="4" spans="1:4">
      <c r="A4" s="26" t="s">
        <v>140</v>
      </c>
      <c r="B4" s="16">
        <v>703</v>
      </c>
      <c r="C4" s="16">
        <v>49773145</v>
      </c>
      <c r="D4" s="16">
        <f>C4/B4</f>
        <v>70801.05974395448</v>
      </c>
    </row>
    <row r="5" spans="1:4">
      <c r="A5" s="26" t="s">
        <v>115</v>
      </c>
      <c r="B5" s="16">
        <v>759</v>
      </c>
      <c r="C5" s="16">
        <v>50515666</v>
      </c>
      <c r="D5" s="16">
        <f t="shared" ref="D5:D8" si="0">C5/B5</f>
        <v>66555.554677206848</v>
      </c>
    </row>
    <row r="6" spans="1:4">
      <c r="A6" s="26" t="s">
        <v>137</v>
      </c>
      <c r="B6" s="16">
        <v>786</v>
      </c>
      <c r="C6" s="16">
        <v>50734284</v>
      </c>
      <c r="D6" s="16">
        <f t="shared" si="0"/>
        <v>64547.435114503816</v>
      </c>
    </row>
    <row r="7" spans="1:4">
      <c r="A7" s="26" t="s">
        <v>138</v>
      </c>
      <c r="B7" s="16">
        <v>828</v>
      </c>
      <c r="C7" s="17">
        <v>50948272</v>
      </c>
      <c r="D7" s="16">
        <f t="shared" si="0"/>
        <v>61531.729468599035</v>
      </c>
    </row>
    <row r="8" spans="1:4">
      <c r="A8" s="26" t="s">
        <v>139</v>
      </c>
      <c r="B8" s="16">
        <v>865</v>
      </c>
      <c r="C8" s="17">
        <v>51141463</v>
      </c>
      <c r="D8" s="16">
        <f t="shared" si="0"/>
        <v>59123.078612716759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14"/>
  <sheetViews>
    <sheetView workbookViewId="0"/>
  </sheetViews>
  <sheetFormatPr defaultRowHeight="16.5"/>
  <cols>
    <col min="1" max="1" width="12.25" customWidth="1"/>
    <col min="2" max="2" width="11.5" customWidth="1"/>
    <col min="3" max="6" width="9.75" customWidth="1"/>
  </cols>
  <sheetData>
    <row r="1" spans="1:6">
      <c r="A1" t="s">
        <v>86</v>
      </c>
    </row>
    <row r="2" spans="1:6">
      <c r="F2" s="15" t="s">
        <v>87</v>
      </c>
    </row>
    <row r="3" spans="1:6">
      <c r="A3" s="6" t="s">
        <v>88</v>
      </c>
      <c r="B3" s="6" t="s">
        <v>89</v>
      </c>
      <c r="C3" s="26">
        <v>2021</v>
      </c>
      <c r="D3" s="26">
        <v>2022</v>
      </c>
      <c r="E3" s="26">
        <v>2023</v>
      </c>
      <c r="F3" s="26">
        <v>2024</v>
      </c>
    </row>
    <row r="4" spans="1:6">
      <c r="A4" s="6" t="s">
        <v>90</v>
      </c>
      <c r="B4" s="6" t="s">
        <v>91</v>
      </c>
      <c r="C4" s="25">
        <v>19</v>
      </c>
      <c r="D4" s="25">
        <v>24</v>
      </c>
      <c r="E4" s="25" t="s">
        <v>134</v>
      </c>
      <c r="F4" s="25">
        <v>23</v>
      </c>
    </row>
    <row r="5" spans="1:6">
      <c r="A5" s="6" t="s">
        <v>92</v>
      </c>
      <c r="B5" s="6" t="s">
        <v>93</v>
      </c>
      <c r="C5" s="25">
        <v>43</v>
      </c>
      <c r="D5" s="25">
        <v>52</v>
      </c>
      <c r="E5" s="25">
        <v>75</v>
      </c>
      <c r="F5" s="25">
        <v>105</v>
      </c>
    </row>
    <row r="6" spans="1:6">
      <c r="A6" s="6" t="s">
        <v>94</v>
      </c>
      <c r="B6" s="6" t="s">
        <v>95</v>
      </c>
      <c r="C6" s="25">
        <v>37</v>
      </c>
      <c r="D6" s="25">
        <v>44</v>
      </c>
      <c r="E6" s="25">
        <v>43</v>
      </c>
      <c r="F6" s="25">
        <v>47</v>
      </c>
    </row>
    <row r="7" spans="1:6">
      <c r="A7" s="6" t="s">
        <v>90</v>
      </c>
      <c r="B7" s="6" t="s">
        <v>96</v>
      </c>
      <c r="C7" s="25">
        <v>105</v>
      </c>
      <c r="D7" s="25">
        <v>110</v>
      </c>
      <c r="E7" s="25">
        <v>121</v>
      </c>
      <c r="F7" s="25">
        <v>102</v>
      </c>
    </row>
    <row r="8" spans="1:6">
      <c r="A8" s="6" t="s">
        <v>94</v>
      </c>
      <c r="B8" s="6" t="s">
        <v>97</v>
      </c>
      <c r="C8" s="25">
        <v>38</v>
      </c>
      <c r="D8" s="25">
        <v>35</v>
      </c>
      <c r="E8" s="25">
        <v>41</v>
      </c>
      <c r="F8" s="25">
        <v>38</v>
      </c>
    </row>
    <row r="9" spans="1:6">
      <c r="A9" s="6" t="s">
        <v>98</v>
      </c>
      <c r="B9" s="6" t="s">
        <v>99</v>
      </c>
      <c r="C9" s="25">
        <v>5</v>
      </c>
      <c r="D9" s="25">
        <v>9</v>
      </c>
      <c r="E9" s="25">
        <v>12</v>
      </c>
      <c r="F9" s="25">
        <v>12</v>
      </c>
    </row>
    <row r="10" spans="1:6">
      <c r="A10" s="6" t="s">
        <v>100</v>
      </c>
      <c r="B10" s="6" t="s">
        <v>101</v>
      </c>
      <c r="C10" s="25">
        <v>25</v>
      </c>
      <c r="D10" s="25">
        <v>31</v>
      </c>
      <c r="E10" s="25">
        <v>32</v>
      </c>
      <c r="F10" s="25">
        <v>35</v>
      </c>
    </row>
    <row r="11" spans="1:6">
      <c r="A11" s="6" t="s">
        <v>102</v>
      </c>
      <c r="B11" s="6" t="s">
        <v>103</v>
      </c>
      <c r="C11" s="25">
        <v>24</v>
      </c>
      <c r="D11" s="25" t="s">
        <v>135</v>
      </c>
      <c r="E11" s="25">
        <v>27</v>
      </c>
      <c r="F11" s="25">
        <v>29</v>
      </c>
    </row>
    <row r="12" spans="1:6">
      <c r="A12" s="6" t="s">
        <v>104</v>
      </c>
      <c r="B12" s="6" t="s">
        <v>105</v>
      </c>
      <c r="C12" s="25" t="s">
        <v>136</v>
      </c>
      <c r="D12" s="25">
        <v>15</v>
      </c>
      <c r="E12" s="25">
        <v>16</v>
      </c>
      <c r="F12" s="25">
        <v>18</v>
      </c>
    </row>
    <row r="13" spans="1:6">
      <c r="A13" s="6" t="s">
        <v>92</v>
      </c>
      <c r="B13" s="6" t="s">
        <v>106</v>
      </c>
      <c r="C13" s="25">
        <v>47</v>
      </c>
      <c r="D13" s="25">
        <v>45</v>
      </c>
      <c r="E13" s="25">
        <v>41</v>
      </c>
      <c r="F13" s="25">
        <v>42</v>
      </c>
    </row>
    <row r="14" spans="1:6">
      <c r="A14" s="6" t="s">
        <v>107</v>
      </c>
      <c r="B14" s="6" t="s">
        <v>108</v>
      </c>
      <c r="C14" s="25">
        <v>52</v>
      </c>
      <c r="D14" s="25">
        <v>45</v>
      </c>
      <c r="E14" s="25">
        <v>43</v>
      </c>
      <c r="F14" s="25">
        <v>46</v>
      </c>
    </row>
  </sheetData>
  <dataConsolidate function="average" topLabels="1">
    <dataRefs count="1">
      <dataRef ref="A3:F14" sheet="기타작업-2"/>
    </dataRefs>
  </dataConsolid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적용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아이콘별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2F42D196-0776-496B-912C-17DEFC757773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14:cfRule type="iconSet" priority="2" id="{CA00B7BE-E824-4C32-8B2C-B583AD82A238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14:cfRule type="iconSet" priority="1" id="{DFE13746-E90E-433F-B89C-E7FCD391245C}">
            <x14:iconSet iconSet="3Stars">
              <x14:cfvo type="percent">
                <xm:f>0</xm:f>
              </x14:cfvo>
              <x14:cfvo type="num">
                <xm:f>30</xm:f>
              </x14:cfvo>
              <x14:cfvo type="num">
                <xm:f>100</xm:f>
              </x14:cfvo>
            </x14:iconSet>
          </x14:cfRule>
          <xm:sqref>C4:F14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2:I21"/>
  <sheetViews>
    <sheetView workbookViewId="0">
      <selection activeCell="F43" sqref="F43"/>
    </sheetView>
  </sheetViews>
  <sheetFormatPr defaultRowHeight="16.5"/>
  <cols>
    <col min="1" max="1" width="19.25" customWidth="1"/>
    <col min="2" max="2" width="18.25" customWidth="1"/>
    <col min="4" max="4" width="12.25" customWidth="1"/>
    <col min="5" max="5" width="10.75" customWidth="1"/>
    <col min="6" max="6" width="10" customWidth="1"/>
    <col min="9" max="9" width="17.125" bestFit="1" customWidth="1"/>
  </cols>
  <sheetData>
    <row r="2" spans="1:9">
      <c r="A2" t="s">
        <v>121</v>
      </c>
    </row>
    <row r="4" spans="1:9">
      <c r="A4" s="6" t="s">
        <v>69</v>
      </c>
      <c r="B4" s="6" t="s">
        <v>116</v>
      </c>
      <c r="C4" s="6" t="s">
        <v>117</v>
      </c>
      <c r="D4" s="6" t="s">
        <v>118</v>
      </c>
      <c r="E4" s="6" t="s">
        <v>119</v>
      </c>
      <c r="F4" s="6" t="s">
        <v>120</v>
      </c>
      <c r="I4" s="8" t="s">
        <v>69</v>
      </c>
    </row>
    <row r="5" spans="1:9">
      <c r="A5" s="18"/>
      <c r="B5" s="18"/>
      <c r="C5" s="18"/>
      <c r="D5" s="18"/>
      <c r="E5" s="18"/>
      <c r="F5" s="18"/>
      <c r="I5" s="2" t="s">
        <v>8</v>
      </c>
    </row>
    <row r="6" spans="1:9">
      <c r="A6" s="18"/>
      <c r="B6" s="18"/>
      <c r="C6" s="18"/>
      <c r="D6" s="18"/>
      <c r="E6" s="18"/>
      <c r="F6" s="18"/>
      <c r="I6" s="2" t="s">
        <v>17</v>
      </c>
    </row>
    <row r="7" spans="1:9">
      <c r="A7" s="18"/>
      <c r="B7" s="18"/>
      <c r="C7" s="18"/>
      <c r="D7" s="18"/>
      <c r="E7" s="18"/>
      <c r="F7" s="18"/>
      <c r="I7" s="2" t="s">
        <v>33</v>
      </c>
    </row>
    <row r="8" spans="1:9">
      <c r="A8" s="18"/>
      <c r="B8" s="18"/>
      <c r="C8" s="18"/>
      <c r="D8" s="18"/>
      <c r="E8" s="18"/>
      <c r="F8" s="18"/>
      <c r="I8" s="2" t="s">
        <v>40</v>
      </c>
    </row>
    <row r="9" spans="1:9">
      <c r="A9" s="18"/>
      <c r="B9" s="18"/>
      <c r="C9" s="18"/>
      <c r="D9" s="18"/>
      <c r="E9" s="18"/>
      <c r="F9" s="18"/>
      <c r="I9" s="2" t="s">
        <v>47</v>
      </c>
    </row>
    <row r="10" spans="1:9">
      <c r="A10" s="18"/>
      <c r="B10" s="18"/>
      <c r="C10" s="18"/>
      <c r="D10" s="18"/>
      <c r="E10" s="18"/>
      <c r="F10" s="18"/>
      <c r="I10" s="2" t="s">
        <v>52</v>
      </c>
    </row>
    <row r="11" spans="1:9">
      <c r="A11" s="18"/>
      <c r="B11" s="18"/>
      <c r="C11" s="18"/>
      <c r="D11" s="18"/>
      <c r="E11" s="18"/>
      <c r="F11" s="18"/>
      <c r="I11" s="2" t="s">
        <v>57</v>
      </c>
    </row>
    <row r="12" spans="1:9">
      <c r="A12" s="18"/>
      <c r="B12" s="18"/>
      <c r="C12" s="18"/>
      <c r="D12" s="18"/>
      <c r="E12" s="18"/>
      <c r="F12" s="18"/>
    </row>
    <row r="13" spans="1:9">
      <c r="A13" s="18"/>
      <c r="B13" s="18"/>
      <c r="C13" s="18"/>
      <c r="D13" s="18"/>
      <c r="E13" s="18"/>
      <c r="F13" s="18"/>
    </row>
    <row r="14" spans="1:9">
      <c r="A14" s="18"/>
      <c r="B14" s="18"/>
      <c r="C14" s="18"/>
      <c r="D14" s="18"/>
      <c r="E14" s="18"/>
      <c r="F14" s="18"/>
    </row>
    <row r="15" spans="1:9">
      <c r="A15" s="18"/>
      <c r="B15" s="18"/>
      <c r="C15" s="18"/>
      <c r="D15" s="18"/>
      <c r="E15" s="18"/>
      <c r="F15" s="18"/>
    </row>
    <row r="16" spans="1:9">
      <c r="A16" s="18"/>
      <c r="B16" s="18"/>
      <c r="C16" s="18"/>
      <c r="D16" s="18"/>
      <c r="E16" s="18"/>
      <c r="F16" s="18"/>
    </row>
    <row r="17" spans="1:6">
      <c r="A17" s="18"/>
      <c r="B17" s="18"/>
      <c r="C17" s="18"/>
      <c r="D17" s="18"/>
      <c r="E17" s="18"/>
      <c r="F17" s="18"/>
    </row>
    <row r="18" spans="1:6">
      <c r="A18" s="18"/>
      <c r="B18" s="18"/>
      <c r="C18" s="18"/>
      <c r="D18" s="18"/>
      <c r="E18" s="18"/>
      <c r="F18" s="18"/>
    </row>
    <row r="19" spans="1:6">
      <c r="A19" s="18"/>
      <c r="B19" s="18"/>
      <c r="C19" s="18"/>
      <c r="D19" s="18"/>
      <c r="E19" s="18"/>
      <c r="F19" s="18"/>
    </row>
    <row r="20" spans="1:6">
      <c r="A20" s="18"/>
      <c r="B20" s="18"/>
      <c r="C20" s="18"/>
      <c r="D20" s="18"/>
      <c r="E20" s="18"/>
      <c r="F20" s="18"/>
    </row>
    <row r="21" spans="1:6">
      <c r="A21" s="18"/>
      <c r="B21" s="18"/>
      <c r="C21" s="18"/>
      <c r="D21" s="18"/>
      <c r="E21" s="18"/>
      <c r="F21" s="18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도서등록">
          <controlPr defaultSize="0" autoLine="0" autoPict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2</xdr:row>
                <xdr:rowOff>123825</xdr:rowOff>
              </to>
            </anchor>
          </controlPr>
        </control>
      </mc:Choice>
      <mc:Fallback>
        <control shapeId="7169" r:id="rId3" name="cmd도서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2020-04-07T06:00:22Z</dcterms:created>
  <dcterms:modified xsi:type="dcterms:W3CDTF">2023-08-24T03:08:39Z</dcterms:modified>
</cp:coreProperties>
</file>