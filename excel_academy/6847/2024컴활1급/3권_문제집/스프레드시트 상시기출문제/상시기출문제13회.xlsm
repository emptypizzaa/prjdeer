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상시시험문제\"/>
    </mc:Choice>
  </mc:AlternateContent>
  <xr:revisionPtr revIDLastSave="0" documentId="13_ncr:1_{1592C37E-F702-4F7F-AFB9-2583BB26FC5E}" xr6:coauthVersionLast="47" xr6:coauthVersionMax="47" xr10:uidLastSave="{00000000-0000-0000-0000-000000000000}"/>
  <bookViews>
    <workbookView xWindow="680" yWindow="1200" windowWidth="14480" windowHeight="18880" tabRatio="895" xr2:uid="{00000000-000D-0000-FFFF-FFFF00000000}"/>
  </bookViews>
  <sheets>
    <sheet name="기본작업-1" sheetId="8" r:id="rId1"/>
    <sheet name="기본작업-2" sheetId="2" r:id="rId2"/>
    <sheet name="계산작업" sheetId="3" r:id="rId3"/>
    <sheet name="분석작업-1" sheetId="9" r:id="rId4"/>
    <sheet name="분석작업-2" sheetId="10" r:id="rId5"/>
    <sheet name="기타작업-1" sheetId="6" r:id="rId6"/>
    <sheet name="기타작업-2" sheetId="5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8" l="1"/>
  <c r="G30" i="8"/>
  <c r="F30" i="8"/>
  <c r="E30" i="8"/>
  <c r="D8" i="6" l="1"/>
  <c r="D7" i="6"/>
  <c r="D6" i="6"/>
  <c r="D5" i="6"/>
  <c r="D4" i="6"/>
  <c r="H30" i="2"/>
  <c r="G30" i="2"/>
  <c r="F30" i="2"/>
  <c r="E30" i="2"/>
</calcChain>
</file>

<file path=xl/sharedStrings.xml><?xml version="1.0" encoding="utf-8"?>
<sst xmlns="http://schemas.openxmlformats.org/spreadsheetml/2006/main" count="436" uniqueCount="126">
  <si>
    <t>도서분류</t>
    <phoneticPr fontId="1" type="noConversion"/>
  </si>
  <si>
    <t>도서명</t>
  </si>
  <si>
    <t>저자</t>
  </si>
  <si>
    <t>출판일</t>
  </si>
  <si>
    <t>페이지</t>
  </si>
  <si>
    <t>정가</t>
  </si>
  <si>
    <t>회원리뷰수</t>
  </si>
  <si>
    <t>판매량</t>
  </si>
  <si>
    <t>가정과 생활</t>
  </si>
  <si>
    <t>2,000원으로 밥상 차리기(개정판)</t>
  </si>
  <si>
    <t>김용환</t>
  </si>
  <si>
    <t>365일 건강한 식당</t>
  </si>
  <si>
    <t>㈜ 아워홈</t>
  </si>
  <si>
    <t>5,000원으로 손님상 차리기(개정판)</t>
  </si>
  <si>
    <t>이수연</t>
  </si>
  <si>
    <t>500원으로 밑반찬 만들기(개정판)</t>
  </si>
  <si>
    <t>이혜원</t>
  </si>
  <si>
    <t>기타</t>
  </si>
  <si>
    <t>개정판 월급만으로는 살수없다</t>
  </si>
  <si>
    <t>전애리 외</t>
  </si>
  <si>
    <t>남편사용설명서(개정판)</t>
  </si>
  <si>
    <t>이병준</t>
  </si>
  <si>
    <t>열혈 백패킹</t>
  </si>
  <si>
    <t>이우철</t>
  </si>
  <si>
    <t>SNS의 보이지 않는 위협</t>
  </si>
  <si>
    <t>김승중 외</t>
    <phoneticPr fontId="1" type="noConversion"/>
  </si>
  <si>
    <t>러블리 홈베이킹</t>
  </si>
  <si>
    <t>고아라</t>
  </si>
  <si>
    <t>한국인의 명절 요리</t>
  </si>
  <si>
    <t>매일매일 맛있는 도시락</t>
  </si>
  <si>
    <t>김지혜</t>
  </si>
  <si>
    <t>더디쉬의 홈메이드 아침밥</t>
  </si>
  <si>
    <t>더디쉬</t>
  </si>
  <si>
    <t>컴퓨터일반/활용</t>
  </si>
  <si>
    <t>눈이 편한 스마트폰</t>
  </si>
  <si>
    <t>김혜경</t>
  </si>
  <si>
    <t>구글앱스 for 스마트워킹</t>
  </si>
  <si>
    <t>강성범 외</t>
    <phoneticPr fontId="1" type="noConversion"/>
  </si>
  <si>
    <t>퍼스널 3D 프린팅</t>
  </si>
  <si>
    <t>김수민</t>
  </si>
  <si>
    <t>사무자동화</t>
  </si>
  <si>
    <t>학교에서 통하는 Prezi 발표수업 달인되기 개정판</t>
  </si>
  <si>
    <t>정동임 외</t>
    <phoneticPr fontId="1" type="noConversion"/>
  </si>
  <si>
    <t>How to Prezi 실무활용 테크닉 3rd Edition</t>
  </si>
  <si>
    <t>장경호</t>
  </si>
  <si>
    <t>한글 더 쉽게 배우기</t>
    <phoneticPr fontId="1" type="noConversion"/>
  </si>
  <si>
    <t>박소영</t>
  </si>
  <si>
    <t>그래픽/멀티미디어</t>
  </si>
  <si>
    <t>프리미어 프로 CC 더 쉽게 배우기</t>
  </si>
  <si>
    <t>이정희</t>
  </si>
  <si>
    <t>언리얼엔진4 ArcVR(아크브이알)</t>
  </si>
  <si>
    <t>정재헌</t>
  </si>
  <si>
    <t>프로그래밍</t>
  </si>
  <si>
    <t>학교에서 통하는 스크래치 프로그래밍</t>
  </si>
  <si>
    <t>최성일 외</t>
    <phoneticPr fontId="1" type="noConversion"/>
  </si>
  <si>
    <t>그림으로 배우는 JAVA Programming</t>
  </si>
  <si>
    <t xml:space="preserve">Mana </t>
    <phoneticPr fontId="1" type="noConversion"/>
  </si>
  <si>
    <t>컴퓨터공학</t>
  </si>
  <si>
    <t>그림으로 배우는 Http &amp; Network</t>
  </si>
  <si>
    <t>우에노 센</t>
  </si>
  <si>
    <t>코딩인터뷰 퀘스천</t>
  </si>
  <si>
    <t>Narasimha</t>
    <phoneticPr fontId="1" type="noConversion"/>
  </si>
  <si>
    <t>일러스트레이터 CC&amp;CS6 더 쉽게 배우기</t>
  </si>
  <si>
    <t>이상진</t>
  </si>
  <si>
    <t>여행사진의 기술 두번째 이야기</t>
  </si>
  <si>
    <t>유호종</t>
  </si>
  <si>
    <t>1,000원으로 국찌개 만들기(개정판)</t>
  </si>
  <si>
    <t>평균</t>
    <phoneticPr fontId="1" type="noConversion"/>
  </si>
  <si>
    <t>[표1]</t>
    <phoneticPr fontId="1" type="noConversion"/>
  </si>
  <si>
    <t>도서분류</t>
    <phoneticPr fontId="1" type="noConversion"/>
  </si>
  <si>
    <t>포인트</t>
    <phoneticPr fontId="1" type="noConversion"/>
  </si>
  <si>
    <t>판매지수</t>
    <phoneticPr fontId="1" type="noConversion"/>
  </si>
  <si>
    <t>비고</t>
    <phoneticPr fontId="1" type="noConversion"/>
  </si>
  <si>
    <t>강성범 외</t>
    <phoneticPr fontId="1" type="noConversion"/>
  </si>
  <si>
    <t>정동임 외</t>
    <phoneticPr fontId="1" type="noConversion"/>
  </si>
  <si>
    <t>한글 더 쉽게 배우기</t>
    <phoneticPr fontId="1" type="noConversion"/>
  </si>
  <si>
    <t>최성일 외</t>
    <phoneticPr fontId="1" type="noConversion"/>
  </si>
  <si>
    <t xml:space="preserve">Mana </t>
    <phoneticPr fontId="1" type="noConversion"/>
  </si>
  <si>
    <t>Narasimha</t>
    <phoneticPr fontId="1" type="noConversion"/>
  </si>
  <si>
    <t>[표2]</t>
    <phoneticPr fontId="1" type="noConversion"/>
  </si>
  <si>
    <t>[표3] 적립률</t>
    <phoneticPr fontId="1" type="noConversion"/>
  </si>
  <si>
    <t>도서분류</t>
    <phoneticPr fontId="1" type="noConversion"/>
  </si>
  <si>
    <t>회원리뷰수가 50개 이상인 개수</t>
    <phoneticPr fontId="1" type="noConversion"/>
  </si>
  <si>
    <t>판매량 평균</t>
    <phoneticPr fontId="1" type="noConversion"/>
  </si>
  <si>
    <t xml:space="preserve">              발행연도
분야</t>
    <phoneticPr fontId="1" type="noConversion"/>
  </si>
  <si>
    <t>도서분류</t>
  </si>
  <si>
    <t>[표1] 국제 도서 전시회 (International Book Fair) 나라별 참가 업체수</t>
    <phoneticPr fontId="1" type="noConversion"/>
  </si>
  <si>
    <t>단위 : 사</t>
    <phoneticPr fontId="1" type="noConversion"/>
  </si>
  <si>
    <t>지역</t>
    <phoneticPr fontId="1" type="noConversion"/>
  </si>
  <si>
    <t>국가명</t>
    <phoneticPr fontId="1" type="noConversion"/>
  </si>
  <si>
    <t>아메리카</t>
    <phoneticPr fontId="1" type="noConversion"/>
  </si>
  <si>
    <t>캐나다</t>
    <phoneticPr fontId="1" type="noConversion"/>
  </si>
  <si>
    <t>아시아</t>
    <phoneticPr fontId="1" type="noConversion"/>
  </si>
  <si>
    <t>중국</t>
    <phoneticPr fontId="1" type="noConversion"/>
  </si>
  <si>
    <t>유럽</t>
    <phoneticPr fontId="1" type="noConversion"/>
  </si>
  <si>
    <t>독일</t>
    <phoneticPr fontId="1" type="noConversion"/>
  </si>
  <si>
    <t>미국</t>
    <phoneticPr fontId="1" type="noConversion"/>
  </si>
  <si>
    <t>영국</t>
    <phoneticPr fontId="1" type="noConversion"/>
  </si>
  <si>
    <t>오세아니아</t>
    <phoneticPr fontId="1" type="noConversion"/>
  </si>
  <si>
    <t>뉴질랜드</t>
    <phoneticPr fontId="1" type="noConversion"/>
  </si>
  <si>
    <t>아시아</t>
    <phoneticPr fontId="1" type="noConversion"/>
  </si>
  <si>
    <t>대한민국</t>
    <phoneticPr fontId="1" type="noConversion"/>
  </si>
  <si>
    <t>오세아니아</t>
    <phoneticPr fontId="1" type="noConversion"/>
  </si>
  <si>
    <t>호주</t>
    <phoneticPr fontId="1" type="noConversion"/>
  </si>
  <si>
    <t>아메리카</t>
    <phoneticPr fontId="1" type="noConversion"/>
  </si>
  <si>
    <t>브라질</t>
    <phoneticPr fontId="1" type="noConversion"/>
  </si>
  <si>
    <t>일본</t>
    <phoneticPr fontId="1" type="noConversion"/>
  </si>
  <si>
    <t>유럽</t>
    <phoneticPr fontId="1" type="noConversion"/>
  </si>
  <si>
    <t>프랑스</t>
    <phoneticPr fontId="1" type="noConversion"/>
  </si>
  <si>
    <t>년도별 공공도서관수</t>
    <phoneticPr fontId="1" type="noConversion"/>
  </si>
  <si>
    <t>년도</t>
    <phoneticPr fontId="1" type="noConversion"/>
  </si>
  <si>
    <t>공공도서관수</t>
    <phoneticPr fontId="1" type="noConversion"/>
  </si>
  <si>
    <t>국민 총인구</t>
    <phoneticPr fontId="1" type="noConversion"/>
  </si>
  <si>
    <t>1관당 인구수</t>
    <phoneticPr fontId="1" type="noConversion"/>
  </si>
  <si>
    <t>2021년</t>
  </si>
  <si>
    <t>도서명</t>
    <phoneticPr fontId="1" type="noConversion"/>
  </si>
  <si>
    <t>저자</t>
    <phoneticPr fontId="1" type="noConversion"/>
  </si>
  <si>
    <t>출판일</t>
    <phoneticPr fontId="1" type="noConversion"/>
  </si>
  <si>
    <t>페이지수</t>
    <phoneticPr fontId="1" type="noConversion"/>
  </si>
  <si>
    <t>정가</t>
    <phoneticPr fontId="1" type="noConversion"/>
  </si>
  <si>
    <t>[표1] 도서 등록</t>
    <phoneticPr fontId="1" type="noConversion"/>
  </si>
  <si>
    <t>-</t>
    <phoneticPr fontId="1" type="noConversion"/>
  </si>
  <si>
    <t>2022년</t>
  </si>
  <si>
    <t>2023년</t>
  </si>
  <si>
    <t>2024년</t>
  </si>
  <si>
    <t>2020년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</si>
</sst>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);[Red]\(#,##0\)"/>
    <numFmt numFmtId="177" formatCode="#&quot;년 이상&quot;"/>
    <numFmt numFmtId="178" formatCode="0.0_ "/>
    <numFmt numFmtId="179" formatCode="#&quot;년 미만&quot;"/>
    <numFmt numFmtId="180" formatCode="_(* #,##0_);_(* \(#,##0\);_(* &quot;-&quot;_);_(@_)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>
      <alignment vertical="center"/>
    </xf>
    <xf numFmtId="176" fontId="3" fillId="0" borderId="1" xfId="0" applyNumberFormat="1" applyFont="1" applyFill="1" applyBorder="1" applyAlignment="1">
      <alignment horizontal="center" vertical="center"/>
    </xf>
    <xf numFmtId="176" fontId="3" fillId="0" borderId="1" xfId="1" applyNumberFormat="1" applyFont="1" applyFill="1" applyBorder="1">
      <alignment vertical="center"/>
    </xf>
    <xf numFmtId="176" fontId="3" fillId="0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>
      <alignment vertical="center"/>
    </xf>
    <xf numFmtId="179" fontId="0" fillId="0" borderId="5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180" fontId="0" fillId="0" borderId="1" xfId="1" applyNumberFormat="1" applyFont="1" applyBorder="1">
      <alignment vertical="center"/>
    </xf>
    <xf numFmtId="180" fontId="0" fillId="0" borderId="6" xfId="1" applyNumberFormat="1" applyFont="1" applyFill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0" fillId="0" borderId="4" xfId="0" applyFill="1" applyBorder="1" applyAlignme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/>
        <i/>
        <color rgb="FF0070C0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공공도서관수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  <c:pt idx="4">
                  <c:v>2024년</c:v>
                </c:pt>
              </c:strCache>
            </c:strRef>
          </c:cat>
          <c:val>
            <c:numRef>
              <c:f>'기타작업-1'!$B$4:$B$8</c:f>
              <c:numCache>
                <c:formatCode>_(* #,##0_);_(* \(#,##0\);_(* "-"_);_(@_)</c:formatCode>
                <c:ptCount val="5"/>
                <c:pt idx="0">
                  <c:v>703</c:v>
                </c:pt>
                <c:pt idx="1">
                  <c:v>759</c:v>
                </c:pt>
                <c:pt idx="2">
                  <c:v>786</c:v>
                </c:pt>
                <c:pt idx="3">
                  <c:v>828</c:v>
                </c:pt>
                <c:pt idx="4">
                  <c:v>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2A-4622-9AC6-D3DEAA162AFC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국민 총인구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  <c:pt idx="4">
                  <c:v>2024년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49773145</c:v>
                </c:pt>
                <c:pt idx="1">
                  <c:v>50515666</c:v>
                </c:pt>
                <c:pt idx="2">
                  <c:v>50734284</c:v>
                </c:pt>
                <c:pt idx="3">
                  <c:v>50948272</c:v>
                </c:pt>
                <c:pt idx="4">
                  <c:v>51141463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2A-4622-9AC6-D3DEAA162AFC}"/>
            </c:ext>
          </c:extLst>
        </c:ser>
        <c:ser>
          <c:idx val="2"/>
          <c:order val="2"/>
          <c:tx>
            <c:strRef>
              <c:f>'기타작업-1'!$D$3</c:f>
              <c:strCache>
                <c:ptCount val="1"/>
                <c:pt idx="0">
                  <c:v>1관당 인구수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  <c:pt idx="4">
                  <c:v>2024년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70801.05974395448</c:v>
                </c:pt>
                <c:pt idx="1">
                  <c:v>66555.554677206848</c:v>
                </c:pt>
                <c:pt idx="2">
                  <c:v>64547.435114503816</c:v>
                </c:pt>
                <c:pt idx="3">
                  <c:v>61531.729468599035</c:v>
                </c:pt>
                <c:pt idx="4">
                  <c:v>59123.078612716759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2A-4622-9AC6-D3DEAA162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10564064"/>
        <c:axId val="1710560736"/>
      </c:barChart>
      <c:catAx>
        <c:axId val="171056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0560736"/>
        <c:crosses val="autoZero"/>
        <c:auto val="1"/>
        <c:lblAlgn val="ctr"/>
        <c:lblOffset val="100"/>
        <c:noMultiLvlLbl val="0"/>
      </c:catAx>
      <c:valAx>
        <c:axId val="171056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056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127000</xdr:rowOff>
        </xdr:to>
        <xdr:sp macro="" textlink="">
          <xdr:nvSpPr>
            <xdr:cNvPr id="7169" name="cmd도서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2:H30"/>
  <sheetViews>
    <sheetView tabSelected="1" workbookViewId="0"/>
  </sheetViews>
  <sheetFormatPr defaultRowHeight="17"/>
  <cols>
    <col min="1" max="1" width="17.1640625" bestFit="1" customWidth="1"/>
    <col min="2" max="2" width="43.83203125" bestFit="1" customWidth="1"/>
    <col min="3" max="3" width="9.83203125" bestFit="1" customWidth="1"/>
    <col min="4" max="4" width="14.1640625" customWidth="1"/>
    <col min="7" max="7" width="10.33203125" bestFit="1" customWidth="1"/>
    <col min="8" max="8" width="11.6640625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2">
        <v>25</v>
      </c>
      <c r="H3" s="4">
        <v>8563</v>
      </c>
    </row>
    <row r="4" spans="1:8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2">
        <v>30</v>
      </c>
      <c r="H4" s="4">
        <v>5987</v>
      </c>
    </row>
    <row r="5" spans="1:8">
      <c r="A5" s="2" t="s">
        <v>8</v>
      </c>
      <c r="B5" s="2" t="s">
        <v>13</v>
      </c>
      <c r="C5" s="2" t="s">
        <v>14</v>
      </c>
      <c r="D5" s="3">
        <v>43931</v>
      </c>
      <c r="E5" s="1">
        <v>232</v>
      </c>
      <c r="F5" s="4">
        <v>9800</v>
      </c>
      <c r="G5" s="2">
        <v>18</v>
      </c>
      <c r="H5" s="4">
        <v>3657</v>
      </c>
    </row>
    <row r="6" spans="1:8">
      <c r="A6" s="2" t="s">
        <v>8</v>
      </c>
      <c r="B6" s="2" t="s">
        <v>15</v>
      </c>
      <c r="C6" s="2" t="s">
        <v>16</v>
      </c>
      <c r="D6" s="3">
        <v>43905</v>
      </c>
      <c r="E6" s="1">
        <v>200</v>
      </c>
      <c r="F6" s="4">
        <v>9800</v>
      </c>
      <c r="G6" s="2">
        <v>15</v>
      </c>
      <c r="H6" s="4">
        <v>12395</v>
      </c>
    </row>
    <row r="7" spans="1:8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2">
        <v>45</v>
      </c>
      <c r="H7" s="4">
        <v>5962</v>
      </c>
    </row>
    <row r="8" spans="1:8">
      <c r="A8" s="2" t="s">
        <v>17</v>
      </c>
      <c r="B8" s="2" t="s">
        <v>20</v>
      </c>
      <c r="C8" s="2" t="s">
        <v>21</v>
      </c>
      <c r="D8" s="3">
        <v>43971</v>
      </c>
      <c r="E8" s="1">
        <v>288</v>
      </c>
      <c r="F8" s="4">
        <v>12000</v>
      </c>
      <c r="G8" s="2">
        <v>58</v>
      </c>
      <c r="H8" s="4">
        <v>3215</v>
      </c>
    </row>
    <row r="9" spans="1:8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2">
        <v>100</v>
      </c>
      <c r="H9" s="4">
        <v>1896</v>
      </c>
    </row>
    <row r="10" spans="1:8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2">
        <v>67</v>
      </c>
      <c r="H10" s="4">
        <v>1697</v>
      </c>
    </row>
    <row r="11" spans="1:8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2">
        <v>41</v>
      </c>
      <c r="H11" s="4">
        <v>6541</v>
      </c>
    </row>
    <row r="12" spans="1:8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2">
        <v>76</v>
      </c>
      <c r="H12" s="4">
        <v>8451</v>
      </c>
    </row>
    <row r="13" spans="1:8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2">
        <v>92</v>
      </c>
      <c r="H13" s="4">
        <v>5302</v>
      </c>
    </row>
    <row r="14" spans="1:8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2">
        <v>63</v>
      </c>
      <c r="H14" s="4">
        <v>3364</v>
      </c>
    </row>
    <row r="15" spans="1:8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2">
        <v>11</v>
      </c>
      <c r="H15" s="4">
        <v>2563</v>
      </c>
    </row>
    <row r="16" spans="1:8">
      <c r="A16" s="2" t="s">
        <v>33</v>
      </c>
      <c r="B16" s="2" t="s">
        <v>36</v>
      </c>
      <c r="C16" s="2" t="s">
        <v>37</v>
      </c>
      <c r="D16" s="3">
        <v>42039</v>
      </c>
      <c r="E16" s="1">
        <v>416</v>
      </c>
      <c r="F16" s="4">
        <v>18000</v>
      </c>
      <c r="G16" s="2">
        <v>56</v>
      </c>
      <c r="H16" s="4">
        <v>1896</v>
      </c>
    </row>
    <row r="17" spans="1:8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2">
        <v>120</v>
      </c>
      <c r="H17" s="4">
        <v>2412</v>
      </c>
    </row>
    <row r="18" spans="1:8">
      <c r="A18" s="2" t="s">
        <v>40</v>
      </c>
      <c r="B18" s="2" t="s">
        <v>41</v>
      </c>
      <c r="C18" s="2" t="s">
        <v>42</v>
      </c>
      <c r="D18" s="3">
        <v>42063</v>
      </c>
      <c r="E18" s="1">
        <v>248</v>
      </c>
      <c r="F18" s="4">
        <v>18000</v>
      </c>
      <c r="G18" s="2">
        <v>47</v>
      </c>
      <c r="H18" s="4">
        <v>3794</v>
      </c>
    </row>
    <row r="19" spans="1:8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2">
        <v>84</v>
      </c>
      <c r="H19" s="4">
        <v>4587</v>
      </c>
    </row>
    <row r="20" spans="1:8">
      <c r="A20" s="2" t="s">
        <v>40</v>
      </c>
      <c r="B20" s="2" t="s">
        <v>45</v>
      </c>
      <c r="C20" s="2" t="s">
        <v>46</v>
      </c>
      <c r="D20" s="3">
        <v>41845</v>
      </c>
      <c r="E20" s="1">
        <v>504</v>
      </c>
      <c r="F20" s="4">
        <v>20000</v>
      </c>
      <c r="G20" s="2">
        <v>61</v>
      </c>
      <c r="H20" s="4">
        <v>9687</v>
      </c>
    </row>
    <row r="21" spans="1:8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2">
        <v>77</v>
      </c>
      <c r="H21" s="4">
        <v>2432</v>
      </c>
    </row>
    <row r="22" spans="1:8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2">
        <v>66</v>
      </c>
      <c r="H22" s="4">
        <v>1369</v>
      </c>
    </row>
    <row r="23" spans="1:8">
      <c r="A23" s="2" t="s">
        <v>52</v>
      </c>
      <c r="B23" s="2" t="s">
        <v>53</v>
      </c>
      <c r="C23" s="2" t="s">
        <v>54</v>
      </c>
      <c r="D23" s="3">
        <v>42124</v>
      </c>
      <c r="E23" s="1">
        <v>384</v>
      </c>
      <c r="F23" s="4">
        <v>18000</v>
      </c>
      <c r="G23" s="2">
        <v>55</v>
      </c>
      <c r="H23" s="4">
        <v>6321</v>
      </c>
    </row>
    <row r="24" spans="1:8">
      <c r="A24" s="2" t="s">
        <v>52</v>
      </c>
      <c r="B24" s="2" t="s">
        <v>55</v>
      </c>
      <c r="C24" s="2" t="s">
        <v>56</v>
      </c>
      <c r="D24" s="3">
        <v>42123</v>
      </c>
      <c r="E24" s="1">
        <v>576</v>
      </c>
      <c r="F24" s="4">
        <v>18000</v>
      </c>
      <c r="G24" s="2">
        <v>44</v>
      </c>
      <c r="H24" s="4">
        <v>7743</v>
      </c>
    </row>
    <row r="25" spans="1:8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2">
        <v>33</v>
      </c>
      <c r="H25" s="4">
        <v>6540</v>
      </c>
    </row>
    <row r="26" spans="1:8">
      <c r="A26" s="2" t="s">
        <v>57</v>
      </c>
      <c r="B26" s="2" t="s">
        <v>60</v>
      </c>
      <c r="C26" s="2" t="s">
        <v>61</v>
      </c>
      <c r="D26" s="3">
        <v>41849</v>
      </c>
      <c r="E26" s="1">
        <v>776</v>
      </c>
      <c r="F26" s="4">
        <v>35000</v>
      </c>
      <c r="G26" s="2">
        <v>22</v>
      </c>
      <c r="H26" s="4">
        <v>1294</v>
      </c>
    </row>
    <row r="27" spans="1:8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2">
        <v>88</v>
      </c>
      <c r="H27" s="4">
        <v>6321</v>
      </c>
    </row>
    <row r="28" spans="1:8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2">
        <v>99</v>
      </c>
      <c r="H28" s="4">
        <v>3390</v>
      </c>
    </row>
    <row r="29" spans="1:8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2">
        <v>101</v>
      </c>
      <c r="H29" s="4">
        <v>10698</v>
      </c>
    </row>
    <row r="30" spans="1:8">
      <c r="A30" s="24" t="s">
        <v>67</v>
      </c>
      <c r="B30" s="24"/>
      <c r="C30" s="24"/>
      <c r="D30" s="24"/>
      <c r="E30" s="5">
        <f>AVERAGE(E3:E29)</f>
        <v>335.55555555555554</v>
      </c>
      <c r="F30" s="6">
        <f t="shared" ref="F30:H30" si="0">AVERAGE(F3:F29)</f>
        <v>16555.555555555555</v>
      </c>
      <c r="G30" s="7">
        <f t="shared" si="0"/>
        <v>59.037037037037038</v>
      </c>
      <c r="H30" s="6">
        <f t="shared" si="0"/>
        <v>5113.9629629629626</v>
      </c>
    </row>
  </sheetData>
  <mergeCells count="1">
    <mergeCell ref="A30:D30"/>
  </mergeCells>
  <phoneticPr fontId="1" type="noConversion"/>
  <conditionalFormatting sqref="E30:H30">
    <cfRule type="expression" dxfId="1" priority="1">
      <formula>AND(YEAR(TODAY())-YEAR($D30)&gt;=2,YEAR(TODAY())-YEAR($D30)&lt;=4)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H30"/>
  <sheetViews>
    <sheetView workbookViewId="0"/>
  </sheetViews>
  <sheetFormatPr defaultRowHeight="17"/>
  <cols>
    <col min="1" max="1" width="17.1640625" bestFit="1" customWidth="1"/>
    <col min="2" max="2" width="43.83203125" bestFit="1" customWidth="1"/>
    <col min="3" max="3" width="9.83203125" bestFit="1" customWidth="1"/>
    <col min="4" max="4" width="14.1640625" customWidth="1"/>
    <col min="7" max="7" width="10.33203125" bestFit="1" customWidth="1"/>
    <col min="8" max="8" width="11.6640625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2">
        <v>25</v>
      </c>
      <c r="H3" s="4">
        <v>8563</v>
      </c>
    </row>
    <row r="4" spans="1:8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2">
        <v>30</v>
      </c>
      <c r="H4" s="4">
        <v>5987</v>
      </c>
    </row>
    <row r="5" spans="1:8">
      <c r="A5" s="2" t="s">
        <v>8</v>
      </c>
      <c r="B5" s="2" t="s">
        <v>13</v>
      </c>
      <c r="C5" s="2" t="s">
        <v>14</v>
      </c>
      <c r="D5" s="3">
        <v>43200</v>
      </c>
      <c r="E5" s="1">
        <v>232</v>
      </c>
      <c r="F5" s="4">
        <v>9800</v>
      </c>
      <c r="G5" s="2">
        <v>18</v>
      </c>
      <c r="H5" s="4">
        <v>3657</v>
      </c>
    </row>
    <row r="6" spans="1:8">
      <c r="A6" s="2" t="s">
        <v>8</v>
      </c>
      <c r="B6" s="2" t="s">
        <v>15</v>
      </c>
      <c r="C6" s="2" t="s">
        <v>16</v>
      </c>
      <c r="D6" s="3">
        <v>43174</v>
      </c>
      <c r="E6" s="1">
        <v>200</v>
      </c>
      <c r="F6" s="4">
        <v>9800</v>
      </c>
      <c r="G6" s="2">
        <v>15</v>
      </c>
      <c r="H6" s="4">
        <v>12395</v>
      </c>
    </row>
    <row r="7" spans="1:8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2">
        <v>45</v>
      </c>
      <c r="H7" s="4">
        <v>5962</v>
      </c>
    </row>
    <row r="8" spans="1:8">
      <c r="A8" s="2" t="s">
        <v>17</v>
      </c>
      <c r="B8" s="2" t="s">
        <v>20</v>
      </c>
      <c r="C8" s="2" t="s">
        <v>21</v>
      </c>
      <c r="D8" s="3">
        <v>43240</v>
      </c>
      <c r="E8" s="1">
        <v>288</v>
      </c>
      <c r="F8" s="4">
        <v>12000</v>
      </c>
      <c r="G8" s="2">
        <v>58</v>
      </c>
      <c r="H8" s="4">
        <v>3215</v>
      </c>
    </row>
    <row r="9" spans="1:8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2">
        <v>100</v>
      </c>
      <c r="H9" s="4">
        <v>1896</v>
      </c>
    </row>
    <row r="10" spans="1:8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2">
        <v>67</v>
      </c>
      <c r="H10" s="4">
        <v>1697</v>
      </c>
    </row>
    <row r="11" spans="1:8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2">
        <v>41</v>
      </c>
      <c r="H11" s="4">
        <v>6541</v>
      </c>
    </row>
    <row r="12" spans="1:8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2">
        <v>76</v>
      </c>
      <c r="H12" s="4">
        <v>8451</v>
      </c>
    </row>
    <row r="13" spans="1:8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2">
        <v>92</v>
      </c>
      <c r="H13" s="4">
        <v>5302</v>
      </c>
    </row>
    <row r="14" spans="1:8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2">
        <v>63</v>
      </c>
      <c r="H14" s="4">
        <v>3364</v>
      </c>
    </row>
    <row r="15" spans="1:8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2">
        <v>11</v>
      </c>
      <c r="H15" s="4">
        <v>2563</v>
      </c>
    </row>
    <row r="16" spans="1:8">
      <c r="A16" s="2" t="s">
        <v>33</v>
      </c>
      <c r="B16" s="2" t="s">
        <v>36</v>
      </c>
      <c r="C16" s="2" t="s">
        <v>37</v>
      </c>
      <c r="D16" s="3">
        <v>42039</v>
      </c>
      <c r="E16" s="1">
        <v>416</v>
      </c>
      <c r="F16" s="4">
        <v>18000</v>
      </c>
      <c r="G16" s="2">
        <v>56</v>
      </c>
      <c r="H16" s="4">
        <v>1896</v>
      </c>
    </row>
    <row r="17" spans="1:8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2">
        <v>120</v>
      </c>
      <c r="H17" s="4">
        <v>2412</v>
      </c>
    </row>
    <row r="18" spans="1:8">
      <c r="A18" s="2" t="s">
        <v>40</v>
      </c>
      <c r="B18" s="2" t="s">
        <v>41</v>
      </c>
      <c r="C18" s="2" t="s">
        <v>42</v>
      </c>
      <c r="D18" s="3">
        <v>42063</v>
      </c>
      <c r="E18" s="1">
        <v>248</v>
      </c>
      <c r="F18" s="4">
        <v>18000</v>
      </c>
      <c r="G18" s="2">
        <v>47</v>
      </c>
      <c r="H18" s="4">
        <v>3794</v>
      </c>
    </row>
    <row r="19" spans="1:8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2">
        <v>84</v>
      </c>
      <c r="H19" s="4">
        <v>4587</v>
      </c>
    </row>
    <row r="20" spans="1:8">
      <c r="A20" s="2" t="s">
        <v>40</v>
      </c>
      <c r="B20" s="2" t="s">
        <v>45</v>
      </c>
      <c r="C20" s="2" t="s">
        <v>46</v>
      </c>
      <c r="D20" s="3">
        <v>41845</v>
      </c>
      <c r="E20" s="1">
        <v>504</v>
      </c>
      <c r="F20" s="4">
        <v>20000</v>
      </c>
      <c r="G20" s="2">
        <v>61</v>
      </c>
      <c r="H20" s="4">
        <v>9687</v>
      </c>
    </row>
    <row r="21" spans="1:8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2">
        <v>77</v>
      </c>
      <c r="H21" s="4">
        <v>2432</v>
      </c>
    </row>
    <row r="22" spans="1:8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2">
        <v>66</v>
      </c>
      <c r="H22" s="4">
        <v>1369</v>
      </c>
    </row>
    <row r="23" spans="1:8">
      <c r="A23" s="2" t="s">
        <v>52</v>
      </c>
      <c r="B23" s="2" t="s">
        <v>53</v>
      </c>
      <c r="C23" s="2" t="s">
        <v>54</v>
      </c>
      <c r="D23" s="3">
        <v>42124</v>
      </c>
      <c r="E23" s="1">
        <v>384</v>
      </c>
      <c r="F23" s="4">
        <v>18000</v>
      </c>
      <c r="G23" s="2">
        <v>55</v>
      </c>
      <c r="H23" s="4">
        <v>6321</v>
      </c>
    </row>
    <row r="24" spans="1:8">
      <c r="A24" s="2" t="s">
        <v>52</v>
      </c>
      <c r="B24" s="2" t="s">
        <v>55</v>
      </c>
      <c r="C24" s="2" t="s">
        <v>56</v>
      </c>
      <c r="D24" s="3">
        <v>42123</v>
      </c>
      <c r="E24" s="1">
        <v>576</v>
      </c>
      <c r="F24" s="4">
        <v>18000</v>
      </c>
      <c r="G24" s="2">
        <v>44</v>
      </c>
      <c r="H24" s="4">
        <v>7743</v>
      </c>
    </row>
    <row r="25" spans="1:8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2">
        <v>33</v>
      </c>
      <c r="H25" s="4">
        <v>6540</v>
      </c>
    </row>
    <row r="26" spans="1:8">
      <c r="A26" s="2" t="s">
        <v>57</v>
      </c>
      <c r="B26" s="2" t="s">
        <v>60</v>
      </c>
      <c r="C26" s="2" t="s">
        <v>61</v>
      </c>
      <c r="D26" s="3">
        <v>41849</v>
      </c>
      <c r="E26" s="1">
        <v>776</v>
      </c>
      <c r="F26" s="4">
        <v>35000</v>
      </c>
      <c r="G26" s="2">
        <v>22</v>
      </c>
      <c r="H26" s="4">
        <v>1294</v>
      </c>
    </row>
    <row r="27" spans="1:8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2">
        <v>88</v>
      </c>
      <c r="H27" s="4">
        <v>6321</v>
      </c>
    </row>
    <row r="28" spans="1:8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2">
        <v>99</v>
      </c>
      <c r="H28" s="4">
        <v>3390</v>
      </c>
    </row>
    <row r="29" spans="1:8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2">
        <v>101</v>
      </c>
      <c r="H29" s="4">
        <v>10698</v>
      </c>
    </row>
    <row r="30" spans="1:8">
      <c r="A30" s="24" t="s">
        <v>67</v>
      </c>
      <c r="B30" s="24"/>
      <c r="C30" s="24"/>
      <c r="D30" s="24"/>
      <c r="E30" s="5">
        <f>AVERAGE(E3:E29)</f>
        <v>335.55555555555554</v>
      </c>
      <c r="F30" s="6">
        <f t="shared" ref="F30:H30" si="0">AVERAGE(F3:F29)</f>
        <v>16555.555555555555</v>
      </c>
      <c r="G30" s="7">
        <f t="shared" si="0"/>
        <v>59.037037037037038</v>
      </c>
      <c r="H30" s="6">
        <f t="shared" si="0"/>
        <v>5113.9629629629626</v>
      </c>
    </row>
  </sheetData>
  <mergeCells count="1">
    <mergeCell ref="A30:D30"/>
  </mergeCells>
  <phoneticPr fontId="1" type="noConversion"/>
  <conditionalFormatting sqref="E30:H30">
    <cfRule type="expression" dxfId="0" priority="1">
      <formula>AND(YEAR(TODAY())-YEAR($D30)&gt;=2,YEAR(TODAY())-YEAR($D30)&lt;=4)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40"/>
  <sheetViews>
    <sheetView workbookViewId="0"/>
  </sheetViews>
  <sheetFormatPr defaultRowHeight="17"/>
  <cols>
    <col min="1" max="1" width="17.1640625" bestFit="1" customWidth="1"/>
    <col min="2" max="2" width="43.83203125" bestFit="1" customWidth="1"/>
    <col min="3" max="3" width="11.1640625" bestFit="1" customWidth="1"/>
    <col min="4" max="4" width="13.83203125" customWidth="1"/>
    <col min="5" max="5" width="16.6640625" bestFit="1" customWidth="1"/>
    <col min="6" max="7" width="10.83203125" customWidth="1"/>
    <col min="8" max="8" width="11.33203125" bestFit="1" customWidth="1"/>
    <col min="9" max="9" width="12.1640625" customWidth="1"/>
    <col min="10" max="10" width="24.25" customWidth="1"/>
    <col min="11" max="11" width="11.1640625" customWidth="1"/>
  </cols>
  <sheetData>
    <row r="1" spans="1:11">
      <c r="A1" t="s">
        <v>68</v>
      </c>
    </row>
    <row r="2" spans="1:11">
      <c r="A2" s="1" t="s">
        <v>69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8" t="s">
        <v>70</v>
      </c>
      <c r="H2" s="1" t="s">
        <v>6</v>
      </c>
      <c r="I2" s="1" t="s">
        <v>7</v>
      </c>
      <c r="J2" s="8" t="s">
        <v>71</v>
      </c>
      <c r="K2" s="8" t="s">
        <v>72</v>
      </c>
    </row>
    <row r="3" spans="1:11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4"/>
      <c r="H3" s="2">
        <v>25</v>
      </c>
      <c r="I3" s="4">
        <v>8563</v>
      </c>
      <c r="J3" s="9"/>
      <c r="K3" s="9"/>
    </row>
    <row r="4" spans="1:11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4"/>
      <c r="H4" s="2">
        <v>30</v>
      </c>
      <c r="I4" s="4">
        <v>5987</v>
      </c>
      <c r="J4" s="9"/>
      <c r="K4" s="9"/>
    </row>
    <row r="5" spans="1:11">
      <c r="A5" s="2" t="s">
        <v>8</v>
      </c>
      <c r="B5" s="2" t="s">
        <v>13</v>
      </c>
      <c r="C5" s="2" t="s">
        <v>14</v>
      </c>
      <c r="D5" s="3">
        <v>43200</v>
      </c>
      <c r="E5" s="1">
        <v>232</v>
      </c>
      <c r="F5" s="4">
        <v>9800</v>
      </c>
      <c r="G5" s="4"/>
      <c r="H5" s="2">
        <v>18</v>
      </c>
      <c r="I5" s="4">
        <v>3657</v>
      </c>
      <c r="J5" s="9"/>
      <c r="K5" s="9"/>
    </row>
    <row r="6" spans="1:11">
      <c r="A6" s="2" t="s">
        <v>8</v>
      </c>
      <c r="B6" s="2" t="s">
        <v>15</v>
      </c>
      <c r="C6" s="2" t="s">
        <v>16</v>
      </c>
      <c r="D6" s="3">
        <v>43174</v>
      </c>
      <c r="E6" s="1">
        <v>200</v>
      </c>
      <c r="F6" s="4">
        <v>9800</v>
      </c>
      <c r="G6" s="4"/>
      <c r="H6" s="2">
        <v>15</v>
      </c>
      <c r="I6" s="4">
        <v>9854</v>
      </c>
      <c r="J6" s="9"/>
      <c r="K6" s="9"/>
    </row>
    <row r="7" spans="1:11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4"/>
      <c r="H7" s="2">
        <v>45</v>
      </c>
      <c r="I7" s="4">
        <v>5962</v>
      </c>
      <c r="J7" s="9"/>
      <c r="K7" s="9"/>
    </row>
    <row r="8" spans="1:11">
      <c r="A8" s="2" t="s">
        <v>17</v>
      </c>
      <c r="B8" s="2" t="s">
        <v>20</v>
      </c>
      <c r="C8" s="2" t="s">
        <v>21</v>
      </c>
      <c r="D8" s="3">
        <v>43240</v>
      </c>
      <c r="E8" s="1">
        <v>288</v>
      </c>
      <c r="F8" s="4">
        <v>12000</v>
      </c>
      <c r="G8" s="4"/>
      <c r="H8" s="2">
        <v>58</v>
      </c>
      <c r="I8" s="4">
        <v>3215</v>
      </c>
      <c r="J8" s="9"/>
      <c r="K8" s="9"/>
    </row>
    <row r="9" spans="1:11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4"/>
      <c r="H9" s="2">
        <v>100</v>
      </c>
      <c r="I9" s="4">
        <v>1896</v>
      </c>
      <c r="J9" s="9"/>
      <c r="K9" s="9"/>
    </row>
    <row r="10" spans="1:11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4"/>
      <c r="H10" s="2">
        <v>67</v>
      </c>
      <c r="I10" s="4">
        <v>1697</v>
      </c>
      <c r="J10" s="9"/>
      <c r="K10" s="9"/>
    </row>
    <row r="11" spans="1:11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4"/>
      <c r="H11" s="2">
        <v>41</v>
      </c>
      <c r="I11" s="4">
        <v>6541</v>
      </c>
      <c r="J11" s="9"/>
      <c r="K11" s="9"/>
    </row>
    <row r="12" spans="1:11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4"/>
      <c r="H12" s="2">
        <v>81</v>
      </c>
      <c r="I12" s="4">
        <v>8451</v>
      </c>
      <c r="J12" s="9"/>
      <c r="K12" s="9"/>
    </row>
    <row r="13" spans="1:11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4"/>
      <c r="H13" s="2">
        <v>92</v>
      </c>
      <c r="I13" s="4">
        <v>5302</v>
      </c>
      <c r="J13" s="9"/>
      <c r="K13" s="9"/>
    </row>
    <row r="14" spans="1:11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4"/>
      <c r="H14" s="2">
        <v>63</v>
      </c>
      <c r="I14" s="4">
        <v>3364</v>
      </c>
      <c r="J14" s="9"/>
      <c r="K14" s="9"/>
    </row>
    <row r="15" spans="1:11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4"/>
      <c r="H15" s="2">
        <v>11</v>
      </c>
      <c r="I15" s="4">
        <v>2563</v>
      </c>
      <c r="J15" s="9"/>
      <c r="K15" s="9"/>
    </row>
    <row r="16" spans="1:11">
      <c r="A16" s="2" t="s">
        <v>33</v>
      </c>
      <c r="B16" s="2" t="s">
        <v>36</v>
      </c>
      <c r="C16" s="2" t="s">
        <v>73</v>
      </c>
      <c r="D16" s="3">
        <v>42039</v>
      </c>
      <c r="E16" s="1">
        <v>416</v>
      </c>
      <c r="F16" s="4">
        <v>18000</v>
      </c>
      <c r="G16" s="4"/>
      <c r="H16" s="2">
        <v>56</v>
      </c>
      <c r="I16" s="4">
        <v>1896</v>
      </c>
      <c r="J16" s="9"/>
      <c r="K16" s="9"/>
    </row>
    <row r="17" spans="1:11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4"/>
      <c r="H17" s="2">
        <v>120</v>
      </c>
      <c r="I17" s="4">
        <v>2412</v>
      </c>
      <c r="J17" s="9"/>
      <c r="K17" s="9"/>
    </row>
    <row r="18" spans="1:11">
      <c r="A18" s="2" t="s">
        <v>40</v>
      </c>
      <c r="B18" s="2" t="s">
        <v>41</v>
      </c>
      <c r="C18" s="2" t="s">
        <v>74</v>
      </c>
      <c r="D18" s="3">
        <v>42063</v>
      </c>
      <c r="E18" s="1">
        <v>248</v>
      </c>
      <c r="F18" s="4">
        <v>18000</v>
      </c>
      <c r="G18" s="4"/>
      <c r="H18" s="2">
        <v>47</v>
      </c>
      <c r="I18" s="4">
        <v>3794</v>
      </c>
      <c r="J18" s="9"/>
      <c r="K18" s="9"/>
    </row>
    <row r="19" spans="1:11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4"/>
      <c r="H19" s="2">
        <v>84</v>
      </c>
      <c r="I19" s="4">
        <v>4587</v>
      </c>
      <c r="J19" s="9"/>
      <c r="K19" s="9"/>
    </row>
    <row r="20" spans="1:11">
      <c r="A20" s="2" t="s">
        <v>40</v>
      </c>
      <c r="B20" s="2" t="s">
        <v>75</v>
      </c>
      <c r="C20" s="2" t="s">
        <v>46</v>
      </c>
      <c r="D20" s="3">
        <v>41845</v>
      </c>
      <c r="E20" s="1">
        <v>504</v>
      </c>
      <c r="F20" s="4">
        <v>20000</v>
      </c>
      <c r="G20" s="4"/>
      <c r="H20" s="2">
        <v>61</v>
      </c>
      <c r="I20" s="4">
        <v>9687</v>
      </c>
      <c r="J20" s="9"/>
      <c r="K20" s="9"/>
    </row>
    <row r="21" spans="1:11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4"/>
      <c r="H21" s="2">
        <v>77</v>
      </c>
      <c r="I21" s="4">
        <v>2432</v>
      </c>
      <c r="J21" s="9"/>
      <c r="K21" s="9"/>
    </row>
    <row r="22" spans="1:11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4"/>
      <c r="H22" s="2">
        <v>66</v>
      </c>
      <c r="I22" s="4">
        <v>1369</v>
      </c>
      <c r="J22" s="9"/>
      <c r="K22" s="9"/>
    </row>
    <row r="23" spans="1:11">
      <c r="A23" s="2" t="s">
        <v>52</v>
      </c>
      <c r="B23" s="2" t="s">
        <v>53</v>
      </c>
      <c r="C23" s="2" t="s">
        <v>76</v>
      </c>
      <c r="D23" s="3">
        <v>42124</v>
      </c>
      <c r="E23" s="1">
        <v>384</v>
      </c>
      <c r="F23" s="4">
        <v>18000</v>
      </c>
      <c r="G23" s="4"/>
      <c r="H23" s="2">
        <v>55</v>
      </c>
      <c r="I23" s="4">
        <v>6321</v>
      </c>
      <c r="J23" s="9"/>
      <c r="K23" s="9"/>
    </row>
    <row r="24" spans="1:11">
      <c r="A24" s="2" t="s">
        <v>52</v>
      </c>
      <c r="B24" s="2" t="s">
        <v>55</v>
      </c>
      <c r="C24" s="2" t="s">
        <v>77</v>
      </c>
      <c r="D24" s="3">
        <v>42123</v>
      </c>
      <c r="E24" s="1">
        <v>576</v>
      </c>
      <c r="F24" s="4">
        <v>18000</v>
      </c>
      <c r="G24" s="4"/>
      <c r="H24" s="2">
        <v>44</v>
      </c>
      <c r="I24" s="4">
        <v>7743</v>
      </c>
      <c r="J24" s="9"/>
      <c r="K24" s="9"/>
    </row>
    <row r="25" spans="1:11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4"/>
      <c r="H25" s="2">
        <v>33</v>
      </c>
      <c r="I25" s="4">
        <v>6540</v>
      </c>
      <c r="J25" s="9"/>
      <c r="K25" s="9"/>
    </row>
    <row r="26" spans="1:11">
      <c r="A26" s="2" t="s">
        <v>57</v>
      </c>
      <c r="B26" s="2" t="s">
        <v>60</v>
      </c>
      <c r="C26" s="2" t="s">
        <v>78</v>
      </c>
      <c r="D26" s="3">
        <v>41849</v>
      </c>
      <c r="E26" s="1">
        <v>776</v>
      </c>
      <c r="F26" s="4">
        <v>35000</v>
      </c>
      <c r="G26" s="4"/>
      <c r="H26" s="2">
        <v>22</v>
      </c>
      <c r="I26" s="4">
        <v>1294</v>
      </c>
      <c r="J26" s="9"/>
      <c r="K26" s="9"/>
    </row>
    <row r="27" spans="1:11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4"/>
      <c r="H27" s="2">
        <v>88</v>
      </c>
      <c r="I27" s="4">
        <v>6321</v>
      </c>
      <c r="J27" s="9"/>
      <c r="K27" s="9"/>
    </row>
    <row r="28" spans="1:11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4"/>
      <c r="H28" s="2">
        <v>99</v>
      </c>
      <c r="I28" s="4">
        <v>7390</v>
      </c>
      <c r="J28" s="9"/>
      <c r="K28" s="9"/>
    </row>
    <row r="29" spans="1:11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4"/>
      <c r="H29" s="2">
        <v>101</v>
      </c>
      <c r="I29" s="4">
        <v>5786</v>
      </c>
      <c r="J29" s="9"/>
      <c r="K29" s="9"/>
    </row>
    <row r="31" spans="1:11">
      <c r="A31" s="10" t="s">
        <v>79</v>
      </c>
      <c r="E31" t="s">
        <v>80</v>
      </c>
    </row>
    <row r="32" spans="1:11">
      <c r="A32" s="11" t="s">
        <v>81</v>
      </c>
      <c r="B32" s="8" t="s">
        <v>82</v>
      </c>
      <c r="C32" s="8" t="s">
        <v>83</v>
      </c>
      <c r="E32" s="25" t="s">
        <v>84</v>
      </c>
      <c r="F32" s="12">
        <v>2012</v>
      </c>
      <c r="G32" s="12">
        <v>2015</v>
      </c>
      <c r="H32" s="12">
        <v>2017</v>
      </c>
      <c r="I32" s="12">
        <v>2019</v>
      </c>
    </row>
    <row r="33" spans="1:9">
      <c r="A33" s="2" t="s">
        <v>8</v>
      </c>
      <c r="B33" s="13"/>
      <c r="C33" s="14"/>
      <c r="E33" s="26"/>
      <c r="F33" s="15">
        <v>2015</v>
      </c>
      <c r="G33" s="15">
        <v>2017</v>
      </c>
      <c r="H33" s="15">
        <v>2019</v>
      </c>
      <c r="I33" s="16"/>
    </row>
    <row r="34" spans="1:9">
      <c r="A34" s="2" t="s">
        <v>17</v>
      </c>
      <c r="B34" s="13"/>
      <c r="C34" s="14"/>
      <c r="E34" s="2" t="s">
        <v>8</v>
      </c>
      <c r="F34" s="17">
        <v>0.25</v>
      </c>
      <c r="G34" s="17">
        <v>0.2</v>
      </c>
      <c r="H34" s="17">
        <v>0.1</v>
      </c>
      <c r="I34" s="17">
        <v>0.05</v>
      </c>
    </row>
    <row r="35" spans="1:9">
      <c r="A35" s="2" t="s">
        <v>33</v>
      </c>
      <c r="B35" s="13"/>
      <c r="C35" s="14"/>
      <c r="E35" s="2" t="s">
        <v>17</v>
      </c>
      <c r="F35" s="17">
        <v>0.3</v>
      </c>
      <c r="G35" s="17">
        <v>0.2</v>
      </c>
      <c r="H35" s="17">
        <v>0.1</v>
      </c>
      <c r="I35" s="17">
        <v>0.05</v>
      </c>
    </row>
    <row r="36" spans="1:9">
      <c r="A36" s="2" t="s">
        <v>40</v>
      </c>
      <c r="B36" s="13"/>
      <c r="C36" s="14"/>
      <c r="E36" s="2" t="s">
        <v>33</v>
      </c>
      <c r="F36" s="17">
        <v>0.35</v>
      </c>
      <c r="G36" s="17">
        <v>0.25</v>
      </c>
      <c r="H36" s="17">
        <v>0.1</v>
      </c>
      <c r="I36" s="17">
        <v>0.05</v>
      </c>
    </row>
    <row r="37" spans="1:9">
      <c r="A37" s="2" t="s">
        <v>47</v>
      </c>
      <c r="B37" s="13"/>
      <c r="C37" s="14"/>
      <c r="E37" s="2" t="s">
        <v>40</v>
      </c>
      <c r="F37" s="17">
        <v>0.2</v>
      </c>
      <c r="G37" s="17">
        <v>0.1</v>
      </c>
      <c r="H37" s="17">
        <v>0.05</v>
      </c>
      <c r="I37" s="17">
        <v>0.02</v>
      </c>
    </row>
    <row r="38" spans="1:9">
      <c r="A38" s="2" t="s">
        <v>52</v>
      </c>
      <c r="B38" s="13"/>
      <c r="C38" s="14"/>
      <c r="E38" s="2" t="s">
        <v>47</v>
      </c>
      <c r="F38" s="17">
        <v>0.3</v>
      </c>
      <c r="G38" s="17">
        <v>0.15</v>
      </c>
      <c r="H38" s="17">
        <v>0.1</v>
      </c>
      <c r="I38" s="17">
        <v>7.0000000000000007E-2</v>
      </c>
    </row>
    <row r="39" spans="1:9">
      <c r="A39" s="2" t="s">
        <v>57</v>
      </c>
      <c r="B39" s="13"/>
      <c r="C39" s="14"/>
      <c r="E39" s="2" t="s">
        <v>52</v>
      </c>
      <c r="F39" s="17">
        <v>0.25</v>
      </c>
      <c r="G39" s="17">
        <v>0.15</v>
      </c>
      <c r="H39" s="17">
        <v>0.08</v>
      </c>
      <c r="I39" s="17">
        <v>0.02</v>
      </c>
    </row>
    <row r="40" spans="1:9">
      <c r="E40" s="2" t="s">
        <v>57</v>
      </c>
      <c r="F40" s="17">
        <v>0.26</v>
      </c>
      <c r="G40" s="17">
        <v>0.16</v>
      </c>
      <c r="H40" s="17">
        <v>7.0000000000000007E-2</v>
      </c>
      <c r="I40" s="17">
        <v>0.04</v>
      </c>
    </row>
  </sheetData>
  <mergeCells count="1">
    <mergeCell ref="E32:E3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8"/>
  <sheetViews>
    <sheetView workbookViewId="0"/>
  </sheetViews>
  <sheetFormatPr defaultRowHeight="17"/>
  <cols>
    <col min="1" max="1" width="17.1640625" bestFit="1" customWidth="1"/>
    <col min="2" max="2" width="43.83203125" bestFit="1" customWidth="1"/>
    <col min="3" max="3" width="9.83203125" bestFit="1" customWidth="1"/>
    <col min="4" max="4" width="10.75" bestFit="1" customWidth="1"/>
    <col min="5" max="5" width="6.6640625" bestFit="1" customWidth="1"/>
    <col min="6" max="6" width="8.1640625" bestFit="1" customWidth="1"/>
    <col min="7" max="7" width="10.33203125" bestFit="1" customWidth="1"/>
    <col min="8" max="8" width="8.1640625" bestFit="1" customWidth="1"/>
  </cols>
  <sheetData>
    <row r="1" spans="1:8">
      <c r="A1" s="1" t="s">
        <v>85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s="2" t="s">
        <v>8</v>
      </c>
      <c r="B2" s="2" t="s">
        <v>9</v>
      </c>
      <c r="C2" s="2" t="s">
        <v>10</v>
      </c>
      <c r="D2" s="3">
        <v>42552</v>
      </c>
      <c r="E2" s="4">
        <v>256</v>
      </c>
      <c r="F2" s="4">
        <v>10800</v>
      </c>
      <c r="G2" s="4">
        <v>25</v>
      </c>
      <c r="H2" s="4">
        <v>8563</v>
      </c>
    </row>
    <row r="3" spans="1:8">
      <c r="A3" s="2" t="s">
        <v>8</v>
      </c>
      <c r="B3" s="2" t="s">
        <v>11</v>
      </c>
      <c r="C3" s="2" t="s">
        <v>12</v>
      </c>
      <c r="D3" s="3">
        <v>41876</v>
      </c>
      <c r="E3" s="4">
        <v>228</v>
      </c>
      <c r="F3" s="4">
        <v>14000</v>
      </c>
      <c r="G3" s="4">
        <v>30</v>
      </c>
      <c r="H3" s="4">
        <v>5987</v>
      </c>
    </row>
    <row r="4" spans="1:8">
      <c r="A4" s="2" t="s">
        <v>8</v>
      </c>
      <c r="B4" s="2" t="s">
        <v>13</v>
      </c>
      <c r="C4" s="2" t="s">
        <v>14</v>
      </c>
      <c r="D4" s="3">
        <v>43200</v>
      </c>
      <c r="E4" s="4">
        <v>232</v>
      </c>
      <c r="F4" s="4">
        <v>9800</v>
      </c>
      <c r="G4" s="4">
        <v>18</v>
      </c>
      <c r="H4" s="4">
        <v>3657</v>
      </c>
    </row>
    <row r="5" spans="1:8">
      <c r="A5" s="2" t="s">
        <v>8</v>
      </c>
      <c r="B5" s="2" t="s">
        <v>15</v>
      </c>
      <c r="C5" s="2" t="s">
        <v>16</v>
      </c>
      <c r="D5" s="3">
        <v>43174</v>
      </c>
      <c r="E5" s="4">
        <v>200</v>
      </c>
      <c r="F5" s="4">
        <v>9800</v>
      </c>
      <c r="G5" s="4">
        <v>15</v>
      </c>
      <c r="H5" s="4">
        <v>12395</v>
      </c>
    </row>
    <row r="6" spans="1:8">
      <c r="A6" s="2" t="s">
        <v>17</v>
      </c>
      <c r="B6" s="2" t="s">
        <v>18</v>
      </c>
      <c r="C6" s="2" t="s">
        <v>19</v>
      </c>
      <c r="D6" s="3">
        <v>42750</v>
      </c>
      <c r="E6" s="4">
        <v>272</v>
      </c>
      <c r="F6" s="4">
        <v>9800</v>
      </c>
      <c r="G6" s="4">
        <v>45</v>
      </c>
      <c r="H6" s="4">
        <v>5962</v>
      </c>
    </row>
    <row r="7" spans="1:8">
      <c r="A7" s="2" t="s">
        <v>17</v>
      </c>
      <c r="B7" s="2" t="s">
        <v>20</v>
      </c>
      <c r="C7" s="2" t="s">
        <v>21</v>
      </c>
      <c r="D7" s="3">
        <v>43240</v>
      </c>
      <c r="E7" s="4">
        <v>288</v>
      </c>
      <c r="F7" s="4">
        <v>12000</v>
      </c>
      <c r="G7" s="4">
        <v>58</v>
      </c>
      <c r="H7" s="4">
        <v>3215</v>
      </c>
    </row>
    <row r="8" spans="1:8">
      <c r="A8" s="2" t="s">
        <v>17</v>
      </c>
      <c r="B8" s="2" t="s">
        <v>22</v>
      </c>
      <c r="C8" s="2" t="s">
        <v>23</v>
      </c>
      <c r="D8" s="3">
        <v>42073</v>
      </c>
      <c r="E8" s="4">
        <v>224</v>
      </c>
      <c r="F8" s="4">
        <v>13000</v>
      </c>
      <c r="G8" s="4">
        <v>100</v>
      </c>
      <c r="H8" s="4">
        <v>1896</v>
      </c>
    </row>
    <row r="9" spans="1:8">
      <c r="A9" s="2" t="s">
        <v>17</v>
      </c>
      <c r="B9" s="2" t="s">
        <v>24</v>
      </c>
      <c r="C9" s="2" t="s">
        <v>25</v>
      </c>
      <c r="D9" s="3">
        <v>42094</v>
      </c>
      <c r="E9" s="4">
        <v>384</v>
      </c>
      <c r="F9" s="4">
        <v>20000</v>
      </c>
      <c r="G9" s="4">
        <v>67</v>
      </c>
      <c r="H9" s="4">
        <v>1697</v>
      </c>
    </row>
    <row r="10" spans="1:8">
      <c r="A10" s="2" t="s">
        <v>8</v>
      </c>
      <c r="B10" s="2" t="s">
        <v>26</v>
      </c>
      <c r="C10" s="2" t="s">
        <v>27</v>
      </c>
      <c r="D10" s="3">
        <v>41453</v>
      </c>
      <c r="E10" s="4">
        <v>264</v>
      </c>
      <c r="F10" s="4">
        <v>13000</v>
      </c>
      <c r="G10" s="4">
        <v>41</v>
      </c>
      <c r="H10" s="4">
        <v>6541</v>
      </c>
    </row>
    <row r="11" spans="1:8">
      <c r="A11" s="2" t="s">
        <v>8</v>
      </c>
      <c r="B11" s="2" t="s">
        <v>28</v>
      </c>
      <c r="C11" s="2" t="s">
        <v>16</v>
      </c>
      <c r="D11" s="3">
        <v>41166</v>
      </c>
      <c r="E11" s="4">
        <v>208</v>
      </c>
      <c r="F11" s="4">
        <v>12000</v>
      </c>
      <c r="G11" s="4">
        <v>76</v>
      </c>
      <c r="H11" s="4">
        <v>8451</v>
      </c>
    </row>
    <row r="12" spans="1:8">
      <c r="A12" s="2" t="s">
        <v>8</v>
      </c>
      <c r="B12" s="2" t="s">
        <v>29</v>
      </c>
      <c r="C12" s="2" t="s">
        <v>30</v>
      </c>
      <c r="D12" s="3">
        <v>41162</v>
      </c>
      <c r="E12" s="4">
        <v>192</v>
      </c>
      <c r="F12" s="4">
        <v>12000</v>
      </c>
      <c r="G12" s="4">
        <v>92</v>
      </c>
      <c r="H12" s="4">
        <v>5302</v>
      </c>
    </row>
    <row r="13" spans="1:8">
      <c r="A13" s="2" t="s">
        <v>8</v>
      </c>
      <c r="B13" s="2" t="s">
        <v>31</v>
      </c>
      <c r="C13" s="2" t="s">
        <v>32</v>
      </c>
      <c r="D13" s="3">
        <v>43710</v>
      </c>
      <c r="E13" s="4">
        <v>216</v>
      </c>
      <c r="F13" s="4">
        <v>12000</v>
      </c>
      <c r="G13" s="4">
        <v>63</v>
      </c>
      <c r="H13" s="4">
        <v>3364</v>
      </c>
    </row>
    <row r="14" spans="1:8">
      <c r="A14" s="2" t="s">
        <v>33</v>
      </c>
      <c r="B14" s="2" t="s">
        <v>34</v>
      </c>
      <c r="C14" s="2" t="s">
        <v>35</v>
      </c>
      <c r="D14" s="3">
        <v>42063</v>
      </c>
      <c r="E14" s="4">
        <v>200</v>
      </c>
      <c r="F14" s="4">
        <v>12000</v>
      </c>
      <c r="G14" s="4">
        <v>11</v>
      </c>
      <c r="H14" s="4">
        <v>2563</v>
      </c>
    </row>
    <row r="15" spans="1:8">
      <c r="A15" s="2" t="s">
        <v>33</v>
      </c>
      <c r="B15" s="2" t="s">
        <v>36</v>
      </c>
      <c r="C15" s="2" t="s">
        <v>37</v>
      </c>
      <c r="D15" s="3">
        <v>42039</v>
      </c>
      <c r="E15" s="4">
        <v>416</v>
      </c>
      <c r="F15" s="4">
        <v>18000</v>
      </c>
      <c r="G15" s="4">
        <v>56</v>
      </c>
      <c r="H15" s="4">
        <v>1896</v>
      </c>
    </row>
    <row r="16" spans="1:8">
      <c r="A16" s="2" t="s">
        <v>33</v>
      </c>
      <c r="B16" s="2" t="s">
        <v>38</v>
      </c>
      <c r="C16" s="2" t="s">
        <v>39</v>
      </c>
      <c r="D16" s="3">
        <v>41946</v>
      </c>
      <c r="E16" s="4">
        <v>314</v>
      </c>
      <c r="F16" s="4">
        <v>18000</v>
      </c>
      <c r="G16" s="4">
        <v>120</v>
      </c>
      <c r="H16" s="4">
        <v>2412</v>
      </c>
    </row>
    <row r="17" spans="1:8">
      <c r="A17" s="2" t="s">
        <v>40</v>
      </c>
      <c r="B17" s="2" t="s">
        <v>41</v>
      </c>
      <c r="C17" s="2" t="s">
        <v>42</v>
      </c>
      <c r="D17" s="3">
        <v>42063</v>
      </c>
      <c r="E17" s="4">
        <v>248</v>
      </c>
      <c r="F17" s="4">
        <v>18000</v>
      </c>
      <c r="G17" s="4">
        <v>47</v>
      </c>
      <c r="H17" s="4">
        <v>3794</v>
      </c>
    </row>
    <row r="18" spans="1:8">
      <c r="A18" s="2" t="s">
        <v>40</v>
      </c>
      <c r="B18" s="2" t="s">
        <v>43</v>
      </c>
      <c r="C18" s="2" t="s">
        <v>44</v>
      </c>
      <c r="D18" s="3">
        <v>42073</v>
      </c>
      <c r="E18" s="4">
        <v>214</v>
      </c>
      <c r="F18" s="4">
        <v>15000</v>
      </c>
      <c r="G18" s="4">
        <v>84</v>
      </c>
      <c r="H18" s="4">
        <v>4587</v>
      </c>
    </row>
    <row r="19" spans="1:8">
      <c r="A19" s="2" t="s">
        <v>40</v>
      </c>
      <c r="B19" s="2" t="s">
        <v>45</v>
      </c>
      <c r="C19" s="2" t="s">
        <v>46</v>
      </c>
      <c r="D19" s="3">
        <v>41845</v>
      </c>
      <c r="E19" s="4">
        <v>504</v>
      </c>
      <c r="F19" s="4">
        <v>20000</v>
      </c>
      <c r="G19" s="4">
        <v>61</v>
      </c>
      <c r="H19" s="4">
        <v>9687</v>
      </c>
    </row>
    <row r="20" spans="1:8">
      <c r="A20" s="2" t="s">
        <v>47</v>
      </c>
      <c r="B20" s="2" t="s">
        <v>48</v>
      </c>
      <c r="C20" s="2" t="s">
        <v>49</v>
      </c>
      <c r="D20" s="3">
        <v>42094</v>
      </c>
      <c r="E20" s="4">
        <v>368</v>
      </c>
      <c r="F20" s="4">
        <v>18000</v>
      </c>
      <c r="G20" s="4">
        <v>77</v>
      </c>
      <c r="H20" s="4">
        <v>2432</v>
      </c>
    </row>
    <row r="21" spans="1:8">
      <c r="A21" s="2" t="s">
        <v>47</v>
      </c>
      <c r="B21" s="2" t="s">
        <v>50</v>
      </c>
      <c r="C21" s="2" t="s">
        <v>51</v>
      </c>
      <c r="D21" s="3">
        <v>41999</v>
      </c>
      <c r="E21" s="4">
        <v>528</v>
      </c>
      <c r="F21" s="4">
        <v>36000</v>
      </c>
      <c r="G21" s="4">
        <v>66</v>
      </c>
      <c r="H21" s="4">
        <v>1369</v>
      </c>
    </row>
    <row r="22" spans="1:8">
      <c r="A22" s="2" t="s">
        <v>52</v>
      </c>
      <c r="B22" s="2" t="s">
        <v>53</v>
      </c>
      <c r="C22" s="2" t="s">
        <v>54</v>
      </c>
      <c r="D22" s="3">
        <v>42124</v>
      </c>
      <c r="E22" s="4">
        <v>384</v>
      </c>
      <c r="F22" s="4">
        <v>18000</v>
      </c>
      <c r="G22" s="4">
        <v>55</v>
      </c>
      <c r="H22" s="4">
        <v>6321</v>
      </c>
    </row>
    <row r="23" spans="1:8">
      <c r="A23" s="2" t="s">
        <v>52</v>
      </c>
      <c r="B23" s="2" t="s">
        <v>55</v>
      </c>
      <c r="C23" s="2" t="s">
        <v>56</v>
      </c>
      <c r="D23" s="3">
        <v>42123</v>
      </c>
      <c r="E23" s="4">
        <v>576</v>
      </c>
      <c r="F23" s="4">
        <v>18000</v>
      </c>
      <c r="G23" s="4">
        <v>44</v>
      </c>
      <c r="H23" s="4">
        <v>7743</v>
      </c>
    </row>
    <row r="24" spans="1:8">
      <c r="A24" s="2" t="s">
        <v>57</v>
      </c>
      <c r="B24" s="2" t="s">
        <v>58</v>
      </c>
      <c r="C24" s="2" t="s">
        <v>59</v>
      </c>
      <c r="D24" s="3">
        <v>42027</v>
      </c>
      <c r="E24" s="4">
        <v>320</v>
      </c>
      <c r="F24" s="4">
        <v>15000</v>
      </c>
      <c r="G24" s="4">
        <v>33</v>
      </c>
      <c r="H24" s="4">
        <v>6540</v>
      </c>
    </row>
    <row r="25" spans="1:8">
      <c r="A25" s="2" t="s">
        <v>57</v>
      </c>
      <c r="B25" s="2" t="s">
        <v>60</v>
      </c>
      <c r="C25" s="2" t="s">
        <v>61</v>
      </c>
      <c r="D25" s="3">
        <v>41849</v>
      </c>
      <c r="E25" s="4">
        <v>776</v>
      </c>
      <c r="F25" s="4">
        <v>35000</v>
      </c>
      <c r="G25" s="4">
        <v>22</v>
      </c>
      <c r="H25" s="4">
        <v>1294</v>
      </c>
    </row>
    <row r="26" spans="1:8">
      <c r="A26" s="2" t="s">
        <v>47</v>
      </c>
      <c r="B26" s="2" t="s">
        <v>62</v>
      </c>
      <c r="C26" s="2" t="s">
        <v>63</v>
      </c>
      <c r="D26" s="3">
        <v>41927</v>
      </c>
      <c r="E26" s="4">
        <v>480</v>
      </c>
      <c r="F26" s="4">
        <v>23000</v>
      </c>
      <c r="G26" s="4">
        <v>88</v>
      </c>
      <c r="H26" s="4">
        <v>6321</v>
      </c>
    </row>
    <row r="27" spans="1:8">
      <c r="A27" s="2" t="s">
        <v>47</v>
      </c>
      <c r="B27" s="2" t="s">
        <v>64</v>
      </c>
      <c r="C27" s="2" t="s">
        <v>65</v>
      </c>
      <c r="D27" s="3">
        <v>41835</v>
      </c>
      <c r="E27" s="4">
        <v>520</v>
      </c>
      <c r="F27" s="4">
        <v>25000</v>
      </c>
      <c r="G27" s="4">
        <v>99</v>
      </c>
      <c r="H27" s="4">
        <v>3390</v>
      </c>
    </row>
    <row r="28" spans="1:8">
      <c r="A28" s="2" t="s">
        <v>8</v>
      </c>
      <c r="B28" s="2" t="s">
        <v>66</v>
      </c>
      <c r="C28" s="2" t="s">
        <v>32</v>
      </c>
      <c r="D28" s="3">
        <v>42689</v>
      </c>
      <c r="E28" s="4">
        <v>248</v>
      </c>
      <c r="F28" s="4">
        <v>9800</v>
      </c>
      <c r="G28" s="4">
        <v>101</v>
      </c>
      <c r="H28" s="4">
        <v>10698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8"/>
  <sheetViews>
    <sheetView workbookViewId="0">
      <selection sqref="A1:D1"/>
    </sheetView>
  </sheetViews>
  <sheetFormatPr defaultRowHeight="17"/>
  <cols>
    <col min="2" max="4" width="12.75" customWidth="1"/>
  </cols>
  <sheetData>
    <row r="1" spans="1:4" ht="21">
      <c r="A1" s="27" t="s">
        <v>109</v>
      </c>
      <c r="B1" s="27"/>
      <c r="C1" s="27"/>
      <c r="D1" s="27"/>
    </row>
    <row r="3" spans="1:4">
      <c r="A3" s="9" t="s">
        <v>110</v>
      </c>
      <c r="B3" s="9" t="s">
        <v>111</v>
      </c>
      <c r="C3" s="9" t="s">
        <v>112</v>
      </c>
      <c r="D3" s="9" t="s">
        <v>113</v>
      </c>
    </row>
    <row r="4" spans="1:4">
      <c r="A4" s="23" t="s">
        <v>125</v>
      </c>
      <c r="B4" s="19">
        <v>703</v>
      </c>
      <c r="C4" s="19">
        <v>49773145</v>
      </c>
      <c r="D4" s="19">
        <f>C4/B4</f>
        <v>70801.05974395448</v>
      </c>
    </row>
    <row r="5" spans="1:4">
      <c r="A5" s="23" t="s">
        <v>114</v>
      </c>
      <c r="B5" s="19">
        <v>759</v>
      </c>
      <c r="C5" s="19">
        <v>50515666</v>
      </c>
      <c r="D5" s="19">
        <f t="shared" ref="D5:D8" si="0">C5/B5</f>
        <v>66555.554677206848</v>
      </c>
    </row>
    <row r="6" spans="1:4">
      <c r="A6" s="23" t="s">
        <v>122</v>
      </c>
      <c r="B6" s="19">
        <v>786</v>
      </c>
      <c r="C6" s="19">
        <v>50734284</v>
      </c>
      <c r="D6" s="19">
        <f t="shared" si="0"/>
        <v>64547.435114503816</v>
      </c>
    </row>
    <row r="7" spans="1:4">
      <c r="A7" s="23" t="s">
        <v>123</v>
      </c>
      <c r="B7" s="19">
        <v>828</v>
      </c>
      <c r="C7" s="20">
        <v>50948272</v>
      </c>
      <c r="D7" s="19">
        <f t="shared" si="0"/>
        <v>61531.729468599035</v>
      </c>
    </row>
    <row r="8" spans="1:4">
      <c r="A8" s="23" t="s">
        <v>124</v>
      </c>
      <c r="B8" s="19">
        <v>865</v>
      </c>
      <c r="C8" s="20">
        <v>51141463</v>
      </c>
      <c r="D8" s="19">
        <f t="shared" si="0"/>
        <v>59123.078612716759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14"/>
  <sheetViews>
    <sheetView workbookViewId="0"/>
  </sheetViews>
  <sheetFormatPr defaultRowHeight="17"/>
  <cols>
    <col min="1" max="1" width="12.33203125" customWidth="1"/>
    <col min="2" max="2" width="11.5" customWidth="1"/>
    <col min="3" max="6" width="9.83203125" customWidth="1"/>
  </cols>
  <sheetData>
    <row r="1" spans="1:6">
      <c r="A1" t="s">
        <v>86</v>
      </c>
    </row>
    <row r="2" spans="1:6">
      <c r="F2" s="18" t="s">
        <v>87</v>
      </c>
    </row>
    <row r="3" spans="1:6">
      <c r="A3" s="9" t="s">
        <v>88</v>
      </c>
      <c r="B3" s="9" t="s">
        <v>89</v>
      </c>
      <c r="C3" s="23">
        <v>2021</v>
      </c>
      <c r="D3" s="23">
        <v>2022</v>
      </c>
      <c r="E3" s="23">
        <v>2023</v>
      </c>
      <c r="F3" s="23">
        <v>2024</v>
      </c>
    </row>
    <row r="4" spans="1:6">
      <c r="A4" s="9" t="s">
        <v>90</v>
      </c>
      <c r="B4" s="9" t="s">
        <v>91</v>
      </c>
      <c r="C4" s="22">
        <v>19</v>
      </c>
      <c r="D4" s="22">
        <v>24</v>
      </c>
      <c r="E4" s="22" t="s">
        <v>121</v>
      </c>
      <c r="F4" s="22">
        <v>23</v>
      </c>
    </row>
    <row r="5" spans="1:6">
      <c r="A5" s="9" t="s">
        <v>92</v>
      </c>
      <c r="B5" s="9" t="s">
        <v>93</v>
      </c>
      <c r="C5" s="22">
        <v>43</v>
      </c>
      <c r="D5" s="22">
        <v>52</v>
      </c>
      <c r="E5" s="22">
        <v>75</v>
      </c>
      <c r="F5" s="22">
        <v>105</v>
      </c>
    </row>
    <row r="6" spans="1:6">
      <c r="A6" s="9" t="s">
        <v>94</v>
      </c>
      <c r="B6" s="9" t="s">
        <v>95</v>
      </c>
      <c r="C6" s="22">
        <v>37</v>
      </c>
      <c r="D6" s="22">
        <v>44</v>
      </c>
      <c r="E6" s="22">
        <v>43</v>
      </c>
      <c r="F6" s="22">
        <v>47</v>
      </c>
    </row>
    <row r="7" spans="1:6">
      <c r="A7" s="9" t="s">
        <v>90</v>
      </c>
      <c r="B7" s="9" t="s">
        <v>96</v>
      </c>
      <c r="C7" s="22">
        <v>105</v>
      </c>
      <c r="D7" s="22">
        <v>110</v>
      </c>
      <c r="E7" s="22">
        <v>121</v>
      </c>
      <c r="F7" s="22">
        <v>102</v>
      </c>
    </row>
    <row r="8" spans="1:6">
      <c r="A8" s="9" t="s">
        <v>94</v>
      </c>
      <c r="B8" s="9" t="s">
        <v>97</v>
      </c>
      <c r="C8" s="22">
        <v>38</v>
      </c>
      <c r="D8" s="22">
        <v>35</v>
      </c>
      <c r="E8" s="22">
        <v>41</v>
      </c>
      <c r="F8" s="22">
        <v>38</v>
      </c>
    </row>
    <row r="9" spans="1:6">
      <c r="A9" s="9" t="s">
        <v>98</v>
      </c>
      <c r="B9" s="9" t="s">
        <v>99</v>
      </c>
      <c r="C9" s="22">
        <v>5</v>
      </c>
      <c r="D9" s="22">
        <v>9</v>
      </c>
      <c r="E9" s="22">
        <v>12</v>
      </c>
      <c r="F9" s="22">
        <v>12</v>
      </c>
    </row>
    <row r="10" spans="1:6">
      <c r="A10" s="9" t="s">
        <v>100</v>
      </c>
      <c r="B10" s="9" t="s">
        <v>101</v>
      </c>
      <c r="C10" s="22">
        <v>25</v>
      </c>
      <c r="D10" s="22">
        <v>31</v>
      </c>
      <c r="E10" s="22">
        <v>32</v>
      </c>
      <c r="F10" s="22">
        <v>35</v>
      </c>
    </row>
    <row r="11" spans="1:6">
      <c r="A11" s="9" t="s">
        <v>102</v>
      </c>
      <c r="B11" s="9" t="s">
        <v>103</v>
      </c>
      <c r="C11" s="22">
        <v>24</v>
      </c>
      <c r="D11" s="22" t="s">
        <v>121</v>
      </c>
      <c r="E11" s="22">
        <v>27</v>
      </c>
      <c r="F11" s="22">
        <v>29</v>
      </c>
    </row>
    <row r="12" spans="1:6">
      <c r="A12" s="9" t="s">
        <v>104</v>
      </c>
      <c r="B12" s="9" t="s">
        <v>105</v>
      </c>
      <c r="C12" s="22" t="s">
        <v>121</v>
      </c>
      <c r="D12" s="22">
        <v>15</v>
      </c>
      <c r="E12" s="22">
        <v>16</v>
      </c>
      <c r="F12" s="22">
        <v>18</v>
      </c>
    </row>
    <row r="13" spans="1:6">
      <c r="A13" s="9" t="s">
        <v>92</v>
      </c>
      <c r="B13" s="9" t="s">
        <v>106</v>
      </c>
      <c r="C13" s="22">
        <v>47</v>
      </c>
      <c r="D13" s="22">
        <v>45</v>
      </c>
      <c r="E13" s="22">
        <v>41</v>
      </c>
      <c r="F13" s="22">
        <v>42</v>
      </c>
    </row>
    <row r="14" spans="1:6">
      <c r="A14" s="9" t="s">
        <v>107</v>
      </c>
      <c r="B14" s="9" t="s">
        <v>108</v>
      </c>
      <c r="C14" s="22">
        <v>52</v>
      </c>
      <c r="D14" s="22">
        <v>45</v>
      </c>
      <c r="E14" s="22">
        <v>43</v>
      </c>
      <c r="F14" s="22">
        <v>46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I21"/>
  <sheetViews>
    <sheetView workbookViewId="0"/>
  </sheetViews>
  <sheetFormatPr defaultRowHeight="17"/>
  <cols>
    <col min="1" max="1" width="19.25" customWidth="1"/>
    <col min="2" max="2" width="18.25" customWidth="1"/>
    <col min="4" max="4" width="12.1640625" customWidth="1"/>
    <col min="5" max="5" width="10.6640625" customWidth="1"/>
    <col min="6" max="6" width="10" customWidth="1"/>
    <col min="9" max="9" width="17.1640625" bestFit="1" customWidth="1"/>
  </cols>
  <sheetData>
    <row r="2" spans="1:9">
      <c r="A2" t="s">
        <v>120</v>
      </c>
    </row>
    <row r="4" spans="1:9">
      <c r="A4" s="9" t="s">
        <v>69</v>
      </c>
      <c r="B4" s="9" t="s">
        <v>115</v>
      </c>
      <c r="C4" s="9" t="s">
        <v>116</v>
      </c>
      <c r="D4" s="9" t="s">
        <v>117</v>
      </c>
      <c r="E4" s="9" t="s">
        <v>118</v>
      </c>
      <c r="F4" s="9" t="s">
        <v>119</v>
      </c>
      <c r="I4" s="11" t="s">
        <v>69</v>
      </c>
    </row>
    <row r="5" spans="1:9">
      <c r="A5" s="21"/>
      <c r="B5" s="21"/>
      <c r="C5" s="21"/>
      <c r="D5" s="21"/>
      <c r="E5" s="21"/>
      <c r="F5" s="21"/>
      <c r="I5" s="2" t="s">
        <v>8</v>
      </c>
    </row>
    <row r="6" spans="1:9">
      <c r="A6" s="21"/>
      <c r="B6" s="21"/>
      <c r="C6" s="21"/>
      <c r="D6" s="21"/>
      <c r="E6" s="21"/>
      <c r="F6" s="21"/>
      <c r="I6" s="2" t="s">
        <v>17</v>
      </c>
    </row>
    <row r="7" spans="1:9">
      <c r="A7" s="21"/>
      <c r="B7" s="21"/>
      <c r="C7" s="21"/>
      <c r="D7" s="21"/>
      <c r="E7" s="21"/>
      <c r="F7" s="21"/>
      <c r="I7" s="2" t="s">
        <v>33</v>
      </c>
    </row>
    <row r="8" spans="1:9">
      <c r="A8" s="21"/>
      <c r="B8" s="21"/>
      <c r="C8" s="21"/>
      <c r="D8" s="21"/>
      <c r="E8" s="21"/>
      <c r="F8" s="21"/>
      <c r="I8" s="2" t="s">
        <v>40</v>
      </c>
    </row>
    <row r="9" spans="1:9">
      <c r="A9" s="21"/>
      <c r="B9" s="21"/>
      <c r="C9" s="21"/>
      <c r="D9" s="21"/>
      <c r="E9" s="21"/>
      <c r="F9" s="21"/>
      <c r="I9" s="2" t="s">
        <v>47</v>
      </c>
    </row>
    <row r="10" spans="1:9">
      <c r="A10" s="21"/>
      <c r="B10" s="21"/>
      <c r="C10" s="21"/>
      <c r="D10" s="21"/>
      <c r="E10" s="21"/>
      <c r="F10" s="21"/>
      <c r="I10" s="2" t="s">
        <v>52</v>
      </c>
    </row>
    <row r="11" spans="1:9">
      <c r="A11" s="21"/>
      <c r="B11" s="21"/>
      <c r="C11" s="21"/>
      <c r="D11" s="21"/>
      <c r="E11" s="21"/>
      <c r="F11" s="21"/>
      <c r="I11" s="2" t="s">
        <v>57</v>
      </c>
    </row>
    <row r="12" spans="1:9">
      <c r="A12" s="21"/>
      <c r="B12" s="21"/>
      <c r="C12" s="21"/>
      <c r="D12" s="21"/>
      <c r="E12" s="21"/>
      <c r="F12" s="21"/>
    </row>
    <row r="13" spans="1:9">
      <c r="A13" s="21"/>
      <c r="B13" s="21"/>
      <c r="C13" s="21"/>
      <c r="D13" s="21"/>
      <c r="E13" s="21"/>
      <c r="F13" s="21"/>
    </row>
    <row r="14" spans="1:9">
      <c r="A14" s="21"/>
      <c r="B14" s="21"/>
      <c r="C14" s="21"/>
      <c r="D14" s="21"/>
      <c r="E14" s="21"/>
      <c r="F14" s="21"/>
    </row>
    <row r="15" spans="1:9">
      <c r="A15" s="21"/>
      <c r="B15" s="21"/>
      <c r="C15" s="21"/>
      <c r="D15" s="21"/>
      <c r="E15" s="21"/>
      <c r="F15" s="21"/>
    </row>
    <row r="16" spans="1:9">
      <c r="A16" s="21"/>
      <c r="B16" s="21"/>
      <c r="C16" s="21"/>
      <c r="D16" s="21"/>
      <c r="E16" s="21"/>
      <c r="F16" s="21"/>
    </row>
    <row r="17" spans="1:6">
      <c r="A17" s="21"/>
      <c r="B17" s="21"/>
      <c r="C17" s="21"/>
      <c r="D17" s="21"/>
      <c r="E17" s="21"/>
      <c r="F17" s="21"/>
    </row>
    <row r="18" spans="1:6">
      <c r="A18" s="21"/>
      <c r="B18" s="21"/>
      <c r="C18" s="21"/>
      <c r="D18" s="21"/>
      <c r="E18" s="21"/>
      <c r="F18" s="21"/>
    </row>
    <row r="19" spans="1:6">
      <c r="A19" s="21"/>
      <c r="B19" s="21"/>
      <c r="C19" s="21"/>
      <c r="D19" s="21"/>
      <c r="E19" s="21"/>
      <c r="F19" s="21"/>
    </row>
    <row r="20" spans="1:6">
      <c r="A20" s="21"/>
      <c r="B20" s="21"/>
      <c r="C20" s="21"/>
      <c r="D20" s="21"/>
      <c r="E20" s="21"/>
      <c r="F20" s="21"/>
    </row>
    <row r="21" spans="1:6">
      <c r="A21" s="21"/>
      <c r="B21" s="21"/>
      <c r="C21" s="21"/>
      <c r="D21" s="21"/>
      <c r="E21" s="21"/>
      <c r="F21" s="2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도서등록">
          <controlPr defaultSize="0" autoLine="0" autoPict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127000</xdr:rowOff>
              </to>
            </anchor>
          </controlPr>
        </control>
      </mc:Choice>
      <mc:Fallback>
        <control shapeId="7169" r:id="rId3" name="cmd도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2021-01-18T07:08:34Z</cp:lastPrinted>
  <dcterms:created xsi:type="dcterms:W3CDTF">2020-04-07T06:00:22Z</dcterms:created>
  <dcterms:modified xsi:type="dcterms:W3CDTF">2023-05-19T12:28:01Z</dcterms:modified>
</cp:coreProperties>
</file>