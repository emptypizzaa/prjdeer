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1버전1급\3권(상시시험)\새로운기출2회분\스프레드시트\"/>
    </mc:Choice>
  </mc:AlternateContent>
  <xr:revisionPtr revIDLastSave="0" documentId="13_ncr:1_{D79E6C62-3C59-4AFD-B99B-27C02C77DE6A}" xr6:coauthVersionLast="47" xr6:coauthVersionMax="47" xr10:uidLastSave="{00000000-0000-0000-0000-000000000000}"/>
  <bookViews>
    <workbookView xWindow="2530" yWindow="10" windowWidth="15130" windowHeight="19710" tabRatio="912" xr2:uid="{00000000-000D-0000-FFFF-FFFF00000000}"/>
  </bookViews>
  <sheets>
    <sheet name="기본작업-1" sheetId="1" r:id="rId1"/>
    <sheet name="기본작업-2" sheetId="10" r:id="rId2"/>
    <sheet name="계산작업" sheetId="11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2" hidden="1">계산작업!$B$2:$B$24</definedName>
    <definedName name="_xlnm.Extract" localSheetId="2">계산작업!#REF!</definedName>
    <definedName name="_xlnm.Print_Area" localSheetId="1">'기본작업-2'!$A$1:$K$30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1" l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</calcChain>
</file>

<file path=xl/sharedStrings.xml><?xml version="1.0" encoding="utf-8"?>
<sst xmlns="http://schemas.openxmlformats.org/spreadsheetml/2006/main" count="384" uniqueCount="220">
  <si>
    <t>[표1]</t>
    <phoneticPr fontId="1" type="noConversion"/>
  </si>
  <si>
    <t>이름</t>
    <phoneticPr fontId="1" type="noConversion"/>
  </si>
  <si>
    <t>주문일</t>
    <phoneticPr fontId="1" type="noConversion"/>
  </si>
  <si>
    <t>할부기간</t>
    <phoneticPr fontId="1" type="noConversion"/>
  </si>
  <si>
    <t>주문수량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</si>
  <si>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</si>
  <si>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</si>
  <si>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</si>
  <si>
    <t>상품주문현황</t>
    <phoneticPr fontId="1" type="noConversion"/>
  </si>
  <si>
    <t>결제방법</t>
    <phoneticPr fontId="1" type="noConversion"/>
  </si>
  <si>
    <t>일반편입</t>
    <phoneticPr fontId="1" type="noConversion"/>
  </si>
  <si>
    <t>학사편입</t>
    <phoneticPr fontId="1" type="noConversion"/>
  </si>
  <si>
    <t>연세대학교</t>
    <phoneticPr fontId="1" type="noConversion"/>
  </si>
  <si>
    <t>고려대학교</t>
    <phoneticPr fontId="1" type="noConversion"/>
  </si>
  <si>
    <t>서강대학교</t>
    <phoneticPr fontId="1" type="noConversion"/>
  </si>
  <si>
    <t>성균관대학교</t>
    <phoneticPr fontId="1" type="noConversion"/>
  </si>
  <si>
    <t>한양대학교</t>
    <phoneticPr fontId="1" type="noConversion"/>
  </si>
  <si>
    <t>중앙대학교</t>
    <phoneticPr fontId="1" type="noConversion"/>
  </si>
  <si>
    <t>경희대학교</t>
    <phoneticPr fontId="1" type="noConversion"/>
  </si>
  <si>
    <t>외국어대학교</t>
    <phoneticPr fontId="1" type="noConversion"/>
  </si>
  <si>
    <t>서울시립대학교</t>
    <phoneticPr fontId="1" type="noConversion"/>
  </si>
  <si>
    <t>※</t>
    <phoneticPr fontId="1" type="noConversion"/>
  </si>
  <si>
    <t>[표1] 학교별 편입 증감</t>
    <phoneticPr fontId="1" type="noConversion"/>
  </si>
  <si>
    <t>학교명</t>
    <phoneticPr fontId="1" type="noConversion"/>
  </si>
  <si>
    <t>행정구역별</t>
  </si>
  <si>
    <t>영재학급</t>
  </si>
  <si>
    <t>서울</t>
  </si>
  <si>
    <t>인천</t>
  </si>
  <si>
    <t>경기</t>
  </si>
  <si>
    <t>강원</t>
  </si>
  <si>
    <t>충북</t>
  </si>
  <si>
    <t>충남</t>
  </si>
  <si>
    <t>전북</t>
  </si>
  <si>
    <t>전남</t>
  </si>
  <si>
    <t>경북</t>
  </si>
  <si>
    <t>경남</t>
  </si>
  <si>
    <t>제주</t>
  </si>
  <si>
    <t>교육청</t>
    <phoneticPr fontId="1" type="noConversion"/>
  </si>
  <si>
    <t>대학영재</t>
    <phoneticPr fontId="1" type="noConversion"/>
  </si>
  <si>
    <t>영재·과학고</t>
    <phoneticPr fontId="1" type="noConversion"/>
  </si>
  <si>
    <t>시도별/기관유형별 영재교육기관수</t>
    <phoneticPr fontId="1" type="noConversion"/>
  </si>
  <si>
    <t>[표1]</t>
    <phoneticPr fontId="4" type="noConversion"/>
  </si>
  <si>
    <t>앨범코드</t>
  </si>
  <si>
    <t>장르</t>
  </si>
  <si>
    <t>아티스트</t>
  </si>
  <si>
    <t>곡명</t>
  </si>
  <si>
    <t>판매액</t>
  </si>
  <si>
    <t>C0087</t>
  </si>
  <si>
    <t>클래식</t>
  </si>
  <si>
    <t>Various Artists</t>
  </si>
  <si>
    <t>모짜르트 소나타 1번 1악장</t>
  </si>
  <si>
    <t>C1087</t>
  </si>
  <si>
    <t>요한 슈트라우스 2세: 봄의 소리 왈츠</t>
  </si>
  <si>
    <t>K0077</t>
  </si>
  <si>
    <t>가요</t>
  </si>
  <si>
    <t>K0124</t>
  </si>
  <si>
    <t>K0562</t>
  </si>
  <si>
    <t>K3523</t>
  </si>
  <si>
    <t>K3765</t>
  </si>
  <si>
    <t>P0025</t>
  </si>
  <si>
    <t>POP</t>
  </si>
  <si>
    <t>Astrud Gilberto</t>
  </si>
  <si>
    <t>The Shadow of Your Smile</t>
  </si>
  <si>
    <t>P0065</t>
  </si>
  <si>
    <t>Donna Summer</t>
  </si>
  <si>
    <t>She Works Hard for the Money</t>
  </si>
  <si>
    <t>P6523</t>
  </si>
  <si>
    <t>Pink</t>
  </si>
  <si>
    <t>Stupid Girl</t>
  </si>
  <si>
    <t>K0324</t>
  </si>
  <si>
    <t>최호섭</t>
  </si>
  <si>
    <t>세월이 가면</t>
  </si>
  <si>
    <t>K1023</t>
  </si>
  <si>
    <t>K2041</t>
  </si>
  <si>
    <t>김동률</t>
  </si>
  <si>
    <t>오래된 노래</t>
  </si>
  <si>
    <t>P1039</t>
  </si>
  <si>
    <t>Paul Potts</t>
  </si>
  <si>
    <t>Nessun Dorma</t>
  </si>
  <si>
    <t>Caruso</t>
  </si>
  <si>
    <t>O0231</t>
  </si>
  <si>
    <t>OST</t>
  </si>
  <si>
    <t>O0142</t>
  </si>
  <si>
    <t>O1520</t>
  </si>
  <si>
    <t>C0532</t>
  </si>
  <si>
    <t>조슈아 벨</t>
  </si>
  <si>
    <t>슈베르트-세레나데</t>
  </si>
  <si>
    <t>푸치니-나의 사랑하는 아버지</t>
  </si>
  <si>
    <t>K4023</t>
  </si>
  <si>
    <t>K0105</t>
  </si>
  <si>
    <t>임영웅</t>
    <phoneticPr fontId="1" type="noConversion"/>
  </si>
  <si>
    <t>사랑은 늘 도망가</t>
    <phoneticPr fontId="1" type="noConversion"/>
  </si>
  <si>
    <t>우리들의 블루스</t>
    <phoneticPr fontId="1" type="noConversion"/>
  </si>
  <si>
    <t>윤하</t>
    <phoneticPr fontId="1" type="noConversion"/>
  </si>
  <si>
    <t>사건의 지평선</t>
    <phoneticPr fontId="1" type="noConversion"/>
  </si>
  <si>
    <t>다시 만날 수 있을까</t>
    <phoneticPr fontId="1" type="noConversion"/>
  </si>
  <si>
    <t>성시경</t>
    <phoneticPr fontId="1" type="noConversion"/>
  </si>
  <si>
    <t>너의 모든 순간</t>
    <phoneticPr fontId="1" type="noConversion"/>
  </si>
  <si>
    <t>태양</t>
    <phoneticPr fontId="1" type="noConversion"/>
  </si>
  <si>
    <t>VIBE</t>
    <phoneticPr fontId="1" type="noConversion"/>
  </si>
  <si>
    <t>무지개</t>
    <phoneticPr fontId="1" type="noConversion"/>
  </si>
  <si>
    <t>방탄소년단</t>
    <phoneticPr fontId="1" type="noConversion"/>
  </si>
  <si>
    <t>봄날</t>
    <phoneticPr fontId="1" type="noConversion"/>
  </si>
  <si>
    <t>폴킴</t>
    <phoneticPr fontId="1" type="noConversion"/>
  </si>
  <si>
    <t>모든 날, 모든 순간</t>
    <phoneticPr fontId="1" type="noConversion"/>
  </si>
  <si>
    <t>이제 나만 믿어요</t>
    <phoneticPr fontId="1" type="noConversion"/>
  </si>
  <si>
    <t>WSG워너비</t>
    <phoneticPr fontId="1" type="noConversion"/>
  </si>
  <si>
    <t>그때 그 순간 그대로</t>
    <phoneticPr fontId="1" type="noConversion"/>
  </si>
  <si>
    <t>서동현</t>
    <phoneticPr fontId="1" type="noConversion"/>
  </si>
  <si>
    <t>정이라고 하자</t>
    <phoneticPr fontId="1" type="noConversion"/>
  </si>
  <si>
    <t>송민경</t>
    <phoneticPr fontId="1" type="noConversion"/>
  </si>
  <si>
    <t>You are my everything</t>
    <phoneticPr fontId="1" type="noConversion"/>
  </si>
  <si>
    <t>연번</t>
  </si>
  <si>
    <t>교과과목명</t>
    <phoneticPr fontId="4" type="noConversion"/>
  </si>
  <si>
    <t>수강생코드</t>
  </si>
  <si>
    <t>3월</t>
  </si>
  <si>
    <t>4월</t>
  </si>
  <si>
    <t>5월</t>
  </si>
  <si>
    <t>6월</t>
  </si>
  <si>
    <t>합계</t>
  </si>
  <si>
    <t>평균</t>
  </si>
  <si>
    <t>평점환산</t>
  </si>
  <si>
    <t>결석</t>
  </si>
  <si>
    <t>데이터분석</t>
  </si>
  <si>
    <t>2025E-04-09</t>
  </si>
  <si>
    <t>고급알고리즘</t>
  </si>
  <si>
    <t>2026E-03-06</t>
  </si>
  <si>
    <t>2025E-03-12</t>
  </si>
  <si>
    <t>인지과학</t>
  </si>
  <si>
    <t>2024E-03-12</t>
  </si>
  <si>
    <t>이산신호처리</t>
  </si>
  <si>
    <t>2025E-03-07</t>
  </si>
  <si>
    <t>2025E-03-08</t>
  </si>
  <si>
    <t>2026E-03-09</t>
  </si>
  <si>
    <t>2024E-03-10</t>
  </si>
  <si>
    <t>에너지융합</t>
  </si>
  <si>
    <t>2027E-04-10</t>
  </si>
  <si>
    <t>2024E-04-11</t>
  </si>
  <si>
    <t>2025E-04-12</t>
  </si>
  <si>
    <t>2024E-04-13</t>
  </si>
  <si>
    <t>시스템보안</t>
  </si>
  <si>
    <t>2025E-04-02</t>
  </si>
  <si>
    <t>2026E-04-03</t>
  </si>
  <si>
    <t>2025E-04-04</t>
  </si>
  <si>
    <t>2024E-04-05</t>
  </si>
  <si>
    <t>2024E-04-06</t>
  </si>
  <si>
    <t>2027E-04-07</t>
  </si>
  <si>
    <t>2025E-04-08</t>
  </si>
  <si>
    <t>2026E-05-01</t>
  </si>
  <si>
    <t>2025E-05-02</t>
  </si>
  <si>
    <t>2026E-05-03</t>
  </si>
  <si>
    <t>2024E-05-04</t>
  </si>
  <si>
    <t>2027E-05-05</t>
  </si>
  <si>
    <t>2026E-03-12</t>
  </si>
  <si>
    <t>2026E-03-01</t>
  </si>
  <si>
    <t>2025E-03-02</t>
  </si>
  <si>
    <t>2025E-03-03</t>
  </si>
  <si>
    <t>2026E-03-04</t>
  </si>
  <si>
    <t>2027E-03-05</t>
  </si>
  <si>
    <t>2026E-03-11</t>
  </si>
  <si>
    <t>기준날짜</t>
    <phoneticPr fontId="1" type="noConversion"/>
  </si>
  <si>
    <t>지점</t>
    <phoneticPr fontId="1" type="noConversion"/>
  </si>
  <si>
    <t>입사일자</t>
    <phoneticPr fontId="1" type="noConversion"/>
  </si>
  <si>
    <t>대출금액</t>
    <phoneticPr fontId="1" type="noConversion"/>
  </si>
  <si>
    <t>대출기간</t>
    <phoneticPr fontId="1" type="noConversion"/>
  </si>
  <si>
    <t>연이율</t>
    <phoneticPr fontId="1" type="noConversion"/>
  </si>
  <si>
    <t>대출심사</t>
    <phoneticPr fontId="1" type="noConversion"/>
  </si>
  <si>
    <t>가계부담정도</t>
    <phoneticPr fontId="1" type="noConversion"/>
  </si>
  <si>
    <t>비고</t>
    <phoneticPr fontId="1" type="noConversion"/>
  </si>
  <si>
    <t>고찬희</t>
    <phoneticPr fontId="1" type="noConversion"/>
  </si>
  <si>
    <t>SE-01</t>
    <phoneticPr fontId="1" type="noConversion"/>
  </si>
  <si>
    <t>주선희</t>
    <phoneticPr fontId="1" type="noConversion"/>
  </si>
  <si>
    <t>IN-02</t>
  </si>
  <si>
    <t>박명자</t>
    <phoneticPr fontId="1" type="noConversion"/>
  </si>
  <si>
    <t>GY-02</t>
  </si>
  <si>
    <t>나은명</t>
    <phoneticPr fontId="1" type="noConversion"/>
  </si>
  <si>
    <t>SE-02</t>
  </si>
  <si>
    <t>강감찬</t>
    <phoneticPr fontId="1" type="noConversion"/>
  </si>
  <si>
    <t>김나비</t>
    <phoneticPr fontId="1" type="noConversion"/>
  </si>
  <si>
    <t>IN-01</t>
  </si>
  <si>
    <t>김윤선</t>
    <phoneticPr fontId="1" type="noConversion"/>
  </si>
  <si>
    <t>GY-01</t>
  </si>
  <si>
    <t>김정식</t>
    <phoneticPr fontId="1" type="noConversion"/>
  </si>
  <si>
    <t>마소희</t>
    <phoneticPr fontId="1" type="noConversion"/>
  </si>
  <si>
    <t>방정환</t>
    <phoneticPr fontId="1" type="noConversion"/>
  </si>
  <si>
    <t>배기성</t>
    <phoneticPr fontId="1" type="noConversion"/>
  </si>
  <si>
    <t>아유라</t>
    <phoneticPr fontId="1" type="noConversion"/>
  </si>
  <si>
    <t>GY-02</t>
    <phoneticPr fontId="1" type="noConversion"/>
  </si>
  <si>
    <t>엄화정</t>
    <phoneticPr fontId="1" type="noConversion"/>
  </si>
  <si>
    <t>왕연</t>
    <phoneticPr fontId="1" type="noConversion"/>
  </si>
  <si>
    <t>우희진</t>
    <phoneticPr fontId="1" type="noConversion"/>
  </si>
  <si>
    <t>유강현</t>
    <phoneticPr fontId="1" type="noConversion"/>
  </si>
  <si>
    <t>이기자</t>
    <phoneticPr fontId="1" type="noConversion"/>
  </si>
  <si>
    <t>이순신</t>
    <phoneticPr fontId="1" type="noConversion"/>
  </si>
  <si>
    <t>조용히</t>
    <phoneticPr fontId="1" type="noConversion"/>
  </si>
  <si>
    <t>최민영</t>
    <phoneticPr fontId="1" type="noConversion"/>
  </si>
  <si>
    <t>최민정</t>
    <phoneticPr fontId="1" type="noConversion"/>
  </si>
  <si>
    <t>홍난수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</si>
  <si>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</si>
  <si>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</si>
  <si>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</si>
  <si>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지점코드</t>
    <phoneticPr fontId="1" type="noConversion"/>
  </si>
  <si>
    <t>상위1~3 합계</t>
    <phoneticPr fontId="1" type="noConversion"/>
  </si>
  <si>
    <t>낮은 이율 순위</t>
    <phoneticPr fontId="1" type="noConversion"/>
  </si>
  <si>
    <t>월상환액</t>
    <phoneticPr fontId="1" type="noConversion"/>
  </si>
  <si>
    <t>가계부담</t>
    <phoneticPr fontId="1" type="noConversion"/>
  </si>
  <si>
    <t>SE</t>
    <phoneticPr fontId="1" type="noConversion"/>
  </si>
  <si>
    <t>서울</t>
    <phoneticPr fontId="1" type="noConversion"/>
  </si>
  <si>
    <t>GY-01</t>
    <phoneticPr fontId="1" type="noConversion"/>
  </si>
  <si>
    <t>낮음</t>
    <phoneticPr fontId="1" type="noConversion"/>
  </si>
  <si>
    <t>IN</t>
    <phoneticPr fontId="1" type="noConversion"/>
  </si>
  <si>
    <t>인천</t>
    <phoneticPr fontId="1" type="noConversion"/>
  </si>
  <si>
    <t>보통</t>
    <phoneticPr fontId="1" type="noConversion"/>
  </si>
  <si>
    <t>GY</t>
    <phoneticPr fontId="1" type="noConversion"/>
  </si>
  <si>
    <t>경기</t>
    <phoneticPr fontId="1" type="noConversion"/>
  </si>
  <si>
    <t>IN-01</t>
    <phoneticPr fontId="1" type="noConversion"/>
  </si>
  <si>
    <t>높음</t>
    <phoneticPr fontId="1" type="noConversion"/>
  </si>
  <si>
    <t>IN-02</t>
    <phoneticPr fontId="1" type="noConversion"/>
  </si>
  <si>
    <t>아주높음</t>
    <phoneticPr fontId="1" type="noConversion"/>
  </si>
  <si>
    <t>SE-02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</si>
</sst>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41" fontId="5" fillId="0" borderId="1" xfId="1" applyFont="1" applyFill="1" applyBorder="1" applyAlignment="1" applyProtection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0" fontId="5" fillId="0" borderId="3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right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1" xfId="0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7" fillId="0" borderId="1" xfId="1" applyFont="1" applyBorder="1">
      <alignment vertical="center"/>
    </xf>
    <xf numFmtId="176" fontId="0" fillId="0" borderId="1" xfId="2" applyNumberFormat="1" applyFon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'기타작업-1'!$B$4:$E$4</c:f>
              <c:numCache>
                <c:formatCode>#,##0</c:formatCode>
                <c:ptCount val="4"/>
                <c:pt idx="0">
                  <c:v>3</c:v>
                </c:pt>
                <c:pt idx="1">
                  <c:v>26</c:v>
                </c:pt>
                <c:pt idx="2">
                  <c:v>20</c:v>
                </c:pt>
                <c:pt idx="3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3-4DE1-AF32-62BDB21D7CDB}"/>
            </c:ext>
          </c:extLst>
        </c:ser>
        <c:ser>
          <c:idx val="1"/>
          <c:order val="1"/>
          <c:tx>
            <c:strRef>
              <c:f>'기타작업-1'!$A$5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'기타작업-1'!$B$5:$E$5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9</c:v>
                </c:pt>
                <c:pt idx="3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3-4DE1-AF32-62BDB21D7CDB}"/>
            </c:ext>
          </c:extLst>
        </c:ser>
        <c:ser>
          <c:idx val="2"/>
          <c:order val="2"/>
          <c:tx>
            <c:strRef>
              <c:f>'기타작업-1'!$A$6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'기타작업-1'!$B$6:$E$6</c:f>
              <c:numCache>
                <c:formatCode>#,##0</c:formatCode>
                <c:ptCount val="4"/>
                <c:pt idx="0">
                  <c:v>3</c:v>
                </c:pt>
                <c:pt idx="1">
                  <c:v>12</c:v>
                </c:pt>
                <c:pt idx="2">
                  <c:v>4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DE1-AF32-62BDB21D7CDB}"/>
            </c:ext>
          </c:extLst>
        </c:ser>
        <c:ser>
          <c:idx val="3"/>
          <c:order val="3"/>
          <c:tx>
            <c:strRef>
              <c:f>'기타작업-1'!$A$7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'기타작업-1'!$B$7:$E$7</c:f>
              <c:numCache>
                <c:formatCode>#,##0</c:formatCode>
                <c:ptCount val="4"/>
                <c:pt idx="0">
                  <c:v>1</c:v>
                </c:pt>
                <c:pt idx="1">
                  <c:v>18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7-452B-A4A6-BBE30229F7A3}"/>
            </c:ext>
          </c:extLst>
        </c:ser>
        <c:ser>
          <c:idx val="4"/>
          <c:order val="4"/>
          <c:tx>
            <c:strRef>
              <c:f>'기타작업-1'!$A$8</c:f>
              <c:strCache>
                <c:ptCount val="1"/>
                <c:pt idx="0">
                  <c:v>충북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'기타작업-1'!$B$8:$E$8</c:f>
              <c:numCache>
                <c:formatCode>#,##0</c:formatCode>
                <c:ptCount val="4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97-452B-A4A6-BBE30229F7A3}"/>
            </c:ext>
          </c:extLst>
        </c:ser>
        <c:ser>
          <c:idx val="5"/>
          <c:order val="5"/>
          <c:tx>
            <c:strRef>
              <c:f>'기타작업-1'!$A$9</c:f>
              <c:strCache>
                <c:ptCount val="1"/>
                <c:pt idx="0">
                  <c:v>충남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'기타작업-1'!$B$9:$E$9</c:f>
              <c:numCache>
                <c:formatCode>#,##0</c:formatCode>
                <c:ptCount val="4"/>
                <c:pt idx="0">
                  <c:v>1</c:v>
                </c:pt>
                <c:pt idx="1">
                  <c:v>17</c:v>
                </c:pt>
                <c:pt idx="2">
                  <c:v>3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97-452B-A4A6-BBE30229F7A3}"/>
            </c:ext>
          </c:extLst>
        </c:ser>
        <c:ser>
          <c:idx val="6"/>
          <c:order val="6"/>
          <c:tx>
            <c:strRef>
              <c:f>'기타작업-1'!$A$10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'기타작업-1'!$B$10:$E$10</c:f>
              <c:numCache>
                <c:formatCode>#,##0</c:formatCode>
                <c:ptCount val="4"/>
                <c:pt idx="0">
                  <c:v>1</c:v>
                </c:pt>
                <c:pt idx="1">
                  <c:v>20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97-452B-A4A6-BBE30229F7A3}"/>
            </c:ext>
          </c:extLst>
        </c:ser>
        <c:ser>
          <c:idx val="7"/>
          <c:order val="7"/>
          <c:tx>
            <c:strRef>
              <c:f>'기타작업-1'!$A$11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'기타작업-1'!$B$11:$E$11</c:f>
              <c:numCache>
                <c:formatCode>#,##0</c:formatCode>
                <c:ptCount val="4"/>
                <c:pt idx="0">
                  <c:v>1</c:v>
                </c:pt>
                <c:pt idx="1">
                  <c:v>23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97-452B-A4A6-BBE30229F7A3}"/>
            </c:ext>
          </c:extLst>
        </c:ser>
        <c:ser>
          <c:idx val="8"/>
          <c:order val="8"/>
          <c:tx>
            <c:strRef>
              <c:f>'기타작업-1'!$A$12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'기타작업-1'!$B$12:$E$12</c:f>
              <c:numCache>
                <c:formatCode>#,##0</c:formatCode>
                <c:ptCount val="4"/>
                <c:pt idx="0">
                  <c:v>2</c:v>
                </c:pt>
                <c:pt idx="1">
                  <c:v>28</c:v>
                </c:pt>
                <c:pt idx="2">
                  <c:v>8</c:v>
                </c:pt>
                <c:pt idx="3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97-452B-A4A6-BBE30229F7A3}"/>
            </c:ext>
          </c:extLst>
        </c:ser>
        <c:ser>
          <c:idx val="9"/>
          <c:order val="9"/>
          <c:tx>
            <c:strRef>
              <c:f>'기타작업-1'!$A$13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'기타작업-1'!$B$13:$E$13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5</c:v>
                </c:pt>
                <c:pt idx="3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97-452B-A4A6-BBE30229F7A3}"/>
            </c:ext>
          </c:extLst>
        </c:ser>
        <c:ser>
          <c:idx val="10"/>
          <c:order val="10"/>
          <c:tx>
            <c:strRef>
              <c:f>'기타작업-1'!$A$14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'기타작업-1'!$B$14:$E$14</c:f>
              <c:numCache>
                <c:formatCode>#,##0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97-452B-A4A6-BBE30229F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 val="autoZero"/>
        <c:auto val="1"/>
        <c:lblAlgn val="ctr"/>
        <c:lblOffset val="100"/>
        <c:noMultiLvlLbl val="0"/>
      </c:catAx>
      <c:valAx>
        <c:axId val="13563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10</xdr:col>
      <xdr:colOff>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85F7200F-F062-4CEC-8297-8EC4F5091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0</xdr:row>
          <xdr:rowOff>31750</xdr:rowOff>
        </xdr:from>
        <xdr:to>
          <xdr:col>6</xdr:col>
          <xdr:colOff>412750</xdr:colOff>
          <xdr:row>1</xdr:row>
          <xdr:rowOff>190500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"/>
  <sheetViews>
    <sheetView tabSelected="1" workbookViewId="0"/>
  </sheetViews>
  <sheetFormatPr defaultRowHeight="17" x14ac:dyDescent="0.45"/>
  <cols>
    <col min="2" max="2" width="14.33203125" customWidth="1"/>
    <col min="3" max="3" width="13.9140625" style="1" customWidth="1"/>
  </cols>
  <sheetData>
    <row r="1" spans="1:11" x14ac:dyDescent="0.45">
      <c r="A1" t="s">
        <v>0</v>
      </c>
    </row>
    <row r="2" spans="1:11" x14ac:dyDescent="0.45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45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13" si="0">SUM(D3:G3)</f>
        <v>369</v>
      </c>
      <c r="I3" s="11">
        <f t="shared" ref="I3:I13" si="1">AVERAGE(D3:G3)</f>
        <v>92.25</v>
      </c>
      <c r="J3" s="11">
        <v>4.6100000000000003</v>
      </c>
      <c r="K3" s="11">
        <v>1</v>
      </c>
    </row>
    <row r="4" spans="1:11" x14ac:dyDescent="0.45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45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45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45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45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45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45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45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45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45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45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ref="H14:H30" si="2">SUM(D14:G14)</f>
        <v>359</v>
      </c>
      <c r="I14" s="11">
        <f t="shared" ref="I14:I30" si="3">AVERAGE(D14:G14)</f>
        <v>89.75</v>
      </c>
      <c r="J14" s="11">
        <v>4.49</v>
      </c>
      <c r="K14" s="11">
        <v>4</v>
      </c>
    </row>
    <row r="15" spans="1:11" x14ac:dyDescent="0.45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2"/>
        <v>263</v>
      </c>
      <c r="I15" s="11">
        <f t="shared" si="3"/>
        <v>65.75</v>
      </c>
      <c r="J15" s="11">
        <v>3.29</v>
      </c>
      <c r="K15" s="11">
        <v>0</v>
      </c>
    </row>
    <row r="16" spans="1:11" x14ac:dyDescent="0.45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2"/>
        <v>326</v>
      </c>
      <c r="I16" s="11">
        <f t="shared" si="3"/>
        <v>81.5</v>
      </c>
      <c r="J16" s="11">
        <v>4.08</v>
      </c>
      <c r="K16" s="11">
        <v>0</v>
      </c>
    </row>
    <row r="17" spans="1:11" x14ac:dyDescent="0.45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2"/>
        <v>261</v>
      </c>
      <c r="I17" s="11">
        <f t="shared" si="3"/>
        <v>65.25</v>
      </c>
      <c r="J17" s="11">
        <v>3.26</v>
      </c>
      <c r="K17" s="11">
        <v>0</v>
      </c>
    </row>
    <row r="18" spans="1:11" x14ac:dyDescent="0.45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2"/>
        <v>331</v>
      </c>
      <c r="I18" s="11">
        <f t="shared" si="3"/>
        <v>82.75</v>
      </c>
      <c r="J18" s="11">
        <v>4.1399999999999997</v>
      </c>
      <c r="K18" s="11">
        <v>4</v>
      </c>
    </row>
    <row r="19" spans="1:11" x14ac:dyDescent="0.45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2"/>
        <v>375</v>
      </c>
      <c r="I19" s="11">
        <f t="shared" si="3"/>
        <v>93.75</v>
      </c>
      <c r="J19" s="11">
        <v>4.6900000000000004</v>
      </c>
      <c r="K19" s="11">
        <v>0</v>
      </c>
    </row>
    <row r="20" spans="1:11" x14ac:dyDescent="0.45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2"/>
        <v>256</v>
      </c>
      <c r="I20" s="11">
        <f t="shared" si="3"/>
        <v>64</v>
      </c>
      <c r="J20" s="11">
        <v>3.2</v>
      </c>
      <c r="K20" s="11">
        <v>0</v>
      </c>
    </row>
    <row r="21" spans="1:11" x14ac:dyDescent="0.45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2"/>
        <v>251</v>
      </c>
      <c r="I21" s="11">
        <f t="shared" si="3"/>
        <v>62.75</v>
      </c>
      <c r="J21" s="11">
        <v>3.14</v>
      </c>
      <c r="K21" s="11">
        <v>0</v>
      </c>
    </row>
    <row r="22" spans="1:11" x14ac:dyDescent="0.45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2"/>
        <v>240</v>
      </c>
      <c r="I22" s="11">
        <f t="shared" si="3"/>
        <v>60</v>
      </c>
      <c r="J22" s="11">
        <v>3</v>
      </c>
      <c r="K22" s="11">
        <v>0</v>
      </c>
    </row>
    <row r="23" spans="1:11" x14ac:dyDescent="0.45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2"/>
        <v>221</v>
      </c>
      <c r="I23" s="11">
        <f t="shared" si="3"/>
        <v>55.25</v>
      </c>
      <c r="J23" s="11">
        <v>2.76</v>
      </c>
      <c r="K23" s="11">
        <v>0</v>
      </c>
    </row>
    <row r="24" spans="1:11" x14ac:dyDescent="0.45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2"/>
        <v>257</v>
      </c>
      <c r="I24" s="11">
        <f t="shared" si="3"/>
        <v>64.25</v>
      </c>
      <c r="J24" s="11">
        <v>3.21</v>
      </c>
      <c r="K24" s="11">
        <v>0</v>
      </c>
    </row>
    <row r="25" spans="1:11" x14ac:dyDescent="0.45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2"/>
        <v>252</v>
      </c>
      <c r="I25" s="11">
        <f t="shared" si="3"/>
        <v>63</v>
      </c>
      <c r="J25" s="11">
        <v>3.15</v>
      </c>
      <c r="K25" s="11">
        <v>1</v>
      </c>
    </row>
    <row r="26" spans="1:11" x14ac:dyDescent="0.45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2"/>
        <v>255</v>
      </c>
      <c r="I26" s="11">
        <f t="shared" si="3"/>
        <v>63.75</v>
      </c>
      <c r="J26" s="11">
        <v>3.19</v>
      </c>
      <c r="K26" s="11">
        <v>0</v>
      </c>
    </row>
    <row r="27" spans="1:11" x14ac:dyDescent="0.45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2"/>
        <v>260</v>
      </c>
      <c r="I27" s="11">
        <f t="shared" si="3"/>
        <v>65</v>
      </c>
      <c r="J27" s="11">
        <v>3.25</v>
      </c>
      <c r="K27" s="11">
        <v>4</v>
      </c>
    </row>
    <row r="28" spans="1:11" x14ac:dyDescent="0.45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2"/>
        <v>315</v>
      </c>
      <c r="I28" s="11">
        <f t="shared" si="3"/>
        <v>78.75</v>
      </c>
      <c r="J28" s="11">
        <v>3.94</v>
      </c>
      <c r="K28" s="11">
        <v>0</v>
      </c>
    </row>
    <row r="29" spans="1:11" x14ac:dyDescent="0.45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2"/>
        <v>213</v>
      </c>
      <c r="I29" s="11">
        <f t="shared" si="3"/>
        <v>53.25</v>
      </c>
      <c r="J29" s="11">
        <v>2.66</v>
      </c>
      <c r="K29" s="11">
        <v>2</v>
      </c>
    </row>
    <row r="30" spans="1:11" x14ac:dyDescent="0.45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2"/>
        <v>325</v>
      </c>
      <c r="I30" s="11">
        <f t="shared" si="3"/>
        <v>81.25</v>
      </c>
      <c r="J30" s="11">
        <v>4.0599999999999996</v>
      </c>
      <c r="K30" s="11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1A819-A5E4-4DC6-9864-5BB8B858B9C5}">
  <sheetPr codeName="Sheet10"/>
  <dimension ref="A1:K41"/>
  <sheetViews>
    <sheetView workbookViewId="0"/>
  </sheetViews>
  <sheetFormatPr defaultRowHeight="17" x14ac:dyDescent="0.45"/>
  <cols>
    <col min="2" max="2" width="14.33203125" customWidth="1"/>
    <col min="3" max="3" width="13.9140625" style="1" customWidth="1"/>
    <col min="10" max="10" width="9.9140625" customWidth="1"/>
  </cols>
  <sheetData>
    <row r="1" spans="1:11" x14ac:dyDescent="0.45">
      <c r="A1" t="s">
        <v>0</v>
      </c>
    </row>
    <row r="2" spans="1:11" x14ac:dyDescent="0.45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45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45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45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45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45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45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45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45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45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45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45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45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45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45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45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45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45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45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45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45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45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45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45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45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45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45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45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45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45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45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45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45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45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45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45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45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45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45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45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BC81-09AE-4E97-80C2-54BE57D2A9BD}">
  <sheetPr codeName="Sheet2"/>
  <dimension ref="A1:I33"/>
  <sheetViews>
    <sheetView workbookViewId="0"/>
  </sheetViews>
  <sheetFormatPr defaultRowHeight="17" x14ac:dyDescent="0.45"/>
  <cols>
    <col min="2" max="2" width="10.83203125" customWidth="1"/>
    <col min="3" max="3" width="12.6640625" bestFit="1" customWidth="1"/>
    <col min="4" max="4" width="11.6640625" bestFit="1" customWidth="1"/>
    <col min="5" max="5" width="9.9140625" customWidth="1"/>
    <col min="6" max="6" width="13.4140625" customWidth="1"/>
    <col min="7" max="7" width="10.4140625" customWidth="1"/>
    <col min="8" max="8" width="12.33203125" bestFit="1" customWidth="1"/>
    <col min="9" max="9" width="10.75" bestFit="1" customWidth="1"/>
  </cols>
  <sheetData>
    <row r="1" spans="1:9" x14ac:dyDescent="0.45">
      <c r="A1" t="s">
        <v>0</v>
      </c>
      <c r="H1" t="s">
        <v>160</v>
      </c>
      <c r="I1" s="26">
        <v>45940</v>
      </c>
    </row>
    <row r="2" spans="1:9" x14ac:dyDescent="0.45">
      <c r="A2" s="27" t="s">
        <v>1</v>
      </c>
      <c r="B2" s="27" t="s">
        <v>161</v>
      </c>
      <c r="C2" s="27" t="s">
        <v>162</v>
      </c>
      <c r="D2" s="27" t="s">
        <v>163</v>
      </c>
      <c r="E2" s="27" t="s">
        <v>164</v>
      </c>
      <c r="F2" s="27" t="s">
        <v>165</v>
      </c>
      <c r="G2" s="28" t="s">
        <v>166</v>
      </c>
      <c r="H2" s="28" t="s">
        <v>167</v>
      </c>
      <c r="I2" s="28" t="s">
        <v>168</v>
      </c>
    </row>
    <row r="3" spans="1:9" x14ac:dyDescent="0.45">
      <c r="A3" s="27" t="s">
        <v>169</v>
      </c>
      <c r="B3" s="27" t="s">
        <v>170</v>
      </c>
      <c r="C3" s="29">
        <v>44562</v>
      </c>
      <c r="D3" s="30">
        <v>7200000</v>
      </c>
      <c r="E3" s="2">
        <v>25</v>
      </c>
      <c r="F3" s="31">
        <v>0.05</v>
      </c>
      <c r="G3" s="32"/>
      <c r="H3" s="33"/>
      <c r="I3" s="27"/>
    </row>
    <row r="4" spans="1:9" x14ac:dyDescent="0.45">
      <c r="A4" s="27" t="s">
        <v>171</v>
      </c>
      <c r="B4" s="27" t="s">
        <v>172</v>
      </c>
      <c r="C4" s="29">
        <v>38047</v>
      </c>
      <c r="D4" s="30">
        <v>6000000</v>
      </c>
      <c r="E4" s="2">
        <v>36</v>
      </c>
      <c r="F4" s="31">
        <v>0.04</v>
      </c>
      <c r="G4" s="32"/>
      <c r="H4" s="33"/>
      <c r="I4" s="27"/>
    </row>
    <row r="5" spans="1:9" x14ac:dyDescent="0.45">
      <c r="A5" s="27" t="s">
        <v>173</v>
      </c>
      <c r="B5" s="27" t="s">
        <v>174</v>
      </c>
      <c r="C5" s="29">
        <v>40299</v>
      </c>
      <c r="D5" s="30">
        <v>6400000</v>
      </c>
      <c r="E5" s="2">
        <v>24</v>
      </c>
      <c r="F5" s="31">
        <v>0.06</v>
      </c>
      <c r="G5" s="32"/>
      <c r="H5" s="33"/>
      <c r="I5" s="27"/>
    </row>
    <row r="6" spans="1:9" x14ac:dyDescent="0.45">
      <c r="A6" s="27" t="s">
        <v>175</v>
      </c>
      <c r="B6" s="27" t="s">
        <v>176</v>
      </c>
      <c r="C6" s="29">
        <v>42064</v>
      </c>
      <c r="D6" s="30">
        <v>5250000</v>
      </c>
      <c r="E6" s="2">
        <v>12</v>
      </c>
      <c r="F6" s="31">
        <v>7.4999999999999997E-2</v>
      </c>
      <c r="G6" s="32"/>
      <c r="H6" s="33"/>
      <c r="I6" s="27"/>
    </row>
    <row r="7" spans="1:9" x14ac:dyDescent="0.45">
      <c r="A7" s="27" t="s">
        <v>177</v>
      </c>
      <c r="B7" s="27" t="s">
        <v>172</v>
      </c>
      <c r="C7" s="29">
        <v>40940</v>
      </c>
      <c r="D7" s="30">
        <v>29000000</v>
      </c>
      <c r="E7" s="2">
        <v>30</v>
      </c>
      <c r="F7" s="31">
        <v>3.7999999999999999E-2</v>
      </c>
      <c r="G7" s="32"/>
      <c r="H7" s="33"/>
      <c r="I7" s="27"/>
    </row>
    <row r="8" spans="1:9" x14ac:dyDescent="0.45">
      <c r="A8" s="27" t="s">
        <v>178</v>
      </c>
      <c r="B8" s="27" t="s">
        <v>179</v>
      </c>
      <c r="C8" s="29">
        <v>39356</v>
      </c>
      <c r="D8" s="30">
        <v>14800000</v>
      </c>
      <c r="E8" s="2">
        <v>20</v>
      </c>
      <c r="F8" s="31">
        <v>3.5000000000000003E-2</v>
      </c>
      <c r="G8" s="32"/>
      <c r="H8" s="33"/>
      <c r="I8" s="27"/>
    </row>
    <row r="9" spans="1:9" x14ac:dyDescent="0.45">
      <c r="A9" s="27" t="s">
        <v>180</v>
      </c>
      <c r="B9" s="27" t="s">
        <v>181</v>
      </c>
      <c r="C9" s="29">
        <v>39904</v>
      </c>
      <c r="D9" s="30">
        <v>4200000</v>
      </c>
      <c r="E9" s="2">
        <v>40</v>
      </c>
      <c r="F9" s="31">
        <v>4.8000000000000001E-2</v>
      </c>
      <c r="G9" s="32"/>
      <c r="H9" s="33"/>
      <c r="I9" s="27"/>
    </row>
    <row r="10" spans="1:9" x14ac:dyDescent="0.45">
      <c r="A10" s="27" t="s">
        <v>182</v>
      </c>
      <c r="B10" s="27" t="s">
        <v>181</v>
      </c>
      <c r="C10" s="29">
        <v>37104</v>
      </c>
      <c r="D10" s="30">
        <v>6400000</v>
      </c>
      <c r="E10" s="2">
        <v>50</v>
      </c>
      <c r="F10" s="31">
        <v>4.4999999999999998E-2</v>
      </c>
      <c r="G10" s="32"/>
      <c r="H10" s="33"/>
      <c r="I10" s="27"/>
    </row>
    <row r="11" spans="1:9" x14ac:dyDescent="0.45">
      <c r="A11" s="27" t="s">
        <v>183</v>
      </c>
      <c r="B11" s="27" t="s">
        <v>170</v>
      </c>
      <c r="C11" s="29">
        <v>37438</v>
      </c>
      <c r="D11" s="30">
        <v>9000000</v>
      </c>
      <c r="E11" s="2">
        <v>12</v>
      </c>
      <c r="F11" s="31">
        <v>6.3E-2</v>
      </c>
      <c r="G11" s="32"/>
      <c r="H11" s="33"/>
      <c r="I11" s="27"/>
    </row>
    <row r="12" spans="1:9" x14ac:dyDescent="0.45">
      <c r="A12" s="27" t="s">
        <v>184</v>
      </c>
      <c r="B12" s="27" t="s">
        <v>176</v>
      </c>
      <c r="C12" s="29">
        <v>40787</v>
      </c>
      <c r="D12" s="30">
        <v>8800000</v>
      </c>
      <c r="E12" s="2">
        <v>24</v>
      </c>
      <c r="F12" s="31">
        <v>7.0999999999999994E-2</v>
      </c>
      <c r="G12" s="32"/>
      <c r="H12" s="33"/>
      <c r="I12" s="27"/>
    </row>
    <row r="13" spans="1:9" x14ac:dyDescent="0.45">
      <c r="A13" s="27" t="s">
        <v>185</v>
      </c>
      <c r="B13" s="27" t="s">
        <v>176</v>
      </c>
      <c r="C13" s="29">
        <v>37926</v>
      </c>
      <c r="D13" s="30">
        <v>5200000</v>
      </c>
      <c r="E13" s="2">
        <v>36</v>
      </c>
      <c r="F13" s="31">
        <v>3.9E-2</v>
      </c>
      <c r="G13" s="32"/>
      <c r="H13" s="33"/>
      <c r="I13" s="27"/>
    </row>
    <row r="14" spans="1:9" x14ac:dyDescent="0.45">
      <c r="A14" s="27" t="s">
        <v>186</v>
      </c>
      <c r="B14" s="27" t="s">
        <v>187</v>
      </c>
      <c r="C14" s="29">
        <v>38687</v>
      </c>
      <c r="D14" s="30">
        <v>7800000</v>
      </c>
      <c r="E14" s="2">
        <v>48</v>
      </c>
      <c r="F14" s="31">
        <v>4.2000000000000003E-2</v>
      </c>
      <c r="G14" s="32"/>
      <c r="H14" s="33"/>
      <c r="I14" s="27"/>
    </row>
    <row r="15" spans="1:9" x14ac:dyDescent="0.45">
      <c r="A15" s="27" t="s">
        <v>188</v>
      </c>
      <c r="B15" s="27" t="s">
        <v>172</v>
      </c>
      <c r="C15" s="29">
        <v>40878</v>
      </c>
      <c r="D15" s="30">
        <v>7500000</v>
      </c>
      <c r="E15" s="2">
        <v>19</v>
      </c>
      <c r="F15" s="31">
        <v>4.3999999999999997E-2</v>
      </c>
      <c r="G15" s="32"/>
      <c r="H15" s="33"/>
      <c r="I15" s="27"/>
    </row>
    <row r="16" spans="1:9" x14ac:dyDescent="0.45">
      <c r="A16" s="27" t="s">
        <v>189</v>
      </c>
      <c r="B16" s="27" t="s">
        <v>172</v>
      </c>
      <c r="C16" s="29">
        <v>41579</v>
      </c>
      <c r="D16" s="30">
        <v>6400000</v>
      </c>
      <c r="E16" s="2">
        <v>21</v>
      </c>
      <c r="F16" s="31">
        <v>6.0999999999999999E-2</v>
      </c>
      <c r="G16" s="32"/>
      <c r="H16" s="33"/>
      <c r="I16" s="27"/>
    </row>
    <row r="17" spans="1:9" x14ac:dyDescent="0.45">
      <c r="A17" s="27" t="s">
        <v>190</v>
      </c>
      <c r="B17" s="27" t="s">
        <v>187</v>
      </c>
      <c r="C17" s="29">
        <v>41091</v>
      </c>
      <c r="D17" s="30">
        <v>24900000</v>
      </c>
      <c r="E17" s="2">
        <v>25</v>
      </c>
      <c r="F17" s="31">
        <v>4.8000000000000001E-2</v>
      </c>
      <c r="G17" s="32"/>
      <c r="H17" s="33"/>
      <c r="I17" s="27"/>
    </row>
    <row r="18" spans="1:9" x14ac:dyDescent="0.45">
      <c r="A18" s="27" t="s">
        <v>191</v>
      </c>
      <c r="B18" s="27" t="s">
        <v>181</v>
      </c>
      <c r="C18" s="29">
        <v>43952</v>
      </c>
      <c r="D18" s="30">
        <v>12400000</v>
      </c>
      <c r="E18" s="2">
        <v>31</v>
      </c>
      <c r="F18" s="31">
        <v>3.6999999999999998E-2</v>
      </c>
      <c r="G18" s="32"/>
      <c r="H18" s="33"/>
      <c r="I18" s="27"/>
    </row>
    <row r="19" spans="1:9" x14ac:dyDescent="0.45">
      <c r="A19" s="27" t="s">
        <v>192</v>
      </c>
      <c r="B19" s="27" t="s">
        <v>176</v>
      </c>
      <c r="C19" s="29">
        <v>43678</v>
      </c>
      <c r="D19" s="30">
        <v>22760000</v>
      </c>
      <c r="E19" s="2">
        <v>32</v>
      </c>
      <c r="F19" s="31">
        <v>5.0999999999999997E-2</v>
      </c>
      <c r="G19" s="32"/>
      <c r="H19" s="33"/>
      <c r="I19" s="27"/>
    </row>
    <row r="20" spans="1:9" x14ac:dyDescent="0.45">
      <c r="A20" s="27" t="s">
        <v>193</v>
      </c>
      <c r="B20" s="27" t="s">
        <v>170</v>
      </c>
      <c r="C20" s="29">
        <v>43313</v>
      </c>
      <c r="D20" s="30">
        <v>3500000</v>
      </c>
      <c r="E20" s="2">
        <v>33</v>
      </c>
      <c r="F20" s="31">
        <v>4.4999999999999998E-2</v>
      </c>
      <c r="G20" s="32"/>
      <c r="H20" s="33"/>
      <c r="I20" s="27"/>
    </row>
    <row r="21" spans="1:9" x14ac:dyDescent="0.45">
      <c r="A21" s="27" t="s">
        <v>194</v>
      </c>
      <c r="B21" s="27" t="s">
        <v>181</v>
      </c>
      <c r="C21" s="29">
        <v>42522</v>
      </c>
      <c r="D21" s="30">
        <v>3200000</v>
      </c>
      <c r="E21" s="2">
        <v>24</v>
      </c>
      <c r="F21" s="31">
        <v>3.6999999999999998E-2</v>
      </c>
      <c r="G21" s="32"/>
      <c r="H21" s="33"/>
      <c r="I21" s="27"/>
    </row>
    <row r="22" spans="1:9" x14ac:dyDescent="0.45">
      <c r="A22" s="27" t="s">
        <v>195</v>
      </c>
      <c r="B22" s="27" t="s">
        <v>179</v>
      </c>
      <c r="C22" s="29">
        <v>42248</v>
      </c>
      <c r="D22" s="30">
        <v>9000000</v>
      </c>
      <c r="E22" s="2">
        <v>26</v>
      </c>
      <c r="F22" s="31">
        <v>5.1999999999999998E-2</v>
      </c>
      <c r="G22" s="32"/>
      <c r="H22" s="33"/>
      <c r="I22" s="27"/>
    </row>
    <row r="23" spans="1:9" x14ac:dyDescent="0.45">
      <c r="A23" s="27" t="s">
        <v>196</v>
      </c>
      <c r="B23" s="27" t="s">
        <v>181</v>
      </c>
      <c r="C23" s="29">
        <v>41852</v>
      </c>
      <c r="D23" s="30">
        <v>38400000</v>
      </c>
      <c r="E23" s="2">
        <v>28</v>
      </c>
      <c r="F23" s="31">
        <v>7.2999999999999995E-2</v>
      </c>
      <c r="G23" s="32"/>
      <c r="H23" s="33"/>
      <c r="I23" s="27"/>
    </row>
    <row r="24" spans="1:9" x14ac:dyDescent="0.45">
      <c r="A24" s="27" t="s">
        <v>197</v>
      </c>
      <c r="B24" s="27" t="s">
        <v>176</v>
      </c>
      <c r="C24" s="29">
        <v>42856</v>
      </c>
      <c r="D24" s="30">
        <v>10800000</v>
      </c>
      <c r="E24" s="2">
        <v>29</v>
      </c>
      <c r="F24" s="31">
        <v>6.5000000000000002E-2</v>
      </c>
      <c r="G24" s="32"/>
      <c r="H24" s="33"/>
      <c r="I24" s="27"/>
    </row>
    <row r="26" spans="1:9" x14ac:dyDescent="0.45">
      <c r="A26" t="s">
        <v>198</v>
      </c>
      <c r="E26" t="s">
        <v>199</v>
      </c>
      <c r="H26" t="s">
        <v>200</v>
      </c>
    </row>
    <row r="27" spans="1:9" x14ac:dyDescent="0.45">
      <c r="A27" s="27" t="s">
        <v>201</v>
      </c>
      <c r="B27" s="27" t="s">
        <v>161</v>
      </c>
      <c r="C27" s="28" t="s">
        <v>202</v>
      </c>
      <c r="E27" s="27" t="s">
        <v>161</v>
      </c>
      <c r="F27" s="28" t="s">
        <v>203</v>
      </c>
      <c r="H27" s="27" t="s">
        <v>204</v>
      </c>
      <c r="I27" s="27" t="s">
        <v>205</v>
      </c>
    </row>
    <row r="28" spans="1:9" x14ac:dyDescent="0.45">
      <c r="A28" s="27" t="s">
        <v>206</v>
      </c>
      <c r="B28" s="27" t="s">
        <v>207</v>
      </c>
      <c r="C28" s="34"/>
      <c r="E28" s="27" t="s">
        <v>208</v>
      </c>
      <c r="F28" s="27"/>
      <c r="H28" s="34">
        <v>0</v>
      </c>
      <c r="I28" s="27" t="s">
        <v>209</v>
      </c>
    </row>
    <row r="29" spans="1:9" x14ac:dyDescent="0.45">
      <c r="A29" s="27" t="s">
        <v>210</v>
      </c>
      <c r="B29" s="27" t="s">
        <v>211</v>
      </c>
      <c r="C29" s="34"/>
      <c r="E29" s="27" t="s">
        <v>187</v>
      </c>
      <c r="F29" s="27"/>
      <c r="H29" s="34">
        <v>200000</v>
      </c>
      <c r="I29" s="27" t="s">
        <v>212</v>
      </c>
    </row>
    <row r="30" spans="1:9" x14ac:dyDescent="0.45">
      <c r="A30" s="27" t="s">
        <v>213</v>
      </c>
      <c r="B30" s="27" t="s">
        <v>214</v>
      </c>
      <c r="C30" s="34"/>
      <c r="E30" s="27" t="s">
        <v>215</v>
      </c>
      <c r="F30" s="27"/>
      <c r="H30" s="34">
        <v>500000</v>
      </c>
      <c r="I30" s="27" t="s">
        <v>216</v>
      </c>
    </row>
    <row r="31" spans="1:9" x14ac:dyDescent="0.45">
      <c r="E31" s="27" t="s">
        <v>217</v>
      </c>
      <c r="F31" s="27"/>
      <c r="H31" s="34">
        <v>1000000</v>
      </c>
      <c r="I31" s="27" t="s">
        <v>218</v>
      </c>
    </row>
    <row r="32" spans="1:9" x14ac:dyDescent="0.45">
      <c r="E32" s="27" t="s">
        <v>170</v>
      </c>
      <c r="F32" s="27"/>
    </row>
    <row r="33" spans="5:6" x14ac:dyDescent="0.45">
      <c r="E33" s="27" t="s">
        <v>219</v>
      </c>
      <c r="F33" s="2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6"/>
  <sheetViews>
    <sheetView workbookViewId="0"/>
  </sheetViews>
  <sheetFormatPr defaultRowHeight="17" x14ac:dyDescent="0.45"/>
  <cols>
    <col min="1" max="1" width="8.5" bestFit="1" customWidth="1"/>
    <col min="2" max="2" width="10.1640625" customWidth="1"/>
    <col min="3" max="3" width="24.1640625" customWidth="1"/>
    <col min="4" max="4" width="32.75" customWidth="1"/>
    <col min="5" max="5" width="11.4140625" bestFit="1" customWidth="1"/>
  </cols>
  <sheetData>
    <row r="1" spans="1:5" x14ac:dyDescent="0.45">
      <c r="A1" s="6" t="s">
        <v>41</v>
      </c>
      <c r="B1" s="6"/>
      <c r="C1" s="6"/>
      <c r="D1" s="6"/>
      <c r="E1" s="6"/>
    </row>
    <row r="2" spans="1:5" x14ac:dyDescent="0.45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x14ac:dyDescent="0.45">
      <c r="A3" s="8" t="s">
        <v>47</v>
      </c>
      <c r="B3" s="8" t="s">
        <v>48</v>
      </c>
      <c r="C3" s="9" t="s">
        <v>49</v>
      </c>
      <c r="D3" s="9" t="s">
        <v>50</v>
      </c>
      <c r="E3" s="10">
        <v>200400</v>
      </c>
    </row>
    <row r="4" spans="1:5" x14ac:dyDescent="0.45">
      <c r="A4" s="8" t="s">
        <v>51</v>
      </c>
      <c r="B4" s="8" t="s">
        <v>48</v>
      </c>
      <c r="C4" s="9" t="s">
        <v>49</v>
      </c>
      <c r="D4" s="9" t="s">
        <v>52</v>
      </c>
      <c r="E4" s="10">
        <v>181800</v>
      </c>
    </row>
    <row r="5" spans="1:5" x14ac:dyDescent="0.45">
      <c r="A5" s="8" t="s">
        <v>53</v>
      </c>
      <c r="B5" s="8" t="s">
        <v>54</v>
      </c>
      <c r="C5" s="9" t="s">
        <v>90</v>
      </c>
      <c r="D5" s="9" t="s">
        <v>100</v>
      </c>
      <c r="E5" s="10">
        <v>3957100</v>
      </c>
    </row>
    <row r="6" spans="1:5" x14ac:dyDescent="0.45">
      <c r="A6" s="8" t="s">
        <v>55</v>
      </c>
      <c r="B6" s="8" t="s">
        <v>54</v>
      </c>
      <c r="C6" s="9" t="s">
        <v>93</v>
      </c>
      <c r="D6" s="9" t="s">
        <v>94</v>
      </c>
      <c r="E6" s="10">
        <v>5302100</v>
      </c>
    </row>
    <row r="7" spans="1:5" x14ac:dyDescent="0.45">
      <c r="A7" s="8" t="s">
        <v>56</v>
      </c>
      <c r="B7" s="8" t="s">
        <v>54</v>
      </c>
      <c r="C7" s="9" t="s">
        <v>90</v>
      </c>
      <c r="D7" s="9" t="s">
        <v>105</v>
      </c>
      <c r="E7" s="10">
        <v>13011600</v>
      </c>
    </row>
    <row r="8" spans="1:5" x14ac:dyDescent="0.45">
      <c r="A8" s="8" t="s">
        <v>57</v>
      </c>
      <c r="B8" s="8" t="s">
        <v>54</v>
      </c>
      <c r="C8" s="9" t="s">
        <v>106</v>
      </c>
      <c r="D8" s="9" t="s">
        <v>107</v>
      </c>
      <c r="E8" s="10">
        <v>536600</v>
      </c>
    </row>
    <row r="9" spans="1:5" x14ac:dyDescent="0.45">
      <c r="A9" s="8" t="s">
        <v>58</v>
      </c>
      <c r="B9" s="8" t="s">
        <v>54</v>
      </c>
      <c r="C9" s="9" t="s">
        <v>108</v>
      </c>
      <c r="D9" s="9" t="s">
        <v>109</v>
      </c>
      <c r="E9" s="10">
        <v>2886600</v>
      </c>
    </row>
    <row r="10" spans="1:5" x14ac:dyDescent="0.45">
      <c r="A10" s="8" t="s">
        <v>59</v>
      </c>
      <c r="B10" s="8" t="s">
        <v>60</v>
      </c>
      <c r="C10" s="9" t="s">
        <v>61</v>
      </c>
      <c r="D10" s="9" t="s">
        <v>62</v>
      </c>
      <c r="E10" s="10">
        <v>829100</v>
      </c>
    </row>
    <row r="11" spans="1:5" x14ac:dyDescent="0.45">
      <c r="A11" s="8" t="s">
        <v>63</v>
      </c>
      <c r="B11" s="8" t="s">
        <v>60</v>
      </c>
      <c r="C11" s="9" t="s">
        <v>64</v>
      </c>
      <c r="D11" s="9" t="s">
        <v>65</v>
      </c>
      <c r="E11" s="10">
        <v>185600</v>
      </c>
    </row>
    <row r="12" spans="1:5" x14ac:dyDescent="0.45">
      <c r="A12" s="8" t="s">
        <v>66</v>
      </c>
      <c r="B12" s="8" t="s">
        <v>60</v>
      </c>
      <c r="C12" s="9" t="s">
        <v>67</v>
      </c>
      <c r="D12" s="9" t="s">
        <v>68</v>
      </c>
      <c r="E12" s="10">
        <v>587100</v>
      </c>
    </row>
    <row r="13" spans="1:5" x14ac:dyDescent="0.45">
      <c r="A13" s="8" t="s">
        <v>69</v>
      </c>
      <c r="B13" s="8" t="s">
        <v>54</v>
      </c>
      <c r="C13" s="9" t="s">
        <v>70</v>
      </c>
      <c r="D13" s="9" t="s">
        <v>71</v>
      </c>
      <c r="E13" s="10">
        <v>319600</v>
      </c>
    </row>
    <row r="14" spans="1:5" x14ac:dyDescent="0.45">
      <c r="A14" s="8" t="s">
        <v>72</v>
      </c>
      <c r="B14" s="8" t="s">
        <v>54</v>
      </c>
      <c r="C14" s="9" t="s">
        <v>101</v>
      </c>
      <c r="D14" s="9" t="s">
        <v>102</v>
      </c>
      <c r="E14" s="10">
        <v>4998500</v>
      </c>
    </row>
    <row r="15" spans="1:5" x14ac:dyDescent="0.45">
      <c r="A15" s="8" t="s">
        <v>73</v>
      </c>
      <c r="B15" s="8" t="s">
        <v>54</v>
      </c>
      <c r="C15" s="9" t="s">
        <v>90</v>
      </c>
      <c r="D15" s="9" t="s">
        <v>92</v>
      </c>
      <c r="E15" s="10">
        <v>18043100</v>
      </c>
    </row>
    <row r="16" spans="1:5" x14ac:dyDescent="0.45">
      <c r="A16" s="8" t="s">
        <v>73</v>
      </c>
      <c r="B16" s="8" t="s">
        <v>54</v>
      </c>
      <c r="C16" s="9" t="s">
        <v>74</v>
      </c>
      <c r="D16" s="9" t="s">
        <v>75</v>
      </c>
      <c r="E16" s="10">
        <v>6715100</v>
      </c>
    </row>
    <row r="17" spans="1:5" x14ac:dyDescent="0.45">
      <c r="A17" s="8" t="s">
        <v>76</v>
      </c>
      <c r="B17" s="8" t="s">
        <v>60</v>
      </c>
      <c r="C17" s="9" t="s">
        <v>77</v>
      </c>
      <c r="D17" s="9" t="s">
        <v>78</v>
      </c>
      <c r="E17" s="10">
        <v>6648500</v>
      </c>
    </row>
    <row r="18" spans="1:5" x14ac:dyDescent="0.45">
      <c r="A18" s="8" t="s">
        <v>76</v>
      </c>
      <c r="B18" s="8" t="s">
        <v>60</v>
      </c>
      <c r="C18" s="9" t="s">
        <v>77</v>
      </c>
      <c r="D18" s="9" t="s">
        <v>79</v>
      </c>
      <c r="E18" s="10">
        <v>1375900</v>
      </c>
    </row>
    <row r="19" spans="1:5" x14ac:dyDescent="0.45">
      <c r="A19" s="8" t="s">
        <v>80</v>
      </c>
      <c r="B19" s="8" t="s">
        <v>81</v>
      </c>
      <c r="C19" s="9" t="s">
        <v>103</v>
      </c>
      <c r="D19" s="9" t="s">
        <v>104</v>
      </c>
      <c r="E19" s="10">
        <v>9229100</v>
      </c>
    </row>
    <row r="20" spans="1:5" x14ac:dyDescent="0.45">
      <c r="A20" s="8" t="s">
        <v>82</v>
      </c>
      <c r="B20" s="8" t="s">
        <v>81</v>
      </c>
      <c r="C20" s="9" t="s">
        <v>90</v>
      </c>
      <c r="D20" s="9" t="s">
        <v>91</v>
      </c>
      <c r="E20" s="10">
        <v>17279600</v>
      </c>
    </row>
    <row r="21" spans="1:5" x14ac:dyDescent="0.45">
      <c r="A21" s="8" t="s">
        <v>83</v>
      </c>
      <c r="B21" s="8" t="s">
        <v>81</v>
      </c>
      <c r="C21" s="9" t="s">
        <v>96</v>
      </c>
      <c r="D21" s="9" t="s">
        <v>97</v>
      </c>
      <c r="E21" s="10">
        <v>2629100</v>
      </c>
    </row>
    <row r="22" spans="1:5" x14ac:dyDescent="0.45">
      <c r="A22" s="8" t="s">
        <v>83</v>
      </c>
      <c r="B22" s="8" t="s">
        <v>81</v>
      </c>
      <c r="C22" s="9" t="s">
        <v>110</v>
      </c>
      <c r="D22" s="9" t="s">
        <v>111</v>
      </c>
      <c r="E22" s="10">
        <v>788900</v>
      </c>
    </row>
    <row r="23" spans="1:5" x14ac:dyDescent="0.45">
      <c r="A23" s="8" t="s">
        <v>84</v>
      </c>
      <c r="B23" s="8" t="s">
        <v>48</v>
      </c>
      <c r="C23" s="9" t="s">
        <v>85</v>
      </c>
      <c r="D23" s="9" t="s">
        <v>86</v>
      </c>
      <c r="E23" s="10">
        <v>6353900</v>
      </c>
    </row>
    <row r="24" spans="1:5" x14ac:dyDescent="0.45">
      <c r="A24" s="8" t="s">
        <v>84</v>
      </c>
      <c r="B24" s="8" t="s">
        <v>48</v>
      </c>
      <c r="C24" s="9" t="s">
        <v>85</v>
      </c>
      <c r="D24" s="9" t="s">
        <v>87</v>
      </c>
      <c r="E24" s="10">
        <v>355700</v>
      </c>
    </row>
    <row r="25" spans="1:5" x14ac:dyDescent="0.45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x14ac:dyDescent="0.45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4"/>
  <sheetViews>
    <sheetView workbookViewId="0"/>
  </sheetViews>
  <sheetFormatPr defaultRowHeight="17" x14ac:dyDescent="0.45"/>
  <cols>
    <col min="1" max="1" width="10.4140625" bestFit="1" customWidth="1"/>
    <col min="2" max="2" width="10.83203125" bestFit="1" customWidth="1"/>
    <col min="3" max="3" width="9.1640625" customWidth="1"/>
    <col min="4" max="4" width="10.5" customWidth="1"/>
    <col min="5" max="5" width="12" customWidth="1"/>
  </cols>
  <sheetData>
    <row r="2" spans="1:5" x14ac:dyDescent="0.45">
      <c r="A2" t="s">
        <v>0</v>
      </c>
      <c r="B2" t="s">
        <v>40</v>
      </c>
    </row>
    <row r="3" spans="1:5" x14ac:dyDescent="0.45">
      <c r="A3" s="5" t="s">
        <v>24</v>
      </c>
      <c r="B3" s="5" t="s">
        <v>39</v>
      </c>
      <c r="C3" s="5" t="s">
        <v>37</v>
      </c>
      <c r="D3" s="5" t="s">
        <v>38</v>
      </c>
      <c r="E3" s="5" t="s">
        <v>25</v>
      </c>
    </row>
    <row r="4" spans="1:5" x14ac:dyDescent="0.45">
      <c r="A4" s="5" t="s">
        <v>26</v>
      </c>
      <c r="B4" s="4">
        <v>3</v>
      </c>
      <c r="C4" s="4">
        <v>26</v>
      </c>
      <c r="D4" s="4">
        <v>20</v>
      </c>
      <c r="E4" s="4">
        <v>103</v>
      </c>
    </row>
    <row r="5" spans="1:5" x14ac:dyDescent="0.45">
      <c r="A5" s="5" t="s">
        <v>28</v>
      </c>
      <c r="B5" s="4">
        <v>2</v>
      </c>
      <c r="C5" s="4">
        <v>27</v>
      </c>
      <c r="D5" s="4">
        <v>9</v>
      </c>
      <c r="E5" s="4">
        <v>176</v>
      </c>
    </row>
    <row r="6" spans="1:5" x14ac:dyDescent="0.45">
      <c r="A6" s="5" t="s">
        <v>27</v>
      </c>
      <c r="B6" s="4">
        <v>3</v>
      </c>
      <c r="C6" s="4">
        <v>12</v>
      </c>
      <c r="D6" s="4">
        <v>4</v>
      </c>
      <c r="E6" s="4">
        <v>189</v>
      </c>
    </row>
    <row r="7" spans="1:5" x14ac:dyDescent="0.45">
      <c r="A7" s="5" t="s">
        <v>29</v>
      </c>
      <c r="B7" s="4">
        <v>1</v>
      </c>
      <c r="C7" s="4">
        <v>18</v>
      </c>
      <c r="D7" s="4">
        <v>3</v>
      </c>
      <c r="E7" s="4">
        <v>4</v>
      </c>
    </row>
    <row r="8" spans="1:5" x14ac:dyDescent="0.45">
      <c r="A8" s="5" t="s">
        <v>30</v>
      </c>
      <c r="B8" s="4">
        <v>1</v>
      </c>
      <c r="C8" s="4">
        <v>16</v>
      </c>
      <c r="D8" s="4">
        <v>5</v>
      </c>
      <c r="E8" s="4">
        <v>39</v>
      </c>
    </row>
    <row r="9" spans="1:5" x14ac:dyDescent="0.45">
      <c r="A9" s="5" t="s">
        <v>31</v>
      </c>
      <c r="B9" s="4">
        <v>1</v>
      </c>
      <c r="C9" s="4">
        <v>17</v>
      </c>
      <c r="D9" s="4">
        <v>3</v>
      </c>
      <c r="E9" s="4">
        <v>18</v>
      </c>
    </row>
    <row r="10" spans="1:5" x14ac:dyDescent="0.45">
      <c r="A10" s="5" t="s">
        <v>32</v>
      </c>
      <c r="B10" s="4">
        <v>1</v>
      </c>
      <c r="C10" s="4">
        <v>20</v>
      </c>
      <c r="D10" s="4">
        <v>6</v>
      </c>
      <c r="E10" s="4">
        <v>2</v>
      </c>
    </row>
    <row r="11" spans="1:5" x14ac:dyDescent="0.45">
      <c r="A11" s="5" t="s">
        <v>33</v>
      </c>
      <c r="B11" s="4">
        <v>1</v>
      </c>
      <c r="C11" s="4">
        <v>23</v>
      </c>
      <c r="D11" s="4">
        <v>4</v>
      </c>
      <c r="E11" s="4">
        <v>2</v>
      </c>
    </row>
    <row r="12" spans="1:5" x14ac:dyDescent="0.45">
      <c r="A12" s="5" t="s">
        <v>34</v>
      </c>
      <c r="B12" s="4">
        <v>2</v>
      </c>
      <c r="C12" s="4">
        <v>28</v>
      </c>
      <c r="D12" s="4">
        <v>8</v>
      </c>
      <c r="E12" s="4">
        <v>142</v>
      </c>
    </row>
    <row r="13" spans="1:5" x14ac:dyDescent="0.45">
      <c r="A13" s="5" t="s">
        <v>35</v>
      </c>
      <c r="B13" s="4">
        <v>2</v>
      </c>
      <c r="C13" s="4">
        <v>27</v>
      </c>
      <c r="D13" s="4">
        <v>5</v>
      </c>
      <c r="E13" s="4">
        <v>73</v>
      </c>
    </row>
    <row r="14" spans="1:5" x14ac:dyDescent="0.45">
      <c r="A14" s="5" t="s">
        <v>36</v>
      </c>
      <c r="B14" s="4">
        <v>1</v>
      </c>
      <c r="C14" s="4">
        <v>5</v>
      </c>
      <c r="D14" s="4">
        <v>1</v>
      </c>
      <c r="E14" s="4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C12"/>
  <sheetViews>
    <sheetView workbookViewId="0"/>
  </sheetViews>
  <sheetFormatPr defaultRowHeight="17" x14ac:dyDescent="0.45"/>
  <cols>
    <col min="1" max="1" width="14.33203125" bestFit="1" customWidth="1"/>
  </cols>
  <sheetData>
    <row r="2" spans="1:3" x14ac:dyDescent="0.45">
      <c r="A2" t="s">
        <v>22</v>
      </c>
    </row>
    <row r="3" spans="1:3" x14ac:dyDescent="0.45">
      <c r="A3" s="3" t="s">
        <v>23</v>
      </c>
      <c r="B3" s="3" t="s">
        <v>10</v>
      </c>
      <c r="C3" s="3" t="s">
        <v>11</v>
      </c>
    </row>
    <row r="4" spans="1:3" x14ac:dyDescent="0.45">
      <c r="A4" s="2" t="s">
        <v>12</v>
      </c>
      <c r="B4" s="2">
        <v>17</v>
      </c>
      <c r="C4" s="2">
        <v>0</v>
      </c>
    </row>
    <row r="5" spans="1:3" x14ac:dyDescent="0.45">
      <c r="A5" s="2" t="s">
        <v>13</v>
      </c>
      <c r="B5" s="2">
        <v>-33</v>
      </c>
      <c r="C5" s="2">
        <v>9</v>
      </c>
    </row>
    <row r="6" spans="1:3" x14ac:dyDescent="0.45">
      <c r="A6" s="2" t="s">
        <v>14</v>
      </c>
      <c r="B6" s="2">
        <v>22</v>
      </c>
      <c r="C6" s="2">
        <v>0</v>
      </c>
    </row>
    <row r="7" spans="1:3" x14ac:dyDescent="0.45">
      <c r="A7" s="2" t="s">
        <v>15</v>
      </c>
      <c r="B7" s="2">
        <v>112</v>
      </c>
      <c r="C7" s="2" t="s">
        <v>21</v>
      </c>
    </row>
    <row r="8" spans="1:3" x14ac:dyDescent="0.45">
      <c r="A8" s="2" t="s">
        <v>16</v>
      </c>
      <c r="B8" s="2">
        <v>-137</v>
      </c>
      <c r="C8" s="2">
        <v>0</v>
      </c>
    </row>
    <row r="9" spans="1:3" x14ac:dyDescent="0.45">
      <c r="A9" s="2" t="s">
        <v>17</v>
      </c>
      <c r="B9" s="2">
        <v>7</v>
      </c>
      <c r="C9" s="2">
        <v>5</v>
      </c>
    </row>
    <row r="10" spans="1:3" x14ac:dyDescent="0.45">
      <c r="A10" s="2" t="s">
        <v>18</v>
      </c>
      <c r="B10" s="2">
        <v>27</v>
      </c>
      <c r="C10" s="2" t="s">
        <v>21</v>
      </c>
    </row>
    <row r="11" spans="1:3" x14ac:dyDescent="0.45">
      <c r="A11" s="2" t="s">
        <v>19</v>
      </c>
      <c r="B11" s="2">
        <v>24</v>
      </c>
      <c r="C11" s="2">
        <v>0</v>
      </c>
    </row>
    <row r="12" spans="1:3" x14ac:dyDescent="0.45">
      <c r="A12" s="2" t="s">
        <v>20</v>
      </c>
      <c r="B12" s="2">
        <v>-62</v>
      </c>
      <c r="C12" s="2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H3"/>
  <sheetViews>
    <sheetView workbookViewId="0"/>
  </sheetViews>
  <sheetFormatPr defaultRowHeight="17" x14ac:dyDescent="0.45"/>
  <cols>
    <col min="2" max="2" width="16.58203125" customWidth="1"/>
    <col min="3" max="3" width="10.4140625" customWidth="1"/>
    <col min="4" max="7" width="10.9140625" customWidth="1"/>
  </cols>
  <sheetData>
    <row r="2" spans="1:8" x14ac:dyDescent="0.45">
      <c r="A2" t="s">
        <v>0</v>
      </c>
      <c r="B2" t="s">
        <v>8</v>
      </c>
    </row>
    <row r="3" spans="1:8" x14ac:dyDescent="0.45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5</xdr:col>
                <xdr:colOff>107950</xdr:colOff>
                <xdr:row>0</xdr:row>
                <xdr:rowOff>31750</xdr:rowOff>
              </from>
              <to>
                <xdr:col>6</xdr:col>
                <xdr:colOff>412750</xdr:colOff>
                <xdr:row>1</xdr:row>
                <xdr:rowOff>190500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2023-02-18T09:21:08Z</dcterms:created>
  <dcterms:modified xsi:type="dcterms:W3CDTF">2023-04-30T07:35:29Z</dcterms:modified>
</cp:coreProperties>
</file>