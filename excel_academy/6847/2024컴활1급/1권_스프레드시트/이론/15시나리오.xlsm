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이론\"/>
    </mc:Choice>
  </mc:AlternateContent>
  <xr:revisionPtr revIDLastSave="0" documentId="13_ncr:1_{7362538E-3A11-4D79-B131-1B335448929E}" xr6:coauthVersionLast="47" xr6:coauthVersionMax="47" xr10:uidLastSave="{00000000-0000-0000-0000-000000000000}"/>
  <bookViews>
    <workbookView xWindow="3300" yWindow="1020" windowWidth="16695" windowHeight="13110" xr2:uid="{00000000-000D-0000-FFFF-FFFF00000000}"/>
  </bookViews>
  <sheets>
    <sheet name="시나리오1" sheetId="11" r:id="rId1"/>
    <sheet name="시나리오1(결과)" sheetId="15" r:id="rId2"/>
    <sheet name="시나리오2" sheetId="4" r:id="rId3"/>
    <sheet name="시나리오2(결과)" sheetId="16" r:id="rId4"/>
  </sheets>
  <externalReferences>
    <externalReference r:id="rId5"/>
  </externalReferences>
  <definedNames>
    <definedName name="재고부담률" localSheetId="1">#REF!</definedName>
    <definedName name="재고부담률" localSheetId="3">#REF!</definedName>
    <definedName name="재고부담률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C5" i="11"/>
  <c r="C12" i="11" s="1"/>
  <c r="G4" i="4"/>
  <c r="G5" i="4"/>
  <c r="G6" i="4"/>
  <c r="E7" i="4"/>
  <c r="F7" i="4"/>
  <c r="G7" i="4"/>
  <c r="G8" i="4"/>
  <c r="G9" i="4"/>
  <c r="G10" i="4"/>
  <c r="G11" i="4"/>
  <c r="E12" i="4"/>
  <c r="F12" i="4"/>
  <c r="G13" i="4"/>
  <c r="G16" i="4" s="1"/>
  <c r="G14" i="4"/>
  <c r="G15" i="4"/>
  <c r="E16" i="4"/>
  <c r="F16" i="4"/>
  <c r="G12" i="4" l="1"/>
  <c r="C13" i="11"/>
  <c r="C7" i="11"/>
  <c r="C11" i="11"/>
  <c r="C10" i="11"/>
  <c r="C9" i="11" l="1"/>
  <c r="C15" i="11" s="1"/>
</calcChain>
</file>

<file path=xl/sharedStrings.xml><?xml version="1.0" encoding="utf-8"?>
<sst xmlns="http://schemas.openxmlformats.org/spreadsheetml/2006/main" count="59" uniqueCount="43">
  <si>
    <t>월별 주문 내역서</t>
    <phoneticPr fontId="2" type="noConversion"/>
  </si>
  <si>
    <t>월</t>
    <phoneticPr fontId="2" type="noConversion"/>
  </si>
  <si>
    <t>송장번호</t>
    <phoneticPr fontId="2" type="noConversion"/>
  </si>
  <si>
    <t>주문일자</t>
    <phoneticPr fontId="2" type="noConversion"/>
  </si>
  <si>
    <t>배달일자</t>
    <phoneticPr fontId="2" type="noConversion"/>
  </si>
  <si>
    <t>판매액</t>
    <phoneticPr fontId="2" type="noConversion"/>
  </si>
  <si>
    <t>공급가</t>
    <phoneticPr fontId="2" type="noConversion"/>
  </si>
  <si>
    <t>세금</t>
    <phoneticPr fontId="2" type="noConversion"/>
  </si>
  <si>
    <t>1월</t>
    <phoneticPr fontId="2" type="noConversion"/>
  </si>
  <si>
    <t>소계</t>
    <phoneticPr fontId="2" type="noConversion"/>
  </si>
  <si>
    <t>2월</t>
    <phoneticPr fontId="2" type="noConversion"/>
  </si>
  <si>
    <t>3월</t>
    <phoneticPr fontId="2" type="noConversion"/>
  </si>
  <si>
    <t>세율</t>
    <phoneticPr fontId="2" type="noConversion"/>
  </si>
  <si>
    <t>판매수량</t>
    <phoneticPr fontId="4" type="noConversion"/>
  </si>
  <si>
    <t>세율</t>
  </si>
  <si>
    <t>소계1월</t>
  </si>
  <si>
    <t>소계2월</t>
  </si>
  <si>
    <t>소계3월</t>
  </si>
  <si>
    <t>세율인상</t>
  </si>
  <si>
    <t>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</si>
  <si>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</si>
  <si>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</si>
  <si>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</si>
  <si>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</si>
  <si>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</si>
  <si>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</si>
  <si>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</si>
  <si>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영업 현황 분석</t>
    <phoneticPr fontId="4" type="noConversion"/>
  </si>
  <si>
    <t>제품원가</t>
    <phoneticPr fontId="4" type="noConversion"/>
  </si>
  <si>
    <t>판매가</t>
    <phoneticPr fontId="4" type="noConversion"/>
  </si>
  <si>
    <t>매출액</t>
    <phoneticPr fontId="4" type="noConversion"/>
  </si>
  <si>
    <t>매출원가</t>
    <phoneticPr fontId="4" type="noConversion"/>
  </si>
  <si>
    <t>판매수익</t>
    <phoneticPr fontId="4" type="noConversion"/>
  </si>
  <si>
    <t>총비용</t>
    <phoneticPr fontId="4" type="noConversion"/>
  </si>
  <si>
    <t>인건비</t>
    <phoneticPr fontId="4" type="noConversion"/>
  </si>
  <si>
    <t>광고비</t>
    <phoneticPr fontId="4" type="noConversion"/>
  </si>
  <si>
    <t>일반관리비</t>
    <phoneticPr fontId="4" type="noConversion"/>
  </si>
  <si>
    <t>운송비</t>
    <phoneticPr fontId="4" type="noConversion"/>
  </si>
  <si>
    <t>영업이익</t>
    <phoneticPr fontId="4" type="noConversion"/>
  </si>
  <si>
    <t>판매수량</t>
  </si>
  <si>
    <t>영업이익</t>
  </si>
  <si>
    <t>판매수량 증가</t>
  </si>
  <si>
    <t>판매수량 감소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</si>
</sst>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10" fillId="3" borderId="3" xfId="0" applyFont="1" applyFill="1" applyBorder="1" applyAlignment="1">
      <alignment horizontal="left" vertical="center"/>
    </xf>
    <xf numFmtId="0" fontId="11" fillId="3" borderId="3" xfId="0" applyFont="1" applyFill="1" applyBorder="1" applyAlignment="1">
      <alignment horizontal="left" vertical="center"/>
    </xf>
    <xf numFmtId="0" fontId="9" fillId="3" borderId="6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/>
    </xf>
    <xf numFmtId="0" fontId="13" fillId="0" borderId="0" xfId="2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1" xfId="2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3" xfId="0" applyBorder="1">
      <alignment vertical="center"/>
    </xf>
    <xf numFmtId="0" fontId="0" fillId="4" borderId="0" xfId="0" applyFill="1">
      <alignment vertical="center"/>
    </xf>
    <xf numFmtId="0" fontId="9" fillId="3" borderId="0" xfId="0" applyFont="1" applyFill="1" applyAlignment="1">
      <alignment horizontal="left" vertical="center"/>
    </xf>
    <xf numFmtId="0" fontId="12" fillId="0" borderId="0" xfId="0" applyFont="1" applyAlignment="1">
      <alignment vertical="top" wrapText="1"/>
    </xf>
    <xf numFmtId="41" fontId="0" fillId="0" borderId="6" xfId="0" applyNumberFormat="1" applyBorder="1">
      <alignment vertical="center"/>
    </xf>
    <xf numFmtId="41" fontId="0" fillId="0" borderId="0" xfId="0" applyNumberFormat="1">
      <alignment vertical="center"/>
    </xf>
    <xf numFmtId="9" fontId="0" fillId="4" borderId="0" xfId="0" applyNumberFormat="1" applyFill="1">
      <alignment vertical="center"/>
    </xf>
    <xf numFmtId="9" fontId="0" fillId="0" borderId="0" xfId="0" applyNumberFormat="1">
      <alignment vertical="center"/>
    </xf>
  </cellXfs>
  <cellStyles count="3">
    <cellStyle name="쉼표 [0]" xfId="1" builtinId="6"/>
    <cellStyle name="표준" xfId="0" builtinId="0"/>
    <cellStyle name="표준_Book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689;&#51652;(2024&#45380;)/1&#44553;/&#44592;&#48376;&#49436;/&#44368;&#51221;/&#49892;&#49845;/15&#49884;&#45208;&#47532;&#50724;(&#49892;&#49845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시나리오1"/>
      <sheetName val="시나리오1(결과)"/>
      <sheetName val="시나리오2"/>
      <sheetName val="시나리오2(결과)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G15"/>
  <sheetViews>
    <sheetView tabSelected="1" workbookViewId="0"/>
  </sheetViews>
  <sheetFormatPr defaultRowHeight="16.5"/>
  <cols>
    <col min="2" max="2" width="12.375" customWidth="1"/>
  </cols>
  <sheetData>
    <row r="2" spans="2:7">
      <c r="B2" s="14" t="s">
        <v>27</v>
      </c>
      <c r="C2" s="15"/>
      <c r="D2" s="15"/>
      <c r="E2" s="15"/>
      <c r="F2" s="15"/>
      <c r="G2" s="15"/>
    </row>
    <row r="3" spans="2:7">
      <c r="B3" s="15"/>
      <c r="C3" s="15"/>
      <c r="D3" s="15"/>
      <c r="E3" s="15"/>
      <c r="F3" s="16" t="s">
        <v>28</v>
      </c>
      <c r="G3" s="16">
        <v>3200</v>
      </c>
    </row>
    <row r="4" spans="2:7">
      <c r="B4" s="16" t="s">
        <v>13</v>
      </c>
      <c r="C4" s="16">
        <v>3000</v>
      </c>
      <c r="D4" s="15"/>
      <c r="E4" s="15"/>
      <c r="F4" s="16" t="s">
        <v>29</v>
      </c>
      <c r="G4" s="16">
        <v>4600</v>
      </c>
    </row>
    <row r="5" spans="2:7">
      <c r="B5" s="16" t="s">
        <v>30</v>
      </c>
      <c r="C5" s="16">
        <f>G4*C4</f>
        <v>13800000</v>
      </c>
      <c r="D5" s="15"/>
      <c r="E5" s="15"/>
      <c r="F5" s="15"/>
      <c r="G5" s="15"/>
    </row>
    <row r="6" spans="2:7">
      <c r="B6" s="16" t="s">
        <v>31</v>
      </c>
      <c r="C6" s="16">
        <f>G3*C4</f>
        <v>9600000</v>
      </c>
      <c r="D6" s="15"/>
      <c r="E6" s="15"/>
      <c r="F6" s="15"/>
      <c r="G6" s="15"/>
    </row>
    <row r="7" spans="2:7">
      <c r="B7" s="16" t="s">
        <v>32</v>
      </c>
      <c r="C7" s="16">
        <f>C5-C6</f>
        <v>4200000</v>
      </c>
      <c r="D7" s="15"/>
      <c r="E7" s="15"/>
      <c r="F7" s="15"/>
      <c r="G7" s="15"/>
    </row>
    <row r="8" spans="2:7">
      <c r="B8" s="15"/>
      <c r="C8" s="15"/>
      <c r="D8" s="15"/>
      <c r="E8" s="15"/>
      <c r="F8" s="15"/>
      <c r="G8" s="15"/>
    </row>
    <row r="9" spans="2:7">
      <c r="B9" s="16" t="s">
        <v>33</v>
      </c>
      <c r="C9" s="16">
        <f>C10+C11+C12+C13</f>
        <v>1242000</v>
      </c>
      <c r="D9" s="15"/>
      <c r="E9" s="15"/>
      <c r="F9" s="15"/>
      <c r="G9" s="15"/>
    </row>
    <row r="10" spans="2:7">
      <c r="B10" s="16" t="s">
        <v>34</v>
      </c>
      <c r="C10" s="16">
        <f>C5*3%</f>
        <v>414000</v>
      </c>
      <c r="D10" s="15"/>
      <c r="E10" s="15"/>
      <c r="F10" s="15"/>
      <c r="G10" s="15"/>
    </row>
    <row r="11" spans="2:7">
      <c r="B11" s="16" t="s">
        <v>35</v>
      </c>
      <c r="C11" s="16">
        <f>C5*2.5%</f>
        <v>345000</v>
      </c>
      <c r="D11" s="15"/>
      <c r="E11" s="15"/>
      <c r="F11" s="15"/>
      <c r="G11" s="15"/>
    </row>
    <row r="12" spans="2:7">
      <c r="B12" s="16" t="s">
        <v>36</v>
      </c>
      <c r="C12" s="16">
        <f>C5*2%</f>
        <v>276000</v>
      </c>
      <c r="D12" s="15"/>
      <c r="E12" s="15"/>
      <c r="F12" s="15"/>
      <c r="G12" s="15"/>
    </row>
    <row r="13" spans="2:7">
      <c r="B13" s="16" t="s">
        <v>37</v>
      </c>
      <c r="C13" s="16">
        <f>C5*1.5%</f>
        <v>207000</v>
      </c>
      <c r="D13" s="15"/>
      <c r="E13" s="15"/>
      <c r="F13" s="15"/>
      <c r="G13" s="15"/>
    </row>
    <row r="14" spans="2:7">
      <c r="B14" s="15"/>
      <c r="C14" s="15"/>
      <c r="D14" s="15"/>
      <c r="E14" s="15"/>
      <c r="F14" s="15"/>
      <c r="G14" s="15"/>
    </row>
    <row r="15" spans="2:7">
      <c r="B15" s="16" t="s">
        <v>38</v>
      </c>
      <c r="C15" s="16">
        <f>C7-C9</f>
        <v>2958000</v>
      </c>
      <c r="D15" s="15"/>
      <c r="E15" s="15"/>
      <c r="F15" s="15"/>
      <c r="G15" s="15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D3A71-3772-4DDE-A85D-6D970D117689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4" max="6" width="13.75" bestFit="1" customWidth="1" outlineLevel="1"/>
  </cols>
  <sheetData>
    <row r="1" spans="2:6" ht="17.25" thickBot="1"/>
    <row r="2" spans="2:6">
      <c r="B2" s="7" t="s">
        <v>20</v>
      </c>
      <c r="C2" s="8"/>
      <c r="D2" s="12"/>
      <c r="E2" s="12"/>
      <c r="F2" s="12"/>
    </row>
    <row r="3" spans="2:6" collapsed="1">
      <c r="B3" s="6"/>
      <c r="C3" s="6"/>
      <c r="D3" s="13" t="s">
        <v>22</v>
      </c>
      <c r="E3" s="13" t="s">
        <v>41</v>
      </c>
      <c r="F3" s="13" t="s">
        <v>42</v>
      </c>
    </row>
    <row r="4" spans="2:6" hidden="1" outlineLevel="1">
      <c r="B4" s="24"/>
      <c r="C4" s="24"/>
      <c r="E4" s="25"/>
      <c r="F4" s="25"/>
    </row>
    <row r="5" spans="2:6">
      <c r="B5" s="9" t="s">
        <v>21</v>
      </c>
      <c r="C5" s="10"/>
      <c r="D5" s="22"/>
      <c r="E5" s="22"/>
      <c r="F5" s="22"/>
    </row>
    <row r="6" spans="2:6" outlineLevel="1">
      <c r="B6" s="24"/>
      <c r="C6" s="24" t="s">
        <v>39</v>
      </c>
      <c r="D6">
        <v>3000</v>
      </c>
      <c r="E6" s="23">
        <v>4000</v>
      </c>
      <c r="F6" s="23">
        <v>2000</v>
      </c>
    </row>
    <row r="7" spans="2:6">
      <c r="B7" s="9" t="s">
        <v>23</v>
      </c>
      <c r="C7" s="10"/>
      <c r="D7" s="22"/>
      <c r="E7" s="22"/>
      <c r="F7" s="22"/>
    </row>
    <row r="8" spans="2:6" ht="17.25" outlineLevel="1" thickBot="1">
      <c r="B8" s="11"/>
      <c r="C8" s="11" t="s">
        <v>40</v>
      </c>
      <c r="D8" s="21">
        <v>2958000</v>
      </c>
      <c r="E8" s="21">
        <v>3944000</v>
      </c>
      <c r="F8" s="21">
        <v>1972000</v>
      </c>
    </row>
    <row r="9" spans="2:6">
      <c r="B9" t="s">
        <v>24</v>
      </c>
    </row>
    <row r="10" spans="2:6">
      <c r="B10" t="s">
        <v>25</v>
      </c>
    </row>
    <row r="11" spans="2:6">
      <c r="B11" t="s">
        <v>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8"/>
  <sheetViews>
    <sheetView workbookViewId="0">
      <selection sqref="A1:G1"/>
    </sheetView>
  </sheetViews>
  <sheetFormatPr defaultRowHeight="16.5"/>
  <cols>
    <col min="3" max="4" width="9.875" bestFit="1" customWidth="1"/>
    <col min="5" max="6" width="10.875" bestFit="1" customWidth="1"/>
    <col min="7" max="7" width="9.375" bestFit="1" customWidth="1"/>
  </cols>
  <sheetData>
    <row r="1" spans="1:7" ht="20.25">
      <c r="A1" s="17" t="s">
        <v>0</v>
      </c>
      <c r="B1" s="17"/>
      <c r="C1" s="17"/>
      <c r="D1" s="17"/>
      <c r="E1" s="17"/>
      <c r="F1" s="17"/>
      <c r="G1" s="17"/>
    </row>
    <row r="3" spans="1:7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>
      <c r="A4" s="1" t="s">
        <v>8</v>
      </c>
      <c r="B4" s="1">
        <v>101</v>
      </c>
      <c r="C4" s="2">
        <v>45661</v>
      </c>
      <c r="D4" s="2">
        <v>45664</v>
      </c>
      <c r="E4" s="3">
        <v>400000</v>
      </c>
      <c r="F4" s="3">
        <v>430000</v>
      </c>
      <c r="G4" s="3">
        <f>F4*$B$18</f>
        <v>51600</v>
      </c>
    </row>
    <row r="5" spans="1:7">
      <c r="A5" s="1" t="s">
        <v>8</v>
      </c>
      <c r="B5" s="1">
        <v>102</v>
      </c>
      <c r="C5" s="2">
        <v>45672</v>
      </c>
      <c r="D5" s="2">
        <v>45675</v>
      </c>
      <c r="E5" s="3">
        <v>1000000</v>
      </c>
      <c r="F5" s="3">
        <v>1070000</v>
      </c>
      <c r="G5" s="3">
        <f t="shared" ref="G5:G15" si="0">F5*$B$18</f>
        <v>128400</v>
      </c>
    </row>
    <row r="6" spans="1:7">
      <c r="A6" s="1" t="s">
        <v>8</v>
      </c>
      <c r="B6" s="1">
        <v>103</v>
      </c>
      <c r="C6" s="2">
        <v>45678</v>
      </c>
      <c r="D6" s="2">
        <v>45680</v>
      </c>
      <c r="E6" s="3">
        <v>100000</v>
      </c>
      <c r="F6" s="3">
        <v>120000</v>
      </c>
      <c r="G6" s="3">
        <f t="shared" si="0"/>
        <v>14400</v>
      </c>
    </row>
    <row r="7" spans="1:7">
      <c r="A7" s="18" t="s">
        <v>9</v>
      </c>
      <c r="B7" s="19"/>
      <c r="C7" s="19"/>
      <c r="D7" s="20"/>
      <c r="E7" s="3">
        <f>SUM(E4:E6)</f>
        <v>1500000</v>
      </c>
      <c r="F7" s="3">
        <f t="shared" ref="F7" si="1">SUM(F4:F6)</f>
        <v>1620000</v>
      </c>
      <c r="G7" s="3">
        <f>SUM(G4:G6)</f>
        <v>194400</v>
      </c>
    </row>
    <row r="8" spans="1:7">
      <c r="A8" s="1" t="s">
        <v>10</v>
      </c>
      <c r="B8" s="1">
        <v>102</v>
      </c>
      <c r="C8" s="2">
        <v>45694</v>
      </c>
      <c r="D8" s="2">
        <v>45696</v>
      </c>
      <c r="E8" s="3">
        <v>500000</v>
      </c>
      <c r="F8" s="3">
        <v>550000</v>
      </c>
      <c r="G8" s="3">
        <f t="shared" si="0"/>
        <v>66000</v>
      </c>
    </row>
    <row r="9" spans="1:7">
      <c r="A9" s="1" t="s">
        <v>10</v>
      </c>
      <c r="B9" s="1">
        <v>103</v>
      </c>
      <c r="C9" s="2">
        <v>45698</v>
      </c>
      <c r="D9" s="2">
        <v>45700</v>
      </c>
      <c r="E9" s="3">
        <v>450000</v>
      </c>
      <c r="F9" s="3">
        <v>480000</v>
      </c>
      <c r="G9" s="3">
        <f t="shared" si="0"/>
        <v>57600</v>
      </c>
    </row>
    <row r="10" spans="1:7">
      <c r="A10" s="1" t="s">
        <v>10</v>
      </c>
      <c r="B10" s="1">
        <v>103</v>
      </c>
      <c r="C10" s="2">
        <v>45701</v>
      </c>
      <c r="D10" s="2">
        <v>45704</v>
      </c>
      <c r="E10" s="3">
        <v>450000</v>
      </c>
      <c r="F10" s="3">
        <v>480000</v>
      </c>
      <c r="G10" s="3">
        <f t="shared" si="0"/>
        <v>57600</v>
      </c>
    </row>
    <row r="11" spans="1:7">
      <c r="A11" s="1" t="s">
        <v>10</v>
      </c>
      <c r="B11" s="1">
        <v>104</v>
      </c>
      <c r="C11" s="2">
        <v>45711</v>
      </c>
      <c r="D11" s="2">
        <v>45713</v>
      </c>
      <c r="E11" s="3">
        <v>500000</v>
      </c>
      <c r="F11" s="3">
        <v>540000</v>
      </c>
      <c r="G11" s="3">
        <f t="shared" si="0"/>
        <v>64800</v>
      </c>
    </row>
    <row r="12" spans="1:7">
      <c r="A12" s="18" t="s">
        <v>9</v>
      </c>
      <c r="B12" s="19"/>
      <c r="C12" s="19"/>
      <c r="D12" s="20"/>
      <c r="E12" s="3">
        <f>SUM(E8:E11)</f>
        <v>1900000</v>
      </c>
      <c r="F12" s="3">
        <f t="shared" ref="F12" si="2">SUM(F8:F11)</f>
        <v>2050000</v>
      </c>
      <c r="G12" s="3">
        <f>SUM(G8:G11)</f>
        <v>246000</v>
      </c>
    </row>
    <row r="13" spans="1:7">
      <c r="A13" s="1" t="s">
        <v>11</v>
      </c>
      <c r="B13" s="1">
        <v>101</v>
      </c>
      <c r="C13" s="2">
        <v>45718</v>
      </c>
      <c r="D13" s="2">
        <v>45721</v>
      </c>
      <c r="E13" s="3">
        <v>500000</v>
      </c>
      <c r="F13" s="3">
        <v>550000</v>
      </c>
      <c r="G13" s="3">
        <f t="shared" si="0"/>
        <v>66000</v>
      </c>
    </row>
    <row r="14" spans="1:7">
      <c r="A14" s="1" t="s">
        <v>11</v>
      </c>
      <c r="B14" s="1">
        <v>102</v>
      </c>
      <c r="C14" s="2">
        <v>45725</v>
      </c>
      <c r="D14" s="2">
        <v>45727</v>
      </c>
      <c r="E14" s="3">
        <v>1400000</v>
      </c>
      <c r="F14" s="3">
        <v>1450000</v>
      </c>
      <c r="G14" s="3">
        <f t="shared" si="0"/>
        <v>174000</v>
      </c>
    </row>
    <row r="15" spans="1:7">
      <c r="A15" s="1" t="s">
        <v>11</v>
      </c>
      <c r="B15" s="1">
        <v>104</v>
      </c>
      <c r="C15" s="2">
        <v>45730</v>
      </c>
      <c r="D15" s="2">
        <v>45736</v>
      </c>
      <c r="E15" s="3">
        <v>1500000</v>
      </c>
      <c r="F15" s="3">
        <v>1560000</v>
      </c>
      <c r="G15" s="3">
        <f t="shared" si="0"/>
        <v>187200</v>
      </c>
    </row>
    <row r="16" spans="1:7">
      <c r="A16" s="18" t="s">
        <v>9</v>
      </c>
      <c r="B16" s="19"/>
      <c r="C16" s="19"/>
      <c r="D16" s="20"/>
      <c r="E16" s="3">
        <f>SUM(E13:E15)</f>
        <v>3400000</v>
      </c>
      <c r="F16" s="3">
        <f t="shared" ref="F16:G16" si="3">SUM(F13:F15)</f>
        <v>3560000</v>
      </c>
      <c r="G16" s="3">
        <f t="shared" si="3"/>
        <v>427200</v>
      </c>
    </row>
    <row r="18" spans="1:2">
      <c r="A18" s="4" t="s">
        <v>12</v>
      </c>
      <c r="B18" s="5">
        <v>0.12</v>
      </c>
    </row>
  </sheetData>
  <mergeCells count="4">
    <mergeCell ref="A1:G1"/>
    <mergeCell ref="A7:D7"/>
    <mergeCell ref="A12:D12"/>
    <mergeCell ref="A16:D16"/>
  </mergeCells>
  <phoneticPr fontId="2" type="noConversion"/>
  <pageMargins left="0.7" right="0.7" top="0.75" bottom="0.75" header="0.3" footer="0.3"/>
  <pageSetup paperSize="9" orientation="portrait" horizontalDpi="4294967292" r:id="rId1"/>
  <ignoredErrors>
    <ignoredError sqref="G7 G1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E2D0D-0CEA-44E2-977C-40D0F4E308D1}">
  <sheetPr>
    <outlinePr summaryBelow="0"/>
  </sheetPr>
  <dimension ref="B1:F13"/>
  <sheetViews>
    <sheetView showGridLines="0" workbookViewId="0"/>
  </sheetViews>
  <sheetFormatPr defaultRowHeight="16.5" outlineLevelRow="1" outlineLevelCol="1"/>
  <cols>
    <col min="3" max="3" width="8.125" bestFit="1" customWidth="1"/>
    <col min="4" max="6" width="9.375" bestFit="1" customWidth="1" outlineLevel="1"/>
  </cols>
  <sheetData>
    <row r="1" spans="2:6" ht="17.25" thickBot="1"/>
    <row r="2" spans="2:6">
      <c r="B2" s="7" t="s">
        <v>20</v>
      </c>
      <c r="C2" s="8"/>
      <c r="D2" s="12"/>
      <c r="E2" s="12"/>
      <c r="F2" s="12"/>
    </row>
    <row r="3" spans="2:6" collapsed="1">
      <c r="B3" s="6"/>
      <c r="C3" s="6"/>
      <c r="D3" s="13" t="s">
        <v>22</v>
      </c>
      <c r="E3" s="13" t="s">
        <v>18</v>
      </c>
      <c r="F3" s="13" t="s">
        <v>19</v>
      </c>
    </row>
    <row r="4" spans="2:6" hidden="1" outlineLevel="1">
      <c r="B4" s="24"/>
      <c r="C4" s="24"/>
      <c r="E4" s="25"/>
      <c r="F4" s="25"/>
    </row>
    <row r="5" spans="2:6">
      <c r="B5" s="9" t="s">
        <v>21</v>
      </c>
      <c r="C5" s="10"/>
      <c r="D5" s="22"/>
      <c r="E5" s="22"/>
      <c r="F5" s="22"/>
    </row>
    <row r="6" spans="2:6" outlineLevel="1">
      <c r="B6" s="24"/>
      <c r="C6" s="24" t="s">
        <v>14</v>
      </c>
      <c r="D6" s="29">
        <v>0.12</v>
      </c>
      <c r="E6" s="28">
        <v>0.15</v>
      </c>
      <c r="F6" s="28">
        <v>0.09</v>
      </c>
    </row>
    <row r="7" spans="2:6">
      <c r="B7" s="9" t="s">
        <v>23</v>
      </c>
      <c r="C7" s="10"/>
      <c r="D7" s="22"/>
      <c r="E7" s="22"/>
      <c r="F7" s="22"/>
    </row>
    <row r="8" spans="2:6" outlineLevel="1">
      <c r="B8" s="24"/>
      <c r="C8" s="24" t="s">
        <v>15</v>
      </c>
      <c r="D8" s="27">
        <v>194400</v>
      </c>
      <c r="E8" s="27">
        <v>243000</v>
      </c>
      <c r="F8" s="27">
        <v>145800</v>
      </c>
    </row>
    <row r="9" spans="2:6" outlineLevel="1">
      <c r="B9" s="24"/>
      <c r="C9" s="24" t="s">
        <v>16</v>
      </c>
      <c r="D9" s="27">
        <v>246000</v>
      </c>
      <c r="E9" s="27">
        <v>307500</v>
      </c>
      <c r="F9" s="27">
        <v>184500</v>
      </c>
    </row>
    <row r="10" spans="2:6" ht="17.25" outlineLevel="1" thickBot="1">
      <c r="B10" s="11"/>
      <c r="C10" s="11" t="s">
        <v>17</v>
      </c>
      <c r="D10" s="26">
        <v>427200</v>
      </c>
      <c r="E10" s="26">
        <v>534000</v>
      </c>
      <c r="F10" s="26">
        <v>320400</v>
      </c>
    </row>
    <row r="11" spans="2:6">
      <c r="B11" t="s">
        <v>24</v>
      </c>
    </row>
    <row r="12" spans="2:6">
      <c r="B12" t="s">
        <v>25</v>
      </c>
    </row>
    <row r="13" spans="2:6">
      <c r="B13" t="s">
        <v>26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시나리오1</vt:lpstr>
      <vt:lpstr>시나리오1(결과)</vt:lpstr>
      <vt:lpstr>시나리오2</vt:lpstr>
      <vt:lpstr>시나리오2(결과)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2020-04-05T12:25:38Z</dcterms:created>
  <dcterms:modified xsi:type="dcterms:W3CDTF">2023-08-05T03:07:13Z</dcterms:modified>
</cp:coreProperties>
</file>