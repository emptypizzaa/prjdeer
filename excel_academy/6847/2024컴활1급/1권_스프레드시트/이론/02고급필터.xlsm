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8CC626EA-5060-41BA-B835-0095A7B0162D}" xr6:coauthVersionLast="47" xr6:coauthVersionMax="47" xr10:uidLastSave="{00000000-0000-0000-0000-000000000000}"/>
  <bookViews>
    <workbookView xWindow="19965" yWindow="990" windowWidth="16695" windowHeight="13110" tabRatio="847" xr2:uid="{00000000-000D-0000-FFFF-FFFF00000000}"/>
  </bookViews>
  <sheets>
    <sheet name="고급필터1" sheetId="5" r:id="rId1"/>
    <sheet name="고급필터1(결과)" sheetId="1" r:id="rId2"/>
    <sheet name="고급필터2" sheetId="7" r:id="rId3"/>
    <sheet name="고급필터2(결과)" sheetId="10" r:id="rId4"/>
    <sheet name="자동필터" sheetId="4" r:id="rId5"/>
    <sheet name="자동필터(결과)" sheetId="8" r:id="rId6"/>
  </sheets>
  <definedNames>
    <definedName name="_xlnm._FilterDatabase" localSheetId="1" hidden="1">'고급필터1(결과)'!$A$3:$G$38</definedName>
    <definedName name="_xlnm._FilterDatabase" localSheetId="2" hidden="1">고급필터2!$A$2:$G$30</definedName>
    <definedName name="_xlnm._FilterDatabase" localSheetId="3" hidden="1">'고급필터2(결과)'!$A$2:$G$30</definedName>
    <definedName name="_xlnm._FilterDatabase" localSheetId="4" hidden="1">자동필터!$B$3:$H$12</definedName>
    <definedName name="_xlnm._FilterDatabase" localSheetId="5" hidden="1">'자동필터(결과)'!$B$3:$H$12</definedName>
    <definedName name="_xlnm.Criteria" localSheetId="1">'고급필터1(결과)'!$A$40:$A$41</definedName>
    <definedName name="_xlnm.Criteria" localSheetId="2">고급필터2!#REF!</definedName>
    <definedName name="_xlnm.Criteria" localSheetId="3">'고급필터2(결과)'!$I$2:$I$3</definedName>
    <definedName name="_xlnm.Extract" localSheetId="1">'고급필터1(결과)'!$A$43:$G$43</definedName>
    <definedName name="_xlnm.Extract" localSheetId="2">고급필터2!#REF!</definedName>
    <definedName name="_xlnm.Extract" localSheetId="3">'고급필터2(결과)'!$I$5:$L$5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0" l="1"/>
  <c r="A41" i="1"/>
</calcChain>
</file>

<file path=xl/sharedStrings.xml><?xml version="1.0" encoding="utf-8"?>
<sst xmlns="http://schemas.openxmlformats.org/spreadsheetml/2006/main" count="535" uniqueCount="181">
  <si>
    <t>[표1]</t>
    <phoneticPr fontId="3" type="noConversion"/>
  </si>
  <si>
    <t>과정명</t>
    <phoneticPr fontId="3" type="noConversion"/>
  </si>
  <si>
    <t>수강생코드</t>
    <phoneticPr fontId="3" type="noConversion"/>
  </si>
  <si>
    <t>3월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</si>
  <si>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</si>
  <si>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</si>
  <si>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</si>
  <si>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학점평균</t>
    <phoneticPr fontId="3" type="noConversion"/>
  </si>
  <si>
    <t>5B05</t>
  </si>
  <si>
    <t>S-20-14</t>
  </si>
  <si>
    <t>6B00</t>
  </si>
  <si>
    <t>S-37-29</t>
  </si>
  <si>
    <t>S-81-88</t>
  </si>
  <si>
    <t>7B06</t>
  </si>
  <si>
    <t>S-25-61</t>
  </si>
  <si>
    <t>6B06</t>
  </si>
  <si>
    <t>S-20-53</t>
  </si>
  <si>
    <t>7B08</t>
  </si>
  <si>
    <t>S-73-72</t>
  </si>
  <si>
    <t>7B02</t>
  </si>
  <si>
    <t>S-94-36</t>
    <phoneticPr fontId="3" type="noConversion"/>
  </si>
  <si>
    <t>5B06</t>
  </si>
  <si>
    <t>S-45-19</t>
  </si>
  <si>
    <t>5B08</t>
  </si>
  <si>
    <t>S-07-69</t>
    <phoneticPr fontId="3" type="noConversion"/>
  </si>
  <si>
    <t>5B00</t>
  </si>
  <si>
    <t>S-34-15</t>
  </si>
  <si>
    <t>7B04</t>
  </si>
  <si>
    <t>S-56-35</t>
  </si>
  <si>
    <t>S-23-37</t>
  </si>
  <si>
    <t>5B02</t>
    <phoneticPr fontId="3" type="noConversion"/>
  </si>
  <si>
    <t>S-26-80</t>
  </si>
  <si>
    <t>5B01</t>
  </si>
  <si>
    <t>S-50-14</t>
  </si>
  <si>
    <t>7B07</t>
  </si>
  <si>
    <t>S-60-36</t>
  </si>
  <si>
    <t>5B04</t>
  </si>
  <si>
    <t>S-11-86</t>
  </si>
  <si>
    <t>S-01-13</t>
    <phoneticPr fontId="3" type="noConversion"/>
  </si>
  <si>
    <t>6B01</t>
  </si>
  <si>
    <t>S-74-94</t>
    <phoneticPr fontId="3" type="noConversion"/>
  </si>
  <si>
    <t>6B04</t>
  </si>
  <si>
    <t>S-40-27</t>
  </si>
  <si>
    <t>8B08</t>
  </si>
  <si>
    <t>S-17-41</t>
  </si>
  <si>
    <t>7B01</t>
  </si>
  <si>
    <t>S-46-51</t>
  </si>
  <si>
    <t>8B06</t>
  </si>
  <si>
    <t>S-55-43</t>
  </si>
  <si>
    <t>8B01</t>
  </si>
  <si>
    <t>S-94-99</t>
  </si>
  <si>
    <t>5B07</t>
  </si>
  <si>
    <t>S-76-71</t>
  </si>
  <si>
    <t>S-54-77</t>
  </si>
  <si>
    <t>S-19-08</t>
  </si>
  <si>
    <t>5B02</t>
  </si>
  <si>
    <t>S-10-69</t>
  </si>
  <si>
    <t>6B03</t>
    <phoneticPr fontId="3" type="noConversion"/>
  </si>
  <si>
    <t>S-07-41</t>
    <phoneticPr fontId="3" type="noConversion"/>
  </si>
  <si>
    <t>8B04</t>
    <phoneticPr fontId="3" type="noConversion"/>
  </si>
  <si>
    <t>S-59-51</t>
    <phoneticPr fontId="3" type="noConversion"/>
  </si>
  <si>
    <t>5B05</t>
    <phoneticPr fontId="3" type="noConversion"/>
  </si>
  <si>
    <t>S-54-43</t>
    <phoneticPr fontId="3" type="noConversion"/>
  </si>
  <si>
    <t>8B04</t>
    <phoneticPr fontId="3" type="noConversion"/>
  </si>
  <si>
    <t>S-35-99</t>
    <phoneticPr fontId="3" type="noConversion"/>
  </si>
  <si>
    <t>8B02</t>
    <phoneticPr fontId="3" type="noConversion"/>
  </si>
  <si>
    <t>S-59-71</t>
    <phoneticPr fontId="3" type="noConversion"/>
  </si>
  <si>
    <t>7B03</t>
    <phoneticPr fontId="3" type="noConversion"/>
  </si>
  <si>
    <t>S-57-77</t>
    <phoneticPr fontId="3" type="noConversion"/>
  </si>
  <si>
    <t>5B02</t>
    <phoneticPr fontId="3" type="noConversion"/>
  </si>
  <si>
    <t>S-52-08</t>
    <phoneticPr fontId="3" type="noConversion"/>
  </si>
  <si>
    <t>8B03</t>
    <phoneticPr fontId="3" type="noConversion"/>
  </si>
  <si>
    <t>S-52-69</t>
    <phoneticPr fontId="3" type="noConversion"/>
  </si>
  <si>
    <t>환자코드</t>
    <phoneticPr fontId="3" type="noConversion"/>
  </si>
  <si>
    <t>성명</t>
    <phoneticPr fontId="3" type="noConversion"/>
  </si>
  <si>
    <t>생년월일</t>
    <phoneticPr fontId="3" type="noConversion"/>
  </si>
  <si>
    <t>성별</t>
    <phoneticPr fontId="3" type="noConversion"/>
  </si>
  <si>
    <t>진료과목</t>
    <phoneticPr fontId="3" type="noConversion"/>
  </si>
  <si>
    <t>담당의사</t>
    <phoneticPr fontId="3" type="noConversion"/>
  </si>
  <si>
    <t>진료시간</t>
    <phoneticPr fontId="3" type="noConversion"/>
  </si>
  <si>
    <t>A014</t>
  </si>
  <si>
    <t>성애연</t>
  </si>
  <si>
    <t>여</t>
    <phoneticPr fontId="3" type="noConversion"/>
  </si>
  <si>
    <t>호흡기내과</t>
    <phoneticPr fontId="3" type="noConversion"/>
  </si>
  <si>
    <t>김지수</t>
  </si>
  <si>
    <t>B215</t>
    <phoneticPr fontId="3" type="noConversion"/>
  </si>
  <si>
    <t>소금진</t>
  </si>
  <si>
    <t>남</t>
    <phoneticPr fontId="3" type="noConversion"/>
  </si>
  <si>
    <t>피부과</t>
    <phoneticPr fontId="3" type="noConversion"/>
  </si>
  <si>
    <t>김종남</t>
  </si>
  <si>
    <t>A018</t>
  </si>
  <si>
    <t>강말순</t>
  </si>
  <si>
    <t>흉부외과</t>
    <phoneticPr fontId="3" type="noConversion"/>
  </si>
  <si>
    <t>박종식</t>
  </si>
  <si>
    <t>F302</t>
  </si>
  <si>
    <t>김상호</t>
  </si>
  <si>
    <t>소화기내과</t>
    <phoneticPr fontId="3" type="noConversion"/>
  </si>
  <si>
    <t>남민종</t>
  </si>
  <si>
    <t>B216</t>
  </si>
  <si>
    <t>김병철</t>
  </si>
  <si>
    <t>A051</t>
    <phoneticPr fontId="3" type="noConversion"/>
  </si>
  <si>
    <t>전만호</t>
  </si>
  <si>
    <t>신경외과</t>
    <phoneticPr fontId="3" type="noConversion"/>
  </si>
  <si>
    <t>임지영</t>
  </si>
  <si>
    <t>C109</t>
  </si>
  <si>
    <t>전준호</t>
  </si>
  <si>
    <t>D210</t>
    <phoneticPr fontId="3" type="noConversion"/>
  </si>
  <si>
    <t>용화숙</t>
  </si>
  <si>
    <t>A011</t>
    <phoneticPr fontId="3" type="noConversion"/>
  </si>
  <si>
    <t>이수만</t>
  </si>
  <si>
    <t>D371</t>
    <phoneticPr fontId="3" type="noConversion"/>
  </si>
  <si>
    <t>이종호</t>
  </si>
  <si>
    <t>정형외과</t>
    <phoneticPr fontId="3" type="noConversion"/>
  </si>
  <si>
    <t>하석태</t>
  </si>
  <si>
    <t>C101</t>
    <phoneticPr fontId="3" type="noConversion"/>
  </si>
  <si>
    <t>진보람</t>
  </si>
  <si>
    <t>F301</t>
    <phoneticPr fontId="3" type="noConversion"/>
  </si>
  <si>
    <t>오현정</t>
  </si>
  <si>
    <t>C229</t>
  </si>
  <si>
    <t>이태백</t>
  </si>
  <si>
    <t>가정의학과</t>
    <phoneticPr fontId="3" type="noConversion"/>
  </si>
  <si>
    <t>편영표</t>
  </si>
  <si>
    <t>D372</t>
    <phoneticPr fontId="3" type="noConversion"/>
  </si>
  <si>
    <t>김서우</t>
    <phoneticPr fontId="3" type="noConversion"/>
  </si>
  <si>
    <t>산부인과</t>
    <phoneticPr fontId="3" type="noConversion"/>
  </si>
  <si>
    <t>곽수지</t>
  </si>
  <si>
    <t>D051</t>
    <phoneticPr fontId="3" type="noConversion"/>
  </si>
  <si>
    <t>양경숙</t>
  </si>
  <si>
    <t>A013</t>
  </si>
  <si>
    <t>이영덕</t>
  </si>
  <si>
    <t>D052</t>
  </si>
  <si>
    <t>강진희</t>
  </si>
  <si>
    <t>B217</t>
  </si>
  <si>
    <t>이샛별</t>
    <phoneticPr fontId="3" type="noConversion"/>
  </si>
  <si>
    <t>C228</t>
    <phoneticPr fontId="3" type="noConversion"/>
  </si>
  <si>
    <t>김정근</t>
  </si>
  <si>
    <t>A017</t>
  </si>
  <si>
    <t>임효인</t>
    <phoneticPr fontId="3" type="noConversion"/>
  </si>
  <si>
    <t>D213</t>
  </si>
  <si>
    <t>이유라</t>
    <phoneticPr fontId="3" type="noConversion"/>
  </si>
  <si>
    <t>D331</t>
    <phoneticPr fontId="3" type="noConversion"/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</si>
  <si>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</si>
  <si>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</si>
  <si>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</si>
  <si>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</si>
  <si>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</si>
  <si>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</si>
  <si>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</si>
  <si>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</si>
  <si>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</si>
  <si>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</si>
  <si>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</si>
  <si>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  <phoneticPr fontId="3" type="noConversion"/>
  </si>
  <si>
    <t>박철수</t>
  </si>
  <si>
    <t>대리점별 보트 판매현황</t>
    <phoneticPr fontId="5" type="noConversion"/>
  </si>
  <si>
    <t>지역</t>
    <phoneticPr fontId="5" type="noConversion"/>
  </si>
  <si>
    <t>대리점명</t>
    <phoneticPr fontId="5" type="noConversion"/>
  </si>
  <si>
    <t>계획수량</t>
    <phoneticPr fontId="5" type="noConversion"/>
  </si>
  <si>
    <t>판매수량</t>
    <phoneticPr fontId="5" type="noConversion"/>
  </si>
  <si>
    <t>초과판매</t>
    <phoneticPr fontId="5" type="noConversion"/>
  </si>
  <si>
    <t>실적률</t>
    <phoneticPr fontId="5" type="noConversion"/>
  </si>
  <si>
    <t>순위</t>
    <phoneticPr fontId="5" type="noConversion"/>
  </si>
  <si>
    <t>인천</t>
    <phoneticPr fontId="5" type="noConversion"/>
  </si>
  <si>
    <t>영남</t>
    <phoneticPr fontId="5" type="noConversion"/>
  </si>
  <si>
    <t>강북</t>
    <phoneticPr fontId="5" type="noConversion"/>
  </si>
  <si>
    <t>강산</t>
    <phoneticPr fontId="5" type="noConversion"/>
  </si>
  <si>
    <t>강남</t>
    <phoneticPr fontId="5" type="noConversion"/>
  </si>
  <si>
    <t>백야</t>
    <phoneticPr fontId="5" type="noConversion"/>
  </si>
  <si>
    <t>부산</t>
    <phoneticPr fontId="5" type="noConversion"/>
  </si>
  <si>
    <t>광야</t>
    <phoneticPr fontId="5" type="noConversion"/>
  </si>
  <si>
    <t>광주</t>
    <phoneticPr fontId="5" type="noConversion"/>
  </si>
  <si>
    <t>정일</t>
    <phoneticPr fontId="5" type="noConversion"/>
  </si>
  <si>
    <t>대전</t>
    <phoneticPr fontId="5" type="noConversion"/>
  </si>
  <si>
    <t>남산</t>
    <phoneticPr fontId="5" type="noConversion"/>
  </si>
  <si>
    <t>청주</t>
    <phoneticPr fontId="5" type="noConversion"/>
  </si>
  <si>
    <t>장산</t>
    <phoneticPr fontId="5" type="noConversion"/>
  </si>
  <si>
    <t>전주</t>
    <phoneticPr fontId="5" type="noConversion"/>
  </si>
  <si>
    <t>국제</t>
    <phoneticPr fontId="5" type="noConversion"/>
  </si>
  <si>
    <t>대구</t>
    <phoneticPr fontId="5" type="noConversion"/>
  </si>
  <si>
    <t>동문</t>
    <phoneticPr fontId="5" type="noConversion"/>
  </si>
  <si>
    <t>조건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</si>
</sst>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0_ "/>
    <numFmt numFmtId="177" formatCode="hh:mm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14" fontId="0" fillId="2" borderId="4" xfId="0" applyNumberFormat="1" applyFont="1" applyFill="1" applyBorder="1" applyAlignment="1">
      <alignment horizontal="center" vertical="center"/>
    </xf>
    <xf numFmtId="177" fontId="0" fillId="2" borderId="5" xfId="0" applyNumberFormat="1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4" fontId="0" fillId="0" borderId="2" xfId="0" applyNumberFormat="1" applyFont="1" applyBorder="1" applyAlignment="1">
      <alignment horizontal="center" vertical="center"/>
    </xf>
    <xf numFmtId="177" fontId="0" fillId="0" borderId="3" xfId="0" applyNumberFormat="1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14" fontId="0" fillId="2" borderId="2" xfId="0" applyNumberFormat="1" applyFont="1" applyFill="1" applyBorder="1" applyAlignment="1">
      <alignment horizontal="center" vertical="center"/>
    </xf>
    <xf numFmtId="177" fontId="0" fillId="2" borderId="3" xfId="0" applyNumberFormat="1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14" fontId="0" fillId="0" borderId="6" xfId="0" applyNumberFormat="1" applyFont="1" applyBorder="1" applyAlignment="1">
      <alignment horizontal="center" vertical="center"/>
    </xf>
    <xf numFmtId="177" fontId="0" fillId="0" borderId="7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176" fontId="6" fillId="0" borderId="1" xfId="0" applyNumberFormat="1" applyFont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77" fontId="0" fillId="2" borderId="5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4" fontId="0" fillId="2" borderId="4" xfId="0" applyNumberForma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G38"/>
  <sheetViews>
    <sheetView tabSelected="1" workbookViewId="0"/>
  </sheetViews>
  <sheetFormatPr defaultRowHeight="16.5"/>
  <cols>
    <col min="2" max="2" width="10.375" bestFit="1" customWidth="1"/>
  </cols>
  <sheetData>
    <row r="2" spans="1:7">
      <c r="A2" t="s">
        <v>0</v>
      </c>
    </row>
    <row r="3" spans="1:7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>
      <c r="A4" s="1" t="s">
        <v>8</v>
      </c>
      <c r="B4" s="1" t="s">
        <v>9</v>
      </c>
      <c r="C4" s="2">
        <v>3.93</v>
      </c>
      <c r="D4" s="2">
        <v>1.08</v>
      </c>
      <c r="E4" s="2">
        <v>1.52</v>
      </c>
      <c r="F4" s="2">
        <v>2.3199999999999998</v>
      </c>
      <c r="G4" s="2">
        <v>2.21</v>
      </c>
    </row>
    <row r="5" spans="1:7">
      <c r="A5" s="1" t="s">
        <v>10</v>
      </c>
      <c r="B5" s="1" t="s">
        <v>11</v>
      </c>
      <c r="C5" s="2">
        <v>4.32</v>
      </c>
      <c r="D5" s="2">
        <v>2.76</v>
      </c>
      <c r="E5" s="2">
        <v>4.29</v>
      </c>
      <c r="F5" s="2">
        <v>3.71</v>
      </c>
      <c r="G5" s="2">
        <v>3.77</v>
      </c>
    </row>
    <row r="6" spans="1:7">
      <c r="A6" s="1" t="s">
        <v>8</v>
      </c>
      <c r="B6" s="1" t="s">
        <v>12</v>
      </c>
      <c r="C6" s="2">
        <v>3.18</v>
      </c>
      <c r="D6" s="2">
        <v>1.1599999999999999</v>
      </c>
      <c r="E6" s="2">
        <v>1.55</v>
      </c>
      <c r="F6" s="2">
        <v>1.07</v>
      </c>
      <c r="G6" s="2">
        <v>1.74</v>
      </c>
    </row>
    <row r="7" spans="1:7">
      <c r="A7" s="1" t="s">
        <v>13</v>
      </c>
      <c r="B7" s="1" t="s">
        <v>14</v>
      </c>
      <c r="C7" s="2">
        <v>4.13</v>
      </c>
      <c r="D7" s="2">
        <v>4.25</v>
      </c>
      <c r="E7" s="2">
        <v>3.93</v>
      </c>
      <c r="F7" s="2">
        <v>3.9</v>
      </c>
      <c r="G7" s="2">
        <v>4.05</v>
      </c>
    </row>
    <row r="8" spans="1:7">
      <c r="A8" s="1" t="s">
        <v>15</v>
      </c>
      <c r="B8" s="1" t="s">
        <v>16</v>
      </c>
      <c r="C8" s="2">
        <v>4.2</v>
      </c>
      <c r="D8" s="2">
        <v>4.3499999999999996</v>
      </c>
      <c r="E8" s="2">
        <v>4.1500000000000004</v>
      </c>
      <c r="F8" s="2">
        <v>3.99</v>
      </c>
      <c r="G8" s="2">
        <v>4.17</v>
      </c>
    </row>
    <row r="9" spans="1:7">
      <c r="A9" s="1" t="s">
        <v>17</v>
      </c>
      <c r="B9" s="1" t="s">
        <v>18</v>
      </c>
      <c r="C9" s="2">
        <v>3.48</v>
      </c>
      <c r="D9" s="2">
        <v>2.06</v>
      </c>
      <c r="E9" s="2">
        <v>2.34</v>
      </c>
      <c r="F9" s="2">
        <v>3.25</v>
      </c>
      <c r="G9" s="2">
        <v>2.78</v>
      </c>
    </row>
    <row r="10" spans="1:7">
      <c r="A10" s="1" t="s">
        <v>19</v>
      </c>
      <c r="B10" s="1" t="s">
        <v>20</v>
      </c>
      <c r="C10" s="2">
        <v>4.2</v>
      </c>
      <c r="D10" s="2">
        <v>3.96</v>
      </c>
      <c r="E10" s="2">
        <v>3.92</v>
      </c>
      <c r="F10" s="2">
        <v>3.98</v>
      </c>
      <c r="G10" s="2">
        <v>4.0199999999999996</v>
      </c>
    </row>
    <row r="11" spans="1:7">
      <c r="A11" s="1" t="s">
        <v>21</v>
      </c>
      <c r="B11" s="1" t="s">
        <v>22</v>
      </c>
      <c r="C11" s="2">
        <v>2.65</v>
      </c>
      <c r="D11" s="2">
        <v>3.88</v>
      </c>
      <c r="E11" s="2">
        <v>2.02</v>
      </c>
      <c r="F11" s="2">
        <v>1.36</v>
      </c>
      <c r="G11" s="2">
        <v>2.48</v>
      </c>
    </row>
    <row r="12" spans="1:7">
      <c r="A12" s="1" t="s">
        <v>23</v>
      </c>
      <c r="B12" s="1" t="s">
        <v>24</v>
      </c>
      <c r="C12" s="2">
        <v>4</v>
      </c>
      <c r="D12" s="2">
        <v>1.98</v>
      </c>
      <c r="E12" s="2">
        <v>1.32</v>
      </c>
      <c r="F12" s="2">
        <v>3.92</v>
      </c>
      <c r="G12" s="2">
        <v>2.81</v>
      </c>
    </row>
    <row r="13" spans="1:7">
      <c r="A13" s="1" t="s">
        <v>25</v>
      </c>
      <c r="B13" s="1" t="s">
        <v>26</v>
      </c>
      <c r="C13" s="2">
        <v>3.99</v>
      </c>
      <c r="D13" s="2">
        <v>3.97</v>
      </c>
      <c r="E13" s="2">
        <v>4.1500000000000004</v>
      </c>
      <c r="F13" s="2">
        <v>3.5</v>
      </c>
      <c r="G13" s="2">
        <v>3.9</v>
      </c>
    </row>
    <row r="14" spans="1:7">
      <c r="A14" s="1" t="s">
        <v>27</v>
      </c>
      <c r="B14" s="1" t="s">
        <v>28</v>
      </c>
      <c r="C14" s="2">
        <v>3.86</v>
      </c>
      <c r="D14" s="2">
        <v>1.61</v>
      </c>
      <c r="E14" s="2">
        <v>2.2000000000000002</v>
      </c>
      <c r="F14" s="2">
        <v>3.92</v>
      </c>
      <c r="G14" s="2">
        <v>2.9</v>
      </c>
    </row>
    <row r="15" spans="1:7">
      <c r="A15" s="1" t="s">
        <v>27</v>
      </c>
      <c r="B15" s="1" t="s">
        <v>29</v>
      </c>
      <c r="C15" s="2">
        <v>2.0499999999999998</v>
      </c>
      <c r="D15" s="2">
        <v>4.2300000000000004</v>
      </c>
      <c r="E15" s="2">
        <v>1.51</v>
      </c>
      <c r="F15" s="2">
        <v>3.61</v>
      </c>
      <c r="G15" s="2">
        <v>2.85</v>
      </c>
    </row>
    <row r="16" spans="1:7">
      <c r="A16" s="1" t="s">
        <v>30</v>
      </c>
      <c r="B16" s="1" t="s">
        <v>31</v>
      </c>
      <c r="C16" s="2">
        <v>1.1100000000000001</v>
      </c>
      <c r="D16" s="2">
        <v>3.97</v>
      </c>
      <c r="E16" s="2">
        <v>4.4000000000000004</v>
      </c>
      <c r="F16" s="2">
        <v>1.38</v>
      </c>
      <c r="G16" s="2">
        <v>2.72</v>
      </c>
    </row>
    <row r="17" spans="1:7">
      <c r="A17" s="1" t="s">
        <v>32</v>
      </c>
      <c r="B17" s="1" t="s">
        <v>33</v>
      </c>
      <c r="C17" s="2">
        <v>4.5</v>
      </c>
      <c r="D17" s="2">
        <v>4.2</v>
      </c>
      <c r="E17" s="2">
        <v>3.7</v>
      </c>
      <c r="F17" s="2">
        <v>4.3600000000000003</v>
      </c>
      <c r="G17" s="2">
        <v>4.1900000000000004</v>
      </c>
    </row>
    <row r="18" spans="1:7">
      <c r="A18" s="1" t="s">
        <v>34</v>
      </c>
      <c r="B18" s="1" t="s">
        <v>35</v>
      </c>
      <c r="C18" s="2">
        <v>2.66</v>
      </c>
      <c r="D18" s="2">
        <v>1.55</v>
      </c>
      <c r="E18" s="2">
        <v>1.31</v>
      </c>
      <c r="F18" s="2">
        <v>1.71</v>
      </c>
      <c r="G18" s="2">
        <v>1.81</v>
      </c>
    </row>
    <row r="19" spans="1:7">
      <c r="A19" s="1" t="s">
        <v>36</v>
      </c>
      <c r="B19" s="1" t="s">
        <v>37</v>
      </c>
      <c r="C19" s="2">
        <v>2.1800000000000002</v>
      </c>
      <c r="D19" s="2">
        <v>3.33</v>
      </c>
      <c r="E19" s="2">
        <v>3.99</v>
      </c>
      <c r="F19" s="2">
        <v>1.08</v>
      </c>
      <c r="G19" s="2">
        <v>2.65</v>
      </c>
    </row>
    <row r="20" spans="1:7">
      <c r="A20" s="1" t="s">
        <v>34</v>
      </c>
      <c r="B20" s="1" t="s">
        <v>38</v>
      </c>
      <c r="C20" s="2">
        <v>4.5</v>
      </c>
      <c r="D20" s="2">
        <v>3.09</v>
      </c>
      <c r="E20" s="2">
        <v>2.8</v>
      </c>
      <c r="F20" s="2">
        <v>3.78</v>
      </c>
      <c r="G20" s="2">
        <v>3.54</v>
      </c>
    </row>
    <row r="21" spans="1:7">
      <c r="A21" s="1" t="s">
        <v>39</v>
      </c>
      <c r="B21" s="1" t="s">
        <v>40</v>
      </c>
      <c r="C21" s="2">
        <v>4.21</v>
      </c>
      <c r="D21" s="2">
        <v>4.07</v>
      </c>
      <c r="E21" s="2">
        <v>3.23</v>
      </c>
      <c r="F21" s="2">
        <v>4.3899999999999997</v>
      </c>
      <c r="G21" s="2">
        <v>3.98</v>
      </c>
    </row>
    <row r="22" spans="1:7">
      <c r="A22" s="1" t="s">
        <v>41</v>
      </c>
      <c r="B22" s="1" t="s">
        <v>42</v>
      </c>
      <c r="C22" s="2">
        <v>2.69</v>
      </c>
      <c r="D22" s="2">
        <v>2.99</v>
      </c>
      <c r="E22" s="2">
        <v>2.61</v>
      </c>
      <c r="F22" s="2">
        <v>3.01</v>
      </c>
      <c r="G22" s="2">
        <v>2.83</v>
      </c>
    </row>
    <row r="23" spans="1:7">
      <c r="A23" s="1" t="s">
        <v>43</v>
      </c>
      <c r="B23" s="1" t="s">
        <v>44</v>
      </c>
      <c r="C23" s="2">
        <v>4.09</v>
      </c>
      <c r="D23" s="2">
        <v>4.1500000000000004</v>
      </c>
      <c r="E23" s="2">
        <v>3.96</v>
      </c>
      <c r="F23" s="2">
        <v>4.16</v>
      </c>
      <c r="G23" s="2">
        <v>4.09</v>
      </c>
    </row>
    <row r="24" spans="1:7">
      <c r="A24" s="1" t="s">
        <v>45</v>
      </c>
      <c r="B24" s="1" t="s">
        <v>46</v>
      </c>
      <c r="C24" s="2">
        <v>2.38</v>
      </c>
      <c r="D24" s="2">
        <v>4.2</v>
      </c>
      <c r="E24" s="2">
        <v>4</v>
      </c>
      <c r="F24" s="2">
        <v>4.2300000000000004</v>
      </c>
      <c r="G24" s="2">
        <v>3.7</v>
      </c>
    </row>
    <row r="25" spans="1:7">
      <c r="A25" s="1" t="s">
        <v>47</v>
      </c>
      <c r="B25" s="1" t="s">
        <v>48</v>
      </c>
      <c r="C25" s="2">
        <v>4.3</v>
      </c>
      <c r="D25" s="2">
        <v>3.35</v>
      </c>
      <c r="E25" s="2">
        <v>1.47</v>
      </c>
      <c r="F25" s="2">
        <v>2.27</v>
      </c>
      <c r="G25" s="2">
        <v>2.85</v>
      </c>
    </row>
    <row r="26" spans="1:7">
      <c r="A26" s="1" t="s">
        <v>49</v>
      </c>
      <c r="B26" s="1" t="s">
        <v>50</v>
      </c>
      <c r="C26" s="2">
        <v>1.64</v>
      </c>
      <c r="D26" s="2">
        <v>1.28</v>
      </c>
      <c r="E26" s="2">
        <v>2.2999999999999998</v>
      </c>
      <c r="F26" s="2">
        <v>3.07</v>
      </c>
      <c r="G26" s="2">
        <v>2.0699999999999998</v>
      </c>
    </row>
    <row r="27" spans="1:7">
      <c r="A27" s="1" t="s">
        <v>51</v>
      </c>
      <c r="B27" s="1" t="s">
        <v>52</v>
      </c>
      <c r="C27" s="2">
        <v>3.95</v>
      </c>
      <c r="D27" s="2">
        <v>3.78</v>
      </c>
      <c r="E27" s="2">
        <v>4.0999999999999996</v>
      </c>
      <c r="F27" s="2">
        <v>3.57</v>
      </c>
      <c r="G27" s="2">
        <v>3.85</v>
      </c>
    </row>
    <row r="28" spans="1:7">
      <c r="A28" s="1" t="s">
        <v>32</v>
      </c>
      <c r="B28" s="1" t="s">
        <v>53</v>
      </c>
      <c r="C28" s="2">
        <v>2.63</v>
      </c>
      <c r="D28" s="2">
        <v>3.19</v>
      </c>
      <c r="E28" s="2">
        <v>2.62</v>
      </c>
      <c r="F28" s="2">
        <v>4.1100000000000003</v>
      </c>
      <c r="G28" s="2">
        <v>3.14</v>
      </c>
    </row>
    <row r="29" spans="1:7">
      <c r="A29" s="1" t="s">
        <v>49</v>
      </c>
      <c r="B29" s="1" t="s">
        <v>54</v>
      </c>
      <c r="C29" s="2">
        <v>4.0599999999999996</v>
      </c>
      <c r="D29" s="2">
        <v>3.34</v>
      </c>
      <c r="E29" s="2">
        <v>3.16</v>
      </c>
      <c r="F29" s="2">
        <v>2.8</v>
      </c>
      <c r="G29" s="2">
        <v>3.34</v>
      </c>
    </row>
    <row r="30" spans="1:7">
      <c r="A30" s="1" t="s">
        <v>55</v>
      </c>
      <c r="B30" s="1" t="s">
        <v>56</v>
      </c>
      <c r="C30" s="2">
        <v>2.97</v>
      </c>
      <c r="D30" s="2">
        <v>3.07</v>
      </c>
      <c r="E30" s="2">
        <v>4.12</v>
      </c>
      <c r="F30" s="2">
        <v>1.43</v>
      </c>
      <c r="G30" s="2">
        <v>2.9</v>
      </c>
    </row>
    <row r="31" spans="1:7">
      <c r="A31" s="1" t="s">
        <v>57</v>
      </c>
      <c r="B31" s="1" t="s">
        <v>58</v>
      </c>
      <c r="C31" s="2">
        <v>4.09</v>
      </c>
      <c r="D31" s="2">
        <v>3.95</v>
      </c>
      <c r="E31" s="2">
        <v>3.96</v>
      </c>
      <c r="F31" s="2">
        <v>4.16</v>
      </c>
      <c r="G31" s="2">
        <v>4.04</v>
      </c>
    </row>
    <row r="32" spans="1:7">
      <c r="A32" s="1" t="s">
        <v>59</v>
      </c>
      <c r="B32" s="1" t="s">
        <v>60</v>
      </c>
      <c r="C32" s="2">
        <v>2.38</v>
      </c>
      <c r="D32" s="2">
        <v>3.95</v>
      </c>
      <c r="E32" s="2">
        <v>4</v>
      </c>
      <c r="F32" s="2">
        <v>2.97</v>
      </c>
      <c r="G32" s="2">
        <v>3.33</v>
      </c>
    </row>
    <row r="33" spans="1:7">
      <c r="A33" s="1" t="s">
        <v>61</v>
      </c>
      <c r="B33" s="1" t="s">
        <v>62</v>
      </c>
      <c r="C33" s="2">
        <v>2.12</v>
      </c>
      <c r="D33" s="2">
        <v>3.35</v>
      </c>
      <c r="E33" s="2">
        <v>1.47</v>
      </c>
      <c r="F33" s="2">
        <v>4.09</v>
      </c>
      <c r="G33" s="2">
        <v>2.76</v>
      </c>
    </row>
    <row r="34" spans="1:7">
      <c r="A34" s="1" t="s">
        <v>59</v>
      </c>
      <c r="B34" s="1" t="s">
        <v>64</v>
      </c>
      <c r="C34" s="2">
        <v>3.96</v>
      </c>
      <c r="D34" s="2">
        <v>1.28</v>
      </c>
      <c r="E34" s="2">
        <v>2.2999999999999998</v>
      </c>
      <c r="F34" s="2">
        <v>3.07</v>
      </c>
      <c r="G34" s="2">
        <v>2.65</v>
      </c>
    </row>
    <row r="35" spans="1:7">
      <c r="A35" s="1" t="s">
        <v>65</v>
      </c>
      <c r="B35" s="1" t="s">
        <v>66</v>
      </c>
      <c r="C35" s="2">
        <v>3.95</v>
      </c>
      <c r="D35" s="2">
        <v>3.78</v>
      </c>
      <c r="E35" s="2">
        <v>4.3</v>
      </c>
      <c r="F35" s="2">
        <v>3.95</v>
      </c>
      <c r="G35" s="2">
        <v>4</v>
      </c>
    </row>
    <row r="36" spans="1:7">
      <c r="A36" s="1" t="s">
        <v>67</v>
      </c>
      <c r="B36" s="1" t="s">
        <v>68</v>
      </c>
      <c r="C36" s="2">
        <v>2.63</v>
      </c>
      <c r="D36" s="2">
        <v>4.2300000000000004</v>
      </c>
      <c r="E36" s="2">
        <v>2.62</v>
      </c>
      <c r="F36" s="2">
        <v>4.1100000000000003</v>
      </c>
      <c r="G36" s="2">
        <v>3.4</v>
      </c>
    </row>
    <row r="37" spans="1:7">
      <c r="A37" s="1" t="s">
        <v>30</v>
      </c>
      <c r="B37" s="1" t="s">
        <v>70</v>
      </c>
      <c r="C37" s="2">
        <v>4.0599999999999996</v>
      </c>
      <c r="D37" s="2">
        <v>2.27</v>
      </c>
      <c r="E37" s="2">
        <v>3.16</v>
      </c>
      <c r="F37" s="2">
        <v>1.28</v>
      </c>
      <c r="G37" s="2">
        <v>2.69</v>
      </c>
    </row>
    <row r="38" spans="1:7">
      <c r="A38" s="1" t="s">
        <v>71</v>
      </c>
      <c r="B38" s="1" t="s">
        <v>72</v>
      </c>
      <c r="C38" s="2">
        <v>2.63</v>
      </c>
      <c r="D38" s="2">
        <v>4.3</v>
      </c>
      <c r="E38" s="2">
        <v>4.12</v>
      </c>
      <c r="F38" s="2">
        <v>3.78</v>
      </c>
      <c r="G38" s="2">
        <v>3.71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46"/>
  <sheetViews>
    <sheetView workbookViewId="0"/>
  </sheetViews>
  <sheetFormatPr defaultRowHeight="16.5"/>
  <cols>
    <col min="2" max="2" width="10.375" bestFit="1" customWidth="1"/>
  </cols>
  <sheetData>
    <row r="2" spans="1:7">
      <c r="A2" t="s">
        <v>0</v>
      </c>
    </row>
    <row r="3" spans="1:7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>
      <c r="A4" s="1" t="s">
        <v>8</v>
      </c>
      <c r="B4" s="1" t="s">
        <v>9</v>
      </c>
      <c r="C4" s="2">
        <v>3.93</v>
      </c>
      <c r="D4" s="2">
        <v>1.08</v>
      </c>
      <c r="E4" s="2">
        <v>1.52</v>
      </c>
      <c r="F4" s="2">
        <v>2.3199999999999998</v>
      </c>
      <c r="G4" s="2">
        <v>2.21</v>
      </c>
    </row>
    <row r="5" spans="1:7">
      <c r="A5" s="1" t="s">
        <v>10</v>
      </c>
      <c r="B5" s="1" t="s">
        <v>11</v>
      </c>
      <c r="C5" s="2">
        <v>4.32</v>
      </c>
      <c r="D5" s="2">
        <v>2.76</v>
      </c>
      <c r="E5" s="2">
        <v>4.29</v>
      </c>
      <c r="F5" s="2">
        <v>3.71</v>
      </c>
      <c r="G5" s="2">
        <v>3.77</v>
      </c>
    </row>
    <row r="6" spans="1:7">
      <c r="A6" s="1" t="s">
        <v>8</v>
      </c>
      <c r="B6" s="1" t="s">
        <v>12</v>
      </c>
      <c r="C6" s="2">
        <v>3.18</v>
      </c>
      <c r="D6" s="2">
        <v>1.1599999999999999</v>
      </c>
      <c r="E6" s="2">
        <v>1.55</v>
      </c>
      <c r="F6" s="2">
        <v>1.07</v>
      </c>
      <c r="G6" s="2">
        <v>1.74</v>
      </c>
    </row>
    <row r="7" spans="1:7">
      <c r="A7" s="1" t="s">
        <v>13</v>
      </c>
      <c r="B7" s="1" t="s">
        <v>14</v>
      </c>
      <c r="C7" s="2">
        <v>4.13</v>
      </c>
      <c r="D7" s="2">
        <v>4.25</v>
      </c>
      <c r="E7" s="2">
        <v>3.93</v>
      </c>
      <c r="F7" s="2">
        <v>3.9</v>
      </c>
      <c r="G7" s="2">
        <v>4.05</v>
      </c>
    </row>
    <row r="8" spans="1:7">
      <c r="A8" s="1" t="s">
        <v>15</v>
      </c>
      <c r="B8" s="1" t="s">
        <v>16</v>
      </c>
      <c r="C8" s="2">
        <v>4.2</v>
      </c>
      <c r="D8" s="2">
        <v>4.3499999999999996</v>
      </c>
      <c r="E8" s="2">
        <v>4.1500000000000004</v>
      </c>
      <c r="F8" s="2">
        <v>3.99</v>
      </c>
      <c r="G8" s="2">
        <v>4.17</v>
      </c>
    </row>
    <row r="9" spans="1:7">
      <c r="A9" s="1" t="s">
        <v>17</v>
      </c>
      <c r="B9" s="1" t="s">
        <v>18</v>
      </c>
      <c r="C9" s="2">
        <v>3.48</v>
      </c>
      <c r="D9" s="2">
        <v>2.06</v>
      </c>
      <c r="E9" s="2">
        <v>2.34</v>
      </c>
      <c r="F9" s="2">
        <v>3.25</v>
      </c>
      <c r="G9" s="2">
        <v>2.78</v>
      </c>
    </row>
    <row r="10" spans="1:7">
      <c r="A10" s="1" t="s">
        <v>19</v>
      </c>
      <c r="B10" s="1" t="s">
        <v>20</v>
      </c>
      <c r="C10" s="2">
        <v>4.2</v>
      </c>
      <c r="D10" s="2">
        <v>3.96</v>
      </c>
      <c r="E10" s="2">
        <v>3.92</v>
      </c>
      <c r="F10" s="2">
        <v>3.98</v>
      </c>
      <c r="G10" s="2">
        <v>4.0199999999999996</v>
      </c>
    </row>
    <row r="11" spans="1:7">
      <c r="A11" s="1" t="s">
        <v>21</v>
      </c>
      <c r="B11" s="1" t="s">
        <v>22</v>
      </c>
      <c r="C11" s="2">
        <v>2.65</v>
      </c>
      <c r="D11" s="2">
        <v>3.88</v>
      </c>
      <c r="E11" s="2">
        <v>2.02</v>
      </c>
      <c r="F11" s="2">
        <v>1.36</v>
      </c>
      <c r="G11" s="2">
        <v>2.48</v>
      </c>
    </row>
    <row r="12" spans="1:7">
      <c r="A12" s="1" t="s">
        <v>23</v>
      </c>
      <c r="B12" s="1" t="s">
        <v>24</v>
      </c>
      <c r="C12" s="2">
        <v>4</v>
      </c>
      <c r="D12" s="2">
        <v>1.98</v>
      </c>
      <c r="E12" s="2">
        <v>1.32</v>
      </c>
      <c r="F12" s="2">
        <v>3.92</v>
      </c>
      <c r="G12" s="2">
        <v>2.81</v>
      </c>
    </row>
    <row r="13" spans="1:7">
      <c r="A13" s="1" t="s">
        <v>25</v>
      </c>
      <c r="B13" s="1" t="s">
        <v>26</v>
      </c>
      <c r="C13" s="2">
        <v>3.99</v>
      </c>
      <c r="D13" s="2">
        <v>3.97</v>
      </c>
      <c r="E13" s="2">
        <v>4.1500000000000004</v>
      </c>
      <c r="F13" s="2">
        <v>3.5</v>
      </c>
      <c r="G13" s="2">
        <v>3.9</v>
      </c>
    </row>
    <row r="14" spans="1:7">
      <c r="A14" s="1" t="s">
        <v>27</v>
      </c>
      <c r="B14" s="1" t="s">
        <v>28</v>
      </c>
      <c r="C14" s="2">
        <v>3.86</v>
      </c>
      <c r="D14" s="2">
        <v>1.61</v>
      </c>
      <c r="E14" s="2">
        <v>2.2000000000000002</v>
      </c>
      <c r="F14" s="2">
        <v>3.92</v>
      </c>
      <c r="G14" s="2">
        <v>2.9</v>
      </c>
    </row>
    <row r="15" spans="1:7">
      <c r="A15" s="1" t="s">
        <v>27</v>
      </c>
      <c r="B15" s="1" t="s">
        <v>29</v>
      </c>
      <c r="C15" s="2">
        <v>2.0499999999999998</v>
      </c>
      <c r="D15" s="2">
        <v>4.2300000000000004</v>
      </c>
      <c r="E15" s="2">
        <v>1.51</v>
      </c>
      <c r="F15" s="2">
        <v>3.61</v>
      </c>
      <c r="G15" s="2">
        <v>2.85</v>
      </c>
    </row>
    <row r="16" spans="1:7">
      <c r="A16" s="1" t="s">
        <v>30</v>
      </c>
      <c r="B16" s="1" t="s">
        <v>31</v>
      </c>
      <c r="C16" s="2">
        <v>1.1100000000000001</v>
      </c>
      <c r="D16" s="2">
        <v>3.97</v>
      </c>
      <c r="E16" s="2">
        <v>4.4000000000000004</v>
      </c>
      <c r="F16" s="2">
        <v>1.38</v>
      </c>
      <c r="G16" s="2">
        <v>2.72</v>
      </c>
    </row>
    <row r="17" spans="1:7">
      <c r="A17" s="1" t="s">
        <v>32</v>
      </c>
      <c r="B17" s="1" t="s">
        <v>33</v>
      </c>
      <c r="C17" s="2">
        <v>4.5</v>
      </c>
      <c r="D17" s="2">
        <v>4.2</v>
      </c>
      <c r="E17" s="2">
        <v>3.7</v>
      </c>
      <c r="F17" s="2">
        <v>4.3600000000000003</v>
      </c>
      <c r="G17" s="2">
        <v>4.1900000000000004</v>
      </c>
    </row>
    <row r="18" spans="1:7">
      <c r="A18" s="1" t="s">
        <v>34</v>
      </c>
      <c r="B18" s="1" t="s">
        <v>35</v>
      </c>
      <c r="C18" s="2">
        <v>2.66</v>
      </c>
      <c r="D18" s="2">
        <v>1.55</v>
      </c>
      <c r="E18" s="2">
        <v>1.31</v>
      </c>
      <c r="F18" s="2">
        <v>1.71</v>
      </c>
      <c r="G18" s="2">
        <v>1.81</v>
      </c>
    </row>
    <row r="19" spans="1:7">
      <c r="A19" s="1" t="s">
        <v>36</v>
      </c>
      <c r="B19" s="1" t="s">
        <v>37</v>
      </c>
      <c r="C19" s="2">
        <v>2.1800000000000002</v>
      </c>
      <c r="D19" s="2">
        <v>3.33</v>
      </c>
      <c r="E19" s="2">
        <v>3.99</v>
      </c>
      <c r="F19" s="2">
        <v>1.08</v>
      </c>
      <c r="G19" s="2">
        <v>2.65</v>
      </c>
    </row>
    <row r="20" spans="1:7">
      <c r="A20" s="1" t="s">
        <v>34</v>
      </c>
      <c r="B20" s="1" t="s">
        <v>38</v>
      </c>
      <c r="C20" s="2">
        <v>4.5</v>
      </c>
      <c r="D20" s="2">
        <v>3.09</v>
      </c>
      <c r="E20" s="2">
        <v>2.8</v>
      </c>
      <c r="F20" s="2">
        <v>3.78</v>
      </c>
      <c r="G20" s="2">
        <v>3.54</v>
      </c>
    </row>
    <row r="21" spans="1:7">
      <c r="A21" s="1" t="s">
        <v>39</v>
      </c>
      <c r="B21" s="1" t="s">
        <v>40</v>
      </c>
      <c r="C21" s="2">
        <v>4.21</v>
      </c>
      <c r="D21" s="2">
        <v>4.07</v>
      </c>
      <c r="E21" s="2">
        <v>3.23</v>
      </c>
      <c r="F21" s="2">
        <v>4.3899999999999997</v>
      </c>
      <c r="G21" s="2">
        <v>3.98</v>
      </c>
    </row>
    <row r="22" spans="1:7">
      <c r="A22" s="1" t="s">
        <v>41</v>
      </c>
      <c r="B22" s="1" t="s">
        <v>42</v>
      </c>
      <c r="C22" s="2">
        <v>2.69</v>
      </c>
      <c r="D22" s="2">
        <v>2.99</v>
      </c>
      <c r="E22" s="2">
        <v>2.61</v>
      </c>
      <c r="F22" s="2">
        <v>3.01</v>
      </c>
      <c r="G22" s="2">
        <v>2.83</v>
      </c>
    </row>
    <row r="23" spans="1:7">
      <c r="A23" s="1" t="s">
        <v>43</v>
      </c>
      <c r="B23" s="1" t="s">
        <v>44</v>
      </c>
      <c r="C23" s="2">
        <v>4.09</v>
      </c>
      <c r="D23" s="2">
        <v>4.1500000000000004</v>
      </c>
      <c r="E23" s="2">
        <v>3.96</v>
      </c>
      <c r="F23" s="2">
        <v>4.16</v>
      </c>
      <c r="G23" s="2">
        <v>4.09</v>
      </c>
    </row>
    <row r="24" spans="1:7">
      <c r="A24" s="1" t="s">
        <v>45</v>
      </c>
      <c r="B24" s="1" t="s">
        <v>46</v>
      </c>
      <c r="C24" s="2">
        <v>2.38</v>
      </c>
      <c r="D24" s="2">
        <v>4.2</v>
      </c>
      <c r="E24" s="2">
        <v>4</v>
      </c>
      <c r="F24" s="2">
        <v>4.2300000000000004</v>
      </c>
      <c r="G24" s="2">
        <v>3.7</v>
      </c>
    </row>
    <row r="25" spans="1:7">
      <c r="A25" s="1" t="s">
        <v>47</v>
      </c>
      <c r="B25" s="1" t="s">
        <v>48</v>
      </c>
      <c r="C25" s="2">
        <v>4.3</v>
      </c>
      <c r="D25" s="2">
        <v>3.35</v>
      </c>
      <c r="E25" s="2">
        <v>1.47</v>
      </c>
      <c r="F25" s="2">
        <v>2.27</v>
      </c>
      <c r="G25" s="2">
        <v>2.85</v>
      </c>
    </row>
    <row r="26" spans="1:7">
      <c r="A26" s="1" t="s">
        <v>49</v>
      </c>
      <c r="B26" s="1" t="s">
        <v>50</v>
      </c>
      <c r="C26" s="2">
        <v>1.64</v>
      </c>
      <c r="D26" s="2">
        <v>1.28</v>
      </c>
      <c r="E26" s="2">
        <v>2.2999999999999998</v>
      </c>
      <c r="F26" s="2">
        <v>3.07</v>
      </c>
      <c r="G26" s="2">
        <v>2.0699999999999998</v>
      </c>
    </row>
    <row r="27" spans="1:7">
      <c r="A27" s="1" t="s">
        <v>51</v>
      </c>
      <c r="B27" s="1" t="s">
        <v>52</v>
      </c>
      <c r="C27" s="2">
        <v>3.95</v>
      </c>
      <c r="D27" s="2">
        <v>3.78</v>
      </c>
      <c r="E27" s="2">
        <v>4.0999999999999996</v>
      </c>
      <c r="F27" s="2">
        <v>3.57</v>
      </c>
      <c r="G27" s="2">
        <v>3.85</v>
      </c>
    </row>
    <row r="28" spans="1:7">
      <c r="A28" s="1" t="s">
        <v>32</v>
      </c>
      <c r="B28" s="1" t="s">
        <v>53</v>
      </c>
      <c r="C28" s="2">
        <v>2.63</v>
      </c>
      <c r="D28" s="2">
        <v>3.19</v>
      </c>
      <c r="E28" s="2">
        <v>2.62</v>
      </c>
      <c r="F28" s="2">
        <v>4.1100000000000003</v>
      </c>
      <c r="G28" s="2">
        <v>3.14</v>
      </c>
    </row>
    <row r="29" spans="1:7">
      <c r="A29" s="1" t="s">
        <v>49</v>
      </c>
      <c r="B29" s="1" t="s">
        <v>54</v>
      </c>
      <c r="C29" s="2">
        <v>4.0599999999999996</v>
      </c>
      <c r="D29" s="2">
        <v>3.34</v>
      </c>
      <c r="E29" s="2">
        <v>3.16</v>
      </c>
      <c r="F29" s="2">
        <v>2.8</v>
      </c>
      <c r="G29" s="2">
        <v>3.34</v>
      </c>
    </row>
    <row r="30" spans="1:7">
      <c r="A30" s="1" t="s">
        <v>55</v>
      </c>
      <c r="B30" s="1" t="s">
        <v>56</v>
      </c>
      <c r="C30" s="2">
        <v>2.97</v>
      </c>
      <c r="D30" s="2">
        <v>3.07</v>
      </c>
      <c r="E30" s="2">
        <v>4.12</v>
      </c>
      <c r="F30" s="2">
        <v>1.43</v>
      </c>
      <c r="G30" s="2">
        <v>2.9</v>
      </c>
    </row>
    <row r="31" spans="1:7">
      <c r="A31" s="1" t="s">
        <v>57</v>
      </c>
      <c r="B31" s="1" t="s">
        <v>58</v>
      </c>
      <c r="C31" s="2">
        <v>4.09</v>
      </c>
      <c r="D31" s="2">
        <v>3.95</v>
      </c>
      <c r="E31" s="2">
        <v>3.96</v>
      </c>
      <c r="F31" s="2">
        <v>4.16</v>
      </c>
      <c r="G31" s="2">
        <v>4.04</v>
      </c>
    </row>
    <row r="32" spans="1:7">
      <c r="A32" s="1" t="s">
        <v>59</v>
      </c>
      <c r="B32" s="1" t="s">
        <v>60</v>
      </c>
      <c r="C32" s="2">
        <v>2.38</v>
      </c>
      <c r="D32" s="2">
        <v>3.95</v>
      </c>
      <c r="E32" s="2">
        <v>4</v>
      </c>
      <c r="F32" s="2">
        <v>2.97</v>
      </c>
      <c r="G32" s="2">
        <v>3.33</v>
      </c>
    </row>
    <row r="33" spans="1:7">
      <c r="A33" s="1" t="s">
        <v>61</v>
      </c>
      <c r="B33" s="1" t="s">
        <v>62</v>
      </c>
      <c r="C33" s="2">
        <v>2.12</v>
      </c>
      <c r="D33" s="2">
        <v>3.35</v>
      </c>
      <c r="E33" s="2">
        <v>1.47</v>
      </c>
      <c r="F33" s="2">
        <v>4.09</v>
      </c>
      <c r="G33" s="2">
        <v>2.76</v>
      </c>
    </row>
    <row r="34" spans="1:7">
      <c r="A34" s="1" t="s">
        <v>63</v>
      </c>
      <c r="B34" s="1" t="s">
        <v>64</v>
      </c>
      <c r="C34" s="2">
        <v>3.96</v>
      </c>
      <c r="D34" s="2">
        <v>1.28</v>
      </c>
      <c r="E34" s="2">
        <v>2.2999999999999998</v>
      </c>
      <c r="F34" s="2">
        <v>3.07</v>
      </c>
      <c r="G34" s="2">
        <v>2.65</v>
      </c>
    </row>
    <row r="35" spans="1:7">
      <c r="A35" s="1" t="s">
        <v>65</v>
      </c>
      <c r="B35" s="1" t="s">
        <v>66</v>
      </c>
      <c r="C35" s="2">
        <v>3.95</v>
      </c>
      <c r="D35" s="2">
        <v>3.78</v>
      </c>
      <c r="E35" s="2">
        <v>4.3</v>
      </c>
      <c r="F35" s="2">
        <v>3.95</v>
      </c>
      <c r="G35" s="2">
        <v>4</v>
      </c>
    </row>
    <row r="36" spans="1:7">
      <c r="A36" s="1" t="s">
        <v>67</v>
      </c>
      <c r="B36" s="1" t="s">
        <v>68</v>
      </c>
      <c r="C36" s="2">
        <v>2.63</v>
      </c>
      <c r="D36" s="2">
        <v>4.2300000000000004</v>
      </c>
      <c r="E36" s="2">
        <v>2.62</v>
      </c>
      <c r="F36" s="2">
        <v>4.1100000000000003</v>
      </c>
      <c r="G36" s="2">
        <v>3.4</v>
      </c>
    </row>
    <row r="37" spans="1:7">
      <c r="A37" s="1" t="s">
        <v>69</v>
      </c>
      <c r="B37" s="1" t="s">
        <v>70</v>
      </c>
      <c r="C37" s="2">
        <v>4.0599999999999996</v>
      </c>
      <c r="D37" s="2">
        <v>2.27</v>
      </c>
      <c r="E37" s="2">
        <v>3.16</v>
      </c>
      <c r="F37" s="2">
        <v>1.28</v>
      </c>
      <c r="G37" s="2">
        <v>2.69</v>
      </c>
    </row>
    <row r="38" spans="1:7">
      <c r="A38" s="1" t="s">
        <v>71</v>
      </c>
      <c r="B38" s="1" t="s">
        <v>72</v>
      </c>
      <c r="C38" s="2">
        <v>2.63</v>
      </c>
      <c r="D38" s="2">
        <v>4.3</v>
      </c>
      <c r="E38" s="2">
        <v>4.12</v>
      </c>
      <c r="F38" s="2">
        <v>3.78</v>
      </c>
      <c r="G38" s="2">
        <v>3.71</v>
      </c>
    </row>
    <row r="40" spans="1:7">
      <c r="A40" s="21" t="s">
        <v>180</v>
      </c>
    </row>
    <row r="41" spans="1:7">
      <c r="A41" t="b">
        <f>AND(LEFT(A4,2)="5B",G4&gt;=AVERAGE($G$4:$G$38))</f>
        <v>0</v>
      </c>
    </row>
    <row r="43" spans="1:7">
      <c r="A43" s="1" t="s">
        <v>1</v>
      </c>
      <c r="B43" s="1" t="s">
        <v>2</v>
      </c>
      <c r="C43" s="1" t="s">
        <v>3</v>
      </c>
      <c r="D43" s="1" t="s">
        <v>4</v>
      </c>
      <c r="E43" s="1" t="s">
        <v>5</v>
      </c>
      <c r="F43" s="1" t="s">
        <v>6</v>
      </c>
      <c r="G43" s="1" t="s">
        <v>7</v>
      </c>
    </row>
    <row r="44" spans="1:7">
      <c r="A44" s="1" t="s">
        <v>25</v>
      </c>
      <c r="B44" s="1" t="s">
        <v>26</v>
      </c>
      <c r="C44" s="2">
        <v>3.99</v>
      </c>
      <c r="D44" s="2">
        <v>3.97</v>
      </c>
      <c r="E44" s="2">
        <v>4.1500000000000004</v>
      </c>
      <c r="F44" s="2">
        <v>3.5</v>
      </c>
      <c r="G44" s="2">
        <v>3.9</v>
      </c>
    </row>
    <row r="45" spans="1:7">
      <c r="A45" s="1" t="s">
        <v>32</v>
      </c>
      <c r="B45" s="1" t="s">
        <v>33</v>
      </c>
      <c r="C45" s="2">
        <v>4.5</v>
      </c>
      <c r="D45" s="2">
        <v>4.2</v>
      </c>
      <c r="E45" s="2">
        <v>3.7</v>
      </c>
      <c r="F45" s="2">
        <v>4.3600000000000003</v>
      </c>
      <c r="G45" s="2">
        <v>4.1900000000000004</v>
      </c>
    </row>
    <row r="46" spans="1:7">
      <c r="A46" s="1" t="s">
        <v>51</v>
      </c>
      <c r="B46" s="1" t="s">
        <v>52</v>
      </c>
      <c r="C46" s="2">
        <v>3.95</v>
      </c>
      <c r="D46" s="2">
        <v>3.78</v>
      </c>
      <c r="E46" s="2">
        <v>4.0999999999999996</v>
      </c>
      <c r="F46" s="2">
        <v>3.57</v>
      </c>
      <c r="G46" s="2">
        <v>3.85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0"/>
  <sheetViews>
    <sheetView workbookViewId="0"/>
  </sheetViews>
  <sheetFormatPr defaultRowHeight="16.5"/>
  <cols>
    <col min="3" max="3" width="10.75" bestFit="1" customWidth="1"/>
    <col min="5" max="5" width="10.375" bestFit="1" customWidth="1"/>
  </cols>
  <sheetData>
    <row r="1" spans="1:7">
      <c r="A1" t="s">
        <v>0</v>
      </c>
    </row>
    <row r="2" spans="1:7" ht="17.25" thickBot="1">
      <c r="A2" s="3" t="s">
        <v>73</v>
      </c>
      <c r="B2" s="3" t="s">
        <v>74</v>
      </c>
      <c r="C2" s="3" t="s">
        <v>75</v>
      </c>
      <c r="D2" s="3" t="s">
        <v>76</v>
      </c>
      <c r="E2" s="3" t="s">
        <v>77</v>
      </c>
      <c r="F2" s="3" t="s">
        <v>78</v>
      </c>
      <c r="G2" s="4" t="s">
        <v>79</v>
      </c>
    </row>
    <row r="3" spans="1:7">
      <c r="A3" s="5" t="s">
        <v>80</v>
      </c>
      <c r="B3" s="5" t="s">
        <v>81</v>
      </c>
      <c r="C3" s="6">
        <v>31900</v>
      </c>
      <c r="D3" s="5" t="s">
        <v>82</v>
      </c>
      <c r="E3" s="5" t="s">
        <v>83</v>
      </c>
      <c r="F3" s="5" t="s">
        <v>84</v>
      </c>
      <c r="G3" s="7">
        <v>0.38194444444444442</v>
      </c>
    </row>
    <row r="4" spans="1:7">
      <c r="A4" s="8" t="s">
        <v>85</v>
      </c>
      <c r="B4" s="8" t="s">
        <v>86</v>
      </c>
      <c r="C4" s="9">
        <v>32234</v>
      </c>
      <c r="D4" s="8" t="s">
        <v>87</v>
      </c>
      <c r="E4" s="8" t="s">
        <v>88</v>
      </c>
      <c r="F4" s="8" t="s">
        <v>89</v>
      </c>
      <c r="G4" s="10">
        <v>0.54166666666666663</v>
      </c>
    </row>
    <row r="5" spans="1:7">
      <c r="A5" s="11" t="s">
        <v>90</v>
      </c>
      <c r="B5" s="11" t="s">
        <v>91</v>
      </c>
      <c r="C5" s="12">
        <v>31386</v>
      </c>
      <c r="D5" s="11" t="s">
        <v>82</v>
      </c>
      <c r="E5" s="11" t="s">
        <v>92</v>
      </c>
      <c r="F5" s="11" t="s">
        <v>93</v>
      </c>
      <c r="G5" s="13">
        <v>0.43055555555555558</v>
      </c>
    </row>
    <row r="6" spans="1:7">
      <c r="A6" s="8" t="s">
        <v>94</v>
      </c>
      <c r="B6" s="8" t="s">
        <v>95</v>
      </c>
      <c r="C6" s="9">
        <v>27520</v>
      </c>
      <c r="D6" s="8" t="s">
        <v>87</v>
      </c>
      <c r="E6" s="8" t="s">
        <v>96</v>
      </c>
      <c r="F6" s="8" t="s">
        <v>97</v>
      </c>
      <c r="G6" s="10">
        <v>0.57638888888888895</v>
      </c>
    </row>
    <row r="7" spans="1:7">
      <c r="A7" s="11" t="s">
        <v>98</v>
      </c>
      <c r="B7" s="11" t="s">
        <v>99</v>
      </c>
      <c r="C7" s="12">
        <v>38114</v>
      </c>
      <c r="D7" s="11" t="s">
        <v>87</v>
      </c>
      <c r="E7" s="11" t="s">
        <v>88</v>
      </c>
      <c r="F7" s="11" t="s">
        <v>89</v>
      </c>
      <c r="G7" s="13">
        <v>0.43055555555555558</v>
      </c>
    </row>
    <row r="8" spans="1:7">
      <c r="A8" s="8" t="s">
        <v>100</v>
      </c>
      <c r="B8" s="8" t="s">
        <v>101</v>
      </c>
      <c r="C8" s="9">
        <v>27522</v>
      </c>
      <c r="D8" s="8" t="s">
        <v>87</v>
      </c>
      <c r="E8" s="8" t="s">
        <v>102</v>
      </c>
      <c r="F8" s="8" t="s">
        <v>103</v>
      </c>
      <c r="G8" s="10">
        <v>0.72916666666666663</v>
      </c>
    </row>
    <row r="9" spans="1:7">
      <c r="A9" s="11" t="s">
        <v>104</v>
      </c>
      <c r="B9" s="11" t="s">
        <v>105</v>
      </c>
      <c r="C9" s="12">
        <v>21282</v>
      </c>
      <c r="D9" s="11" t="s">
        <v>87</v>
      </c>
      <c r="E9" s="11" t="s">
        <v>92</v>
      </c>
      <c r="F9" s="11" t="s">
        <v>93</v>
      </c>
      <c r="G9" s="13">
        <v>0.47916666666666669</v>
      </c>
    </row>
    <row r="10" spans="1:7">
      <c r="A10" s="8" t="s">
        <v>106</v>
      </c>
      <c r="B10" s="8" t="s">
        <v>107</v>
      </c>
      <c r="C10" s="9">
        <v>29313</v>
      </c>
      <c r="D10" s="8" t="s">
        <v>82</v>
      </c>
      <c r="E10" s="8" t="s">
        <v>88</v>
      </c>
      <c r="F10" s="8" t="s">
        <v>89</v>
      </c>
      <c r="G10" s="10">
        <v>0.5625</v>
      </c>
    </row>
    <row r="11" spans="1:7">
      <c r="A11" s="11" t="s">
        <v>108</v>
      </c>
      <c r="B11" s="11" t="s">
        <v>109</v>
      </c>
      <c r="C11" s="12">
        <v>36833</v>
      </c>
      <c r="D11" s="11" t="s">
        <v>87</v>
      </c>
      <c r="E11" s="11" t="s">
        <v>92</v>
      </c>
      <c r="F11" s="11" t="s">
        <v>93</v>
      </c>
      <c r="G11" s="13">
        <v>0.63888888888888895</v>
      </c>
    </row>
    <row r="12" spans="1:7">
      <c r="A12" s="8" t="s">
        <v>110</v>
      </c>
      <c r="B12" s="8" t="s">
        <v>111</v>
      </c>
      <c r="C12" s="9">
        <v>34833</v>
      </c>
      <c r="D12" s="8" t="s">
        <v>87</v>
      </c>
      <c r="E12" s="8" t="s">
        <v>112</v>
      </c>
      <c r="F12" s="8" t="s">
        <v>113</v>
      </c>
      <c r="G12" s="10">
        <v>0.47222222222222227</v>
      </c>
    </row>
    <row r="13" spans="1:7">
      <c r="A13" s="11" t="s">
        <v>114</v>
      </c>
      <c r="B13" s="11" t="s">
        <v>115</v>
      </c>
      <c r="C13" s="12">
        <v>17811</v>
      </c>
      <c r="D13" s="11" t="s">
        <v>82</v>
      </c>
      <c r="E13" s="11" t="s">
        <v>102</v>
      </c>
      <c r="F13" s="11" t="s">
        <v>103</v>
      </c>
      <c r="G13" s="13">
        <v>0.39583333333333331</v>
      </c>
    </row>
    <row r="14" spans="1:7">
      <c r="A14" s="8" t="s">
        <v>116</v>
      </c>
      <c r="B14" s="8" t="s">
        <v>117</v>
      </c>
      <c r="C14" s="9">
        <v>34607</v>
      </c>
      <c r="D14" s="8" t="s">
        <v>82</v>
      </c>
      <c r="E14" s="8" t="s">
        <v>83</v>
      </c>
      <c r="F14" s="8" t="s">
        <v>84</v>
      </c>
      <c r="G14" s="10">
        <v>0.49305555555555558</v>
      </c>
    </row>
    <row r="15" spans="1:7">
      <c r="A15" s="11" t="s">
        <v>118</v>
      </c>
      <c r="B15" s="11" t="s">
        <v>119</v>
      </c>
      <c r="C15" s="12">
        <v>19541</v>
      </c>
      <c r="D15" s="11" t="s">
        <v>87</v>
      </c>
      <c r="E15" s="11" t="s">
        <v>120</v>
      </c>
      <c r="F15" s="11" t="s">
        <v>121</v>
      </c>
      <c r="G15" s="13">
        <v>0.41666666666666669</v>
      </c>
    </row>
    <row r="16" spans="1:7">
      <c r="A16" s="8" t="s">
        <v>122</v>
      </c>
      <c r="B16" s="8" t="s">
        <v>123</v>
      </c>
      <c r="C16" s="9">
        <v>36962</v>
      </c>
      <c r="D16" s="8" t="s">
        <v>82</v>
      </c>
      <c r="E16" s="8" t="s">
        <v>124</v>
      </c>
      <c r="F16" s="8" t="s">
        <v>125</v>
      </c>
      <c r="G16" s="10">
        <v>0.58333333333333337</v>
      </c>
    </row>
    <row r="17" spans="1:7">
      <c r="A17" s="11" t="s">
        <v>126</v>
      </c>
      <c r="B17" s="11" t="s">
        <v>127</v>
      </c>
      <c r="C17" s="12">
        <v>32267</v>
      </c>
      <c r="D17" s="11" t="s">
        <v>82</v>
      </c>
      <c r="E17" s="11" t="s">
        <v>88</v>
      </c>
      <c r="F17" s="11" t="s">
        <v>89</v>
      </c>
      <c r="G17" s="13">
        <v>0.45833333333333331</v>
      </c>
    </row>
    <row r="18" spans="1:7">
      <c r="A18" s="8" t="s">
        <v>128</v>
      </c>
      <c r="B18" s="8" t="s">
        <v>129</v>
      </c>
      <c r="C18" s="9">
        <v>26819</v>
      </c>
      <c r="D18" s="8" t="s">
        <v>87</v>
      </c>
      <c r="E18" s="8" t="s">
        <v>92</v>
      </c>
      <c r="F18" s="8" t="s">
        <v>93</v>
      </c>
      <c r="G18" s="10">
        <v>0.41666666666666669</v>
      </c>
    </row>
    <row r="19" spans="1:7">
      <c r="A19" s="11" t="s">
        <v>130</v>
      </c>
      <c r="B19" s="11" t="s">
        <v>131</v>
      </c>
      <c r="C19" s="12">
        <v>34097</v>
      </c>
      <c r="D19" s="11" t="s">
        <v>82</v>
      </c>
      <c r="E19" s="11" t="s">
        <v>124</v>
      </c>
      <c r="F19" s="11" t="s">
        <v>125</v>
      </c>
      <c r="G19" s="13">
        <v>0.39583333333333331</v>
      </c>
    </row>
    <row r="20" spans="1:7">
      <c r="A20" s="8" t="s">
        <v>132</v>
      </c>
      <c r="B20" s="8" t="s">
        <v>133</v>
      </c>
      <c r="C20" s="9">
        <v>37020</v>
      </c>
      <c r="D20" s="8" t="s">
        <v>82</v>
      </c>
      <c r="E20" s="8" t="s">
        <v>120</v>
      </c>
      <c r="F20" s="8" t="s">
        <v>121</v>
      </c>
      <c r="G20" s="10">
        <v>0.47222222222222227</v>
      </c>
    </row>
    <row r="21" spans="1:7">
      <c r="A21" s="11" t="s">
        <v>134</v>
      </c>
      <c r="B21" s="11" t="s">
        <v>135</v>
      </c>
      <c r="C21" s="12">
        <v>28589</v>
      </c>
      <c r="D21" s="11" t="s">
        <v>87</v>
      </c>
      <c r="E21" s="11" t="s">
        <v>83</v>
      </c>
      <c r="F21" s="11" t="s">
        <v>84</v>
      </c>
      <c r="G21" s="13">
        <v>0.6875</v>
      </c>
    </row>
    <row r="22" spans="1:7">
      <c r="A22" s="8" t="s">
        <v>136</v>
      </c>
      <c r="B22" s="8" t="s">
        <v>137</v>
      </c>
      <c r="C22" s="9">
        <v>21801</v>
      </c>
      <c r="D22" s="8" t="s">
        <v>82</v>
      </c>
      <c r="E22" s="8" t="s">
        <v>96</v>
      </c>
      <c r="F22" s="8" t="s">
        <v>97</v>
      </c>
      <c r="G22" s="10">
        <v>0.74305555555555547</v>
      </c>
    </row>
    <row r="23" spans="1:7">
      <c r="A23" s="11" t="s">
        <v>138</v>
      </c>
      <c r="B23" s="11" t="s">
        <v>139</v>
      </c>
      <c r="C23" s="12">
        <v>36042</v>
      </c>
      <c r="D23" s="11" t="s">
        <v>82</v>
      </c>
      <c r="E23" s="11" t="s">
        <v>124</v>
      </c>
      <c r="F23" s="11" t="s">
        <v>125</v>
      </c>
      <c r="G23" s="13">
        <v>0.68055555555555547</v>
      </c>
    </row>
    <row r="24" spans="1:7">
      <c r="A24" s="8" t="s">
        <v>140</v>
      </c>
      <c r="B24" s="8" t="s">
        <v>141</v>
      </c>
      <c r="C24" s="9">
        <v>19036</v>
      </c>
      <c r="D24" s="8" t="s">
        <v>87</v>
      </c>
      <c r="E24" s="8" t="s">
        <v>96</v>
      </c>
      <c r="F24" s="8" t="s">
        <v>97</v>
      </c>
      <c r="G24" s="10">
        <v>0.58333333333333337</v>
      </c>
    </row>
    <row r="25" spans="1:7">
      <c r="A25" s="11" t="s">
        <v>142</v>
      </c>
      <c r="B25" s="11" t="s">
        <v>143</v>
      </c>
      <c r="C25" s="12">
        <v>36388</v>
      </c>
      <c r="D25" s="11" t="s">
        <v>87</v>
      </c>
      <c r="E25" s="11" t="s">
        <v>102</v>
      </c>
      <c r="F25" s="11" t="s">
        <v>103</v>
      </c>
      <c r="G25" s="13">
        <v>0.57638888888888895</v>
      </c>
    </row>
    <row r="26" spans="1:7">
      <c r="A26" s="8" t="s">
        <v>144</v>
      </c>
      <c r="B26" s="8" t="s">
        <v>145</v>
      </c>
      <c r="C26" s="9">
        <v>38679</v>
      </c>
      <c r="D26" s="8" t="s">
        <v>87</v>
      </c>
      <c r="E26" s="8" t="s">
        <v>112</v>
      </c>
      <c r="F26" s="8" t="s">
        <v>113</v>
      </c>
      <c r="G26" s="10">
        <v>0.59722222222222221</v>
      </c>
    </row>
    <row r="27" spans="1:7">
      <c r="A27" s="11" t="s">
        <v>146</v>
      </c>
      <c r="B27" s="11" t="s">
        <v>147</v>
      </c>
      <c r="C27" s="12">
        <v>27266</v>
      </c>
      <c r="D27" s="11" t="s">
        <v>87</v>
      </c>
      <c r="E27" s="11" t="s">
        <v>120</v>
      </c>
      <c r="F27" s="11" t="s">
        <v>121</v>
      </c>
      <c r="G27" s="13">
        <v>0.68055555555555547</v>
      </c>
    </row>
    <row r="28" spans="1:7">
      <c r="A28" s="8" t="s">
        <v>148</v>
      </c>
      <c r="B28" s="8" t="s">
        <v>149</v>
      </c>
      <c r="C28" s="9">
        <v>15912</v>
      </c>
      <c r="D28" s="8" t="s">
        <v>87</v>
      </c>
      <c r="E28" s="8" t="s">
        <v>92</v>
      </c>
      <c r="F28" s="8" t="s">
        <v>93</v>
      </c>
      <c r="G28" s="10">
        <v>0.625</v>
      </c>
    </row>
    <row r="29" spans="1:7">
      <c r="A29" s="11" t="s">
        <v>150</v>
      </c>
      <c r="B29" s="11" t="s">
        <v>151</v>
      </c>
      <c r="C29" s="12">
        <v>31758</v>
      </c>
      <c r="D29" s="11" t="s">
        <v>82</v>
      </c>
      <c r="E29" s="11" t="s">
        <v>124</v>
      </c>
      <c r="F29" s="11" t="s">
        <v>125</v>
      </c>
      <c r="G29" s="13">
        <v>0.66666666666666663</v>
      </c>
    </row>
    <row r="30" spans="1:7">
      <c r="A30" s="14" t="s">
        <v>152</v>
      </c>
      <c r="B30" s="14" t="s">
        <v>153</v>
      </c>
      <c r="C30" s="15">
        <v>28352</v>
      </c>
      <c r="D30" s="14" t="s">
        <v>87</v>
      </c>
      <c r="E30" s="14" t="s">
        <v>112</v>
      </c>
      <c r="F30" s="14" t="s">
        <v>113</v>
      </c>
      <c r="G30" s="16">
        <v>0.44444444444444442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B6C6A-C017-4C77-9BAB-A0D9C9599E7D}">
  <dimension ref="A1:L30"/>
  <sheetViews>
    <sheetView workbookViewId="0"/>
  </sheetViews>
  <sheetFormatPr defaultRowHeight="16.5"/>
  <cols>
    <col min="3" max="3" width="10.75" bestFit="1" customWidth="1"/>
    <col min="5" max="5" width="10.375" bestFit="1" customWidth="1"/>
    <col min="10" max="10" width="11.125" bestFit="1" customWidth="1"/>
  </cols>
  <sheetData>
    <row r="1" spans="1:12">
      <c r="A1" t="s">
        <v>0</v>
      </c>
    </row>
    <row r="2" spans="1:12" ht="17.25" thickBot="1">
      <c r="A2" s="3" t="s">
        <v>73</v>
      </c>
      <c r="B2" s="3" t="s">
        <v>74</v>
      </c>
      <c r="C2" s="3" t="s">
        <v>75</v>
      </c>
      <c r="D2" s="3" t="s">
        <v>76</v>
      </c>
      <c r="E2" s="3" t="s">
        <v>77</v>
      </c>
      <c r="F2" s="3" t="s">
        <v>78</v>
      </c>
      <c r="G2" s="4" t="s">
        <v>79</v>
      </c>
      <c r="I2" s="37" t="s">
        <v>180</v>
      </c>
    </row>
    <row r="3" spans="1:12">
      <c r="A3" s="35" t="s">
        <v>80</v>
      </c>
      <c r="B3" s="35" t="s">
        <v>81</v>
      </c>
      <c r="C3" s="36">
        <v>31900</v>
      </c>
      <c r="D3" s="35" t="s">
        <v>82</v>
      </c>
      <c r="E3" s="35" t="s">
        <v>83</v>
      </c>
      <c r="F3" s="35" t="s">
        <v>84</v>
      </c>
      <c r="G3" s="34">
        <v>0.38194444444444442</v>
      </c>
      <c r="I3" t="b">
        <f>AND(YEAR(C3)&gt;=1987,G3&gt;=0.5)</f>
        <v>0</v>
      </c>
    </row>
    <row r="4" spans="1:12">
      <c r="A4" s="32" t="s">
        <v>85</v>
      </c>
      <c r="B4" s="32" t="s">
        <v>86</v>
      </c>
      <c r="C4" s="33">
        <v>32234</v>
      </c>
      <c r="D4" s="32" t="s">
        <v>87</v>
      </c>
      <c r="E4" s="32" t="s">
        <v>88</v>
      </c>
      <c r="F4" s="32" t="s">
        <v>89</v>
      </c>
      <c r="G4" s="31">
        <v>0.54166666666666663</v>
      </c>
    </row>
    <row r="5" spans="1:12">
      <c r="A5" s="29" t="s">
        <v>90</v>
      </c>
      <c r="B5" s="29" t="s">
        <v>91</v>
      </c>
      <c r="C5" s="30">
        <v>31386</v>
      </c>
      <c r="D5" s="29" t="s">
        <v>82</v>
      </c>
      <c r="E5" s="29" t="s">
        <v>92</v>
      </c>
      <c r="F5" s="29" t="s">
        <v>93</v>
      </c>
      <c r="G5" s="28">
        <v>0.43055555555555558</v>
      </c>
      <c r="I5" s="3" t="s">
        <v>74</v>
      </c>
      <c r="J5" s="3" t="s">
        <v>75</v>
      </c>
      <c r="K5" s="3" t="s">
        <v>77</v>
      </c>
      <c r="L5" s="4" t="s">
        <v>79</v>
      </c>
    </row>
    <row r="6" spans="1:12">
      <c r="A6" s="32" t="s">
        <v>94</v>
      </c>
      <c r="B6" s="32" t="s">
        <v>95</v>
      </c>
      <c r="C6" s="33">
        <v>27520</v>
      </c>
      <c r="D6" s="32" t="s">
        <v>87</v>
      </c>
      <c r="E6" s="32" t="s">
        <v>96</v>
      </c>
      <c r="F6" s="32" t="s">
        <v>97</v>
      </c>
      <c r="G6" s="31">
        <v>0.57638888888888895</v>
      </c>
      <c r="I6" s="32" t="s">
        <v>86</v>
      </c>
      <c r="J6" s="33">
        <v>32234</v>
      </c>
      <c r="K6" s="32" t="s">
        <v>88</v>
      </c>
      <c r="L6" s="31">
        <v>0.54166666666666663</v>
      </c>
    </row>
    <row r="7" spans="1:12">
      <c r="A7" s="29" t="s">
        <v>98</v>
      </c>
      <c r="B7" s="29" t="s">
        <v>99</v>
      </c>
      <c r="C7" s="30">
        <v>38114</v>
      </c>
      <c r="D7" s="29" t="s">
        <v>87</v>
      </c>
      <c r="E7" s="29" t="s">
        <v>88</v>
      </c>
      <c r="F7" s="29" t="s">
        <v>89</v>
      </c>
      <c r="G7" s="28">
        <v>0.43055555555555558</v>
      </c>
      <c r="I7" s="29" t="s">
        <v>109</v>
      </c>
      <c r="J7" s="30">
        <v>36833</v>
      </c>
      <c r="K7" s="29" t="s">
        <v>92</v>
      </c>
      <c r="L7" s="28">
        <v>0.63888888888888895</v>
      </c>
    </row>
    <row r="8" spans="1:12">
      <c r="A8" s="32" t="s">
        <v>100</v>
      </c>
      <c r="B8" s="32" t="s">
        <v>101</v>
      </c>
      <c r="C8" s="33">
        <v>27522</v>
      </c>
      <c r="D8" s="32" t="s">
        <v>87</v>
      </c>
      <c r="E8" s="32" t="s">
        <v>102</v>
      </c>
      <c r="F8" s="32" t="s">
        <v>103</v>
      </c>
      <c r="G8" s="31">
        <v>0.72916666666666663</v>
      </c>
      <c r="I8" s="32" t="s">
        <v>123</v>
      </c>
      <c r="J8" s="33">
        <v>36962</v>
      </c>
      <c r="K8" s="32" t="s">
        <v>124</v>
      </c>
      <c r="L8" s="31">
        <v>0.58333333333333337</v>
      </c>
    </row>
    <row r="9" spans="1:12">
      <c r="A9" s="29" t="s">
        <v>104</v>
      </c>
      <c r="B9" s="29" t="s">
        <v>105</v>
      </c>
      <c r="C9" s="30">
        <v>21282</v>
      </c>
      <c r="D9" s="29" t="s">
        <v>87</v>
      </c>
      <c r="E9" s="29" t="s">
        <v>92</v>
      </c>
      <c r="F9" s="29" t="s">
        <v>93</v>
      </c>
      <c r="G9" s="28">
        <v>0.47916666666666669</v>
      </c>
      <c r="I9" s="29" t="s">
        <v>139</v>
      </c>
      <c r="J9" s="30">
        <v>36042</v>
      </c>
      <c r="K9" s="29" t="s">
        <v>124</v>
      </c>
      <c r="L9" s="28">
        <v>0.68055555555555547</v>
      </c>
    </row>
    <row r="10" spans="1:12">
      <c r="A10" s="32" t="s">
        <v>106</v>
      </c>
      <c r="B10" s="32" t="s">
        <v>107</v>
      </c>
      <c r="C10" s="33">
        <v>29313</v>
      </c>
      <c r="D10" s="32" t="s">
        <v>82</v>
      </c>
      <c r="E10" s="32" t="s">
        <v>88</v>
      </c>
      <c r="F10" s="32" t="s">
        <v>89</v>
      </c>
      <c r="G10" s="31">
        <v>0.5625</v>
      </c>
      <c r="I10" s="29" t="s">
        <v>143</v>
      </c>
      <c r="J10" s="30">
        <v>36388</v>
      </c>
      <c r="K10" s="29" t="s">
        <v>102</v>
      </c>
      <c r="L10" s="28">
        <v>0.57638888888888895</v>
      </c>
    </row>
    <row r="11" spans="1:12">
      <c r="A11" s="29" t="s">
        <v>108</v>
      </c>
      <c r="B11" s="29" t="s">
        <v>109</v>
      </c>
      <c r="C11" s="30">
        <v>36833</v>
      </c>
      <c r="D11" s="29" t="s">
        <v>87</v>
      </c>
      <c r="E11" s="29" t="s">
        <v>92</v>
      </c>
      <c r="F11" s="29" t="s">
        <v>93</v>
      </c>
      <c r="G11" s="28">
        <v>0.63888888888888895</v>
      </c>
      <c r="I11" s="32" t="s">
        <v>145</v>
      </c>
      <c r="J11" s="33">
        <v>38679</v>
      </c>
      <c r="K11" s="32" t="s">
        <v>112</v>
      </c>
      <c r="L11" s="31">
        <v>0.59722222222222221</v>
      </c>
    </row>
    <row r="12" spans="1:12">
      <c r="A12" s="32" t="s">
        <v>110</v>
      </c>
      <c r="B12" s="32" t="s">
        <v>111</v>
      </c>
      <c r="C12" s="33">
        <v>34833</v>
      </c>
      <c r="D12" s="32" t="s">
        <v>87</v>
      </c>
      <c r="E12" s="32" t="s">
        <v>112</v>
      </c>
      <c r="F12" s="32" t="s">
        <v>113</v>
      </c>
      <c r="G12" s="31">
        <v>0.47222222222222227</v>
      </c>
    </row>
    <row r="13" spans="1:12">
      <c r="A13" s="29" t="s">
        <v>114</v>
      </c>
      <c r="B13" s="29" t="s">
        <v>115</v>
      </c>
      <c r="C13" s="30">
        <v>17811</v>
      </c>
      <c r="D13" s="29" t="s">
        <v>82</v>
      </c>
      <c r="E13" s="29" t="s">
        <v>102</v>
      </c>
      <c r="F13" s="29" t="s">
        <v>103</v>
      </c>
      <c r="G13" s="28">
        <v>0.39583333333333331</v>
      </c>
    </row>
    <row r="14" spans="1:12">
      <c r="A14" s="32" t="s">
        <v>116</v>
      </c>
      <c r="B14" s="32" t="s">
        <v>117</v>
      </c>
      <c r="C14" s="33">
        <v>34607</v>
      </c>
      <c r="D14" s="32" t="s">
        <v>82</v>
      </c>
      <c r="E14" s="32" t="s">
        <v>83</v>
      </c>
      <c r="F14" s="32" t="s">
        <v>84</v>
      </c>
      <c r="G14" s="31">
        <v>0.49305555555555558</v>
      </c>
    </row>
    <row r="15" spans="1:12">
      <c r="A15" s="29" t="s">
        <v>118</v>
      </c>
      <c r="B15" s="29" t="s">
        <v>119</v>
      </c>
      <c r="C15" s="30">
        <v>19541</v>
      </c>
      <c r="D15" s="29" t="s">
        <v>87</v>
      </c>
      <c r="E15" s="29" t="s">
        <v>120</v>
      </c>
      <c r="F15" s="29" t="s">
        <v>121</v>
      </c>
      <c r="G15" s="28">
        <v>0.41666666666666669</v>
      </c>
    </row>
    <row r="16" spans="1:12">
      <c r="A16" s="32" t="s">
        <v>122</v>
      </c>
      <c r="B16" s="32" t="s">
        <v>123</v>
      </c>
      <c r="C16" s="33">
        <v>36962</v>
      </c>
      <c r="D16" s="32" t="s">
        <v>82</v>
      </c>
      <c r="E16" s="32" t="s">
        <v>124</v>
      </c>
      <c r="F16" s="32" t="s">
        <v>125</v>
      </c>
      <c r="G16" s="31">
        <v>0.58333333333333337</v>
      </c>
    </row>
    <row r="17" spans="1:7">
      <c r="A17" s="29" t="s">
        <v>126</v>
      </c>
      <c r="B17" s="29" t="s">
        <v>127</v>
      </c>
      <c r="C17" s="30">
        <v>32267</v>
      </c>
      <c r="D17" s="29" t="s">
        <v>82</v>
      </c>
      <c r="E17" s="29" t="s">
        <v>88</v>
      </c>
      <c r="F17" s="29" t="s">
        <v>89</v>
      </c>
      <c r="G17" s="28">
        <v>0.45833333333333331</v>
      </c>
    </row>
    <row r="18" spans="1:7">
      <c r="A18" s="32" t="s">
        <v>128</v>
      </c>
      <c r="B18" s="32" t="s">
        <v>129</v>
      </c>
      <c r="C18" s="33">
        <v>26819</v>
      </c>
      <c r="D18" s="32" t="s">
        <v>87</v>
      </c>
      <c r="E18" s="32" t="s">
        <v>92</v>
      </c>
      <c r="F18" s="32" t="s">
        <v>93</v>
      </c>
      <c r="G18" s="31">
        <v>0.41666666666666669</v>
      </c>
    </row>
    <row r="19" spans="1:7">
      <c r="A19" s="29" t="s">
        <v>130</v>
      </c>
      <c r="B19" s="29" t="s">
        <v>131</v>
      </c>
      <c r="C19" s="30">
        <v>34097</v>
      </c>
      <c r="D19" s="29" t="s">
        <v>82</v>
      </c>
      <c r="E19" s="29" t="s">
        <v>124</v>
      </c>
      <c r="F19" s="29" t="s">
        <v>125</v>
      </c>
      <c r="G19" s="28">
        <v>0.39583333333333331</v>
      </c>
    </row>
    <row r="20" spans="1:7">
      <c r="A20" s="32" t="s">
        <v>132</v>
      </c>
      <c r="B20" s="32" t="s">
        <v>133</v>
      </c>
      <c r="C20" s="33">
        <v>37020</v>
      </c>
      <c r="D20" s="32" t="s">
        <v>82</v>
      </c>
      <c r="E20" s="32" t="s">
        <v>120</v>
      </c>
      <c r="F20" s="32" t="s">
        <v>121</v>
      </c>
      <c r="G20" s="31">
        <v>0.47222222222222227</v>
      </c>
    </row>
    <row r="21" spans="1:7">
      <c r="A21" s="29" t="s">
        <v>134</v>
      </c>
      <c r="B21" s="29" t="s">
        <v>135</v>
      </c>
      <c r="C21" s="30">
        <v>28589</v>
      </c>
      <c r="D21" s="29" t="s">
        <v>87</v>
      </c>
      <c r="E21" s="29" t="s">
        <v>83</v>
      </c>
      <c r="F21" s="29" t="s">
        <v>84</v>
      </c>
      <c r="G21" s="28">
        <v>0.6875</v>
      </c>
    </row>
    <row r="22" spans="1:7">
      <c r="A22" s="32" t="s">
        <v>136</v>
      </c>
      <c r="B22" s="32" t="s">
        <v>137</v>
      </c>
      <c r="C22" s="33">
        <v>21801</v>
      </c>
      <c r="D22" s="32" t="s">
        <v>82</v>
      </c>
      <c r="E22" s="32" t="s">
        <v>96</v>
      </c>
      <c r="F22" s="32" t="s">
        <v>97</v>
      </c>
      <c r="G22" s="31">
        <v>0.74305555555555547</v>
      </c>
    </row>
    <row r="23" spans="1:7">
      <c r="A23" s="29" t="s">
        <v>138</v>
      </c>
      <c r="B23" s="29" t="s">
        <v>139</v>
      </c>
      <c r="C23" s="30">
        <v>36042</v>
      </c>
      <c r="D23" s="29" t="s">
        <v>82</v>
      </c>
      <c r="E23" s="29" t="s">
        <v>124</v>
      </c>
      <c r="F23" s="29" t="s">
        <v>125</v>
      </c>
      <c r="G23" s="28">
        <v>0.68055555555555547</v>
      </c>
    </row>
    <row r="24" spans="1:7">
      <c r="A24" s="32" t="s">
        <v>140</v>
      </c>
      <c r="B24" s="32" t="s">
        <v>141</v>
      </c>
      <c r="C24" s="33">
        <v>19036</v>
      </c>
      <c r="D24" s="32" t="s">
        <v>87</v>
      </c>
      <c r="E24" s="32" t="s">
        <v>96</v>
      </c>
      <c r="F24" s="32" t="s">
        <v>97</v>
      </c>
      <c r="G24" s="31">
        <v>0.58333333333333337</v>
      </c>
    </row>
    <row r="25" spans="1:7">
      <c r="A25" s="29" t="s">
        <v>142</v>
      </c>
      <c r="B25" s="29" t="s">
        <v>143</v>
      </c>
      <c r="C25" s="30">
        <v>36388</v>
      </c>
      <c r="D25" s="29" t="s">
        <v>87</v>
      </c>
      <c r="E25" s="29" t="s">
        <v>102</v>
      </c>
      <c r="F25" s="29" t="s">
        <v>103</v>
      </c>
      <c r="G25" s="28">
        <v>0.57638888888888895</v>
      </c>
    </row>
    <row r="26" spans="1:7">
      <c r="A26" s="32" t="s">
        <v>144</v>
      </c>
      <c r="B26" s="32" t="s">
        <v>145</v>
      </c>
      <c r="C26" s="33">
        <v>38679</v>
      </c>
      <c r="D26" s="32" t="s">
        <v>87</v>
      </c>
      <c r="E26" s="32" t="s">
        <v>112</v>
      </c>
      <c r="F26" s="32" t="s">
        <v>113</v>
      </c>
      <c r="G26" s="31">
        <v>0.59722222222222221</v>
      </c>
    </row>
    <row r="27" spans="1:7">
      <c r="A27" s="29" t="s">
        <v>146</v>
      </c>
      <c r="B27" s="29" t="s">
        <v>147</v>
      </c>
      <c r="C27" s="30">
        <v>27266</v>
      </c>
      <c r="D27" s="29" t="s">
        <v>87</v>
      </c>
      <c r="E27" s="29" t="s">
        <v>120</v>
      </c>
      <c r="F27" s="29" t="s">
        <v>121</v>
      </c>
      <c r="G27" s="28">
        <v>0.68055555555555547</v>
      </c>
    </row>
    <row r="28" spans="1:7">
      <c r="A28" s="32" t="s">
        <v>148</v>
      </c>
      <c r="B28" s="32" t="s">
        <v>149</v>
      </c>
      <c r="C28" s="33">
        <v>15912</v>
      </c>
      <c r="D28" s="32" t="s">
        <v>87</v>
      </c>
      <c r="E28" s="32" t="s">
        <v>92</v>
      </c>
      <c r="F28" s="32" t="s">
        <v>93</v>
      </c>
      <c r="G28" s="31">
        <v>0.625</v>
      </c>
    </row>
    <row r="29" spans="1:7">
      <c r="A29" s="29" t="s">
        <v>150</v>
      </c>
      <c r="B29" s="29" t="s">
        <v>151</v>
      </c>
      <c r="C29" s="30">
        <v>31758</v>
      </c>
      <c r="D29" s="29" t="s">
        <v>82</v>
      </c>
      <c r="E29" s="29" t="s">
        <v>124</v>
      </c>
      <c r="F29" s="29" t="s">
        <v>125</v>
      </c>
      <c r="G29" s="28">
        <v>0.66666666666666663</v>
      </c>
    </row>
    <row r="30" spans="1:7">
      <c r="A30" s="26" t="s">
        <v>152</v>
      </c>
      <c r="B30" s="26" t="s">
        <v>153</v>
      </c>
      <c r="C30" s="27">
        <v>28352</v>
      </c>
      <c r="D30" s="26" t="s">
        <v>87</v>
      </c>
      <c r="E30" s="26" t="s">
        <v>112</v>
      </c>
      <c r="F30" s="26" t="s">
        <v>113</v>
      </c>
      <c r="G30" s="25">
        <v>0.44444444444444442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2"/>
  <sheetViews>
    <sheetView workbookViewId="0"/>
  </sheetViews>
  <sheetFormatPr defaultRowHeight="16.5"/>
  <cols>
    <col min="1" max="1" width="2.625" customWidth="1"/>
  </cols>
  <sheetData>
    <row r="1" spans="2:8" ht="20.25">
      <c r="B1" s="24" t="s">
        <v>154</v>
      </c>
      <c r="C1" s="24"/>
      <c r="D1" s="24"/>
      <c r="E1" s="24"/>
      <c r="F1" s="24"/>
      <c r="G1" s="24"/>
      <c r="H1" s="24"/>
    </row>
    <row r="2" spans="2:8">
      <c r="B2" s="17"/>
      <c r="C2" s="17"/>
      <c r="D2" s="17"/>
      <c r="E2" s="17"/>
      <c r="F2" s="17"/>
      <c r="G2" s="17"/>
      <c r="H2" s="17"/>
    </row>
    <row r="3" spans="2:8">
      <c r="B3" s="22" t="s">
        <v>155</v>
      </c>
      <c r="C3" s="22" t="s">
        <v>156</v>
      </c>
      <c r="D3" s="22" t="s">
        <v>157</v>
      </c>
      <c r="E3" s="22" t="s">
        <v>158</v>
      </c>
      <c r="F3" s="23" t="s">
        <v>159</v>
      </c>
      <c r="G3" s="22" t="s">
        <v>160</v>
      </c>
      <c r="H3" s="22" t="s">
        <v>161</v>
      </c>
    </row>
    <row r="4" spans="2:8">
      <c r="B4" s="18" t="s">
        <v>162</v>
      </c>
      <c r="C4" s="18" t="s">
        <v>163</v>
      </c>
      <c r="D4" s="19">
        <v>210</v>
      </c>
      <c r="E4" s="19">
        <v>220</v>
      </c>
      <c r="F4" s="19">
        <v>10</v>
      </c>
      <c r="G4" s="20">
        <v>1.0476190476190477</v>
      </c>
      <c r="H4" s="18">
        <v>8</v>
      </c>
    </row>
    <row r="5" spans="2:8">
      <c r="B5" s="18" t="s">
        <v>164</v>
      </c>
      <c r="C5" s="18" t="s">
        <v>165</v>
      </c>
      <c r="D5" s="19">
        <v>140</v>
      </c>
      <c r="E5" s="19">
        <v>170</v>
      </c>
      <c r="F5" s="19">
        <v>30</v>
      </c>
      <c r="G5" s="20">
        <v>1.2142857142857142</v>
      </c>
      <c r="H5" s="18">
        <v>4</v>
      </c>
    </row>
    <row r="6" spans="2:8">
      <c r="B6" s="18" t="s">
        <v>166</v>
      </c>
      <c r="C6" s="18" t="s">
        <v>167</v>
      </c>
      <c r="D6" s="19">
        <v>120</v>
      </c>
      <c r="E6" s="19">
        <v>150</v>
      </c>
      <c r="F6" s="19">
        <v>30</v>
      </c>
      <c r="G6" s="20">
        <v>1.25</v>
      </c>
      <c r="H6" s="18">
        <v>1</v>
      </c>
    </row>
    <row r="7" spans="2:8">
      <c r="B7" s="18" t="s">
        <v>168</v>
      </c>
      <c r="C7" s="18" t="s">
        <v>169</v>
      </c>
      <c r="D7" s="19">
        <v>180</v>
      </c>
      <c r="E7" s="19">
        <v>220</v>
      </c>
      <c r="F7" s="19">
        <v>40</v>
      </c>
      <c r="G7" s="20">
        <v>1.2222222222222223</v>
      </c>
      <c r="H7" s="18">
        <v>3</v>
      </c>
    </row>
    <row r="8" spans="2:8">
      <c r="B8" s="18" t="s">
        <v>170</v>
      </c>
      <c r="C8" s="18" t="s">
        <v>171</v>
      </c>
      <c r="D8" s="19">
        <v>150</v>
      </c>
      <c r="E8" s="19">
        <v>180</v>
      </c>
      <c r="F8" s="19">
        <v>30</v>
      </c>
      <c r="G8" s="20">
        <v>1.2</v>
      </c>
      <c r="H8" s="18">
        <v>5</v>
      </c>
    </row>
    <row r="9" spans="2:8">
      <c r="B9" s="18" t="s">
        <v>172</v>
      </c>
      <c r="C9" s="18" t="s">
        <v>173</v>
      </c>
      <c r="D9" s="19">
        <v>120</v>
      </c>
      <c r="E9" s="19">
        <v>130</v>
      </c>
      <c r="F9" s="19">
        <v>10</v>
      </c>
      <c r="G9" s="20">
        <v>1.0833333333333333</v>
      </c>
      <c r="H9" s="18">
        <v>7</v>
      </c>
    </row>
    <row r="10" spans="2:8">
      <c r="B10" s="18" t="s">
        <v>174</v>
      </c>
      <c r="C10" s="18" t="s">
        <v>175</v>
      </c>
      <c r="D10" s="19">
        <v>150</v>
      </c>
      <c r="E10" s="19">
        <v>155</v>
      </c>
      <c r="F10" s="19">
        <v>5</v>
      </c>
      <c r="G10" s="20">
        <v>1.0333333333333334</v>
      </c>
      <c r="H10" s="18">
        <v>9</v>
      </c>
    </row>
    <row r="11" spans="2:8">
      <c r="B11" s="18" t="s">
        <v>176</v>
      </c>
      <c r="C11" s="18" t="s">
        <v>177</v>
      </c>
      <c r="D11" s="19">
        <v>350</v>
      </c>
      <c r="E11" s="19">
        <v>390</v>
      </c>
      <c r="F11" s="19">
        <v>40</v>
      </c>
      <c r="G11" s="20">
        <v>1.1142857142857143</v>
      </c>
      <c r="H11" s="18">
        <v>6</v>
      </c>
    </row>
    <row r="12" spans="2:8">
      <c r="B12" s="18" t="s">
        <v>178</v>
      </c>
      <c r="C12" s="18" t="s">
        <v>179</v>
      </c>
      <c r="D12" s="19">
        <v>190</v>
      </c>
      <c r="E12" s="19">
        <v>235</v>
      </c>
      <c r="F12" s="19">
        <v>45</v>
      </c>
      <c r="G12" s="20">
        <v>1.236842105263158</v>
      </c>
      <c r="H12" s="18">
        <v>3</v>
      </c>
    </row>
  </sheetData>
  <mergeCells count="1">
    <mergeCell ref="B1:H1"/>
  </mergeCells>
  <phoneticPr fontId="3" type="noConversion"/>
  <conditionalFormatting sqref="H4:H12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B1:H12"/>
  <sheetViews>
    <sheetView workbookViewId="0"/>
  </sheetViews>
  <sheetFormatPr defaultRowHeight="16.5"/>
  <cols>
    <col min="1" max="1" width="2.625" customWidth="1"/>
  </cols>
  <sheetData>
    <row r="1" spans="2:8" ht="20.25">
      <c r="B1" s="24" t="s">
        <v>154</v>
      </c>
      <c r="C1" s="24"/>
      <c r="D1" s="24"/>
      <c r="E1" s="24"/>
      <c r="F1" s="24"/>
      <c r="G1" s="24"/>
      <c r="H1" s="24"/>
    </row>
    <row r="2" spans="2:8">
      <c r="B2" s="17"/>
      <c r="C2" s="17"/>
      <c r="D2" s="17"/>
      <c r="E2" s="17"/>
      <c r="F2" s="17"/>
      <c r="G2" s="17"/>
      <c r="H2" s="17"/>
    </row>
    <row r="3" spans="2:8">
      <c r="B3" s="22" t="s">
        <v>155</v>
      </c>
      <c r="C3" s="22" t="s">
        <v>156</v>
      </c>
      <c r="D3" s="22" t="s">
        <v>157</v>
      </c>
      <c r="E3" s="22" t="s">
        <v>158</v>
      </c>
      <c r="F3" s="23" t="s">
        <v>159</v>
      </c>
      <c r="G3" s="22" t="s">
        <v>160</v>
      </c>
      <c r="H3" s="22" t="s">
        <v>161</v>
      </c>
    </row>
    <row r="4" spans="2:8" hidden="1">
      <c r="B4" s="18" t="s">
        <v>166</v>
      </c>
      <c r="C4" s="18" t="s">
        <v>167</v>
      </c>
      <c r="D4" s="19">
        <v>120</v>
      </c>
      <c r="E4" s="19">
        <v>150</v>
      </c>
      <c r="F4" s="19">
        <v>30</v>
      </c>
      <c r="G4" s="20">
        <v>1.25</v>
      </c>
      <c r="H4" s="18">
        <v>1</v>
      </c>
    </row>
    <row r="5" spans="2:8" hidden="1">
      <c r="B5" s="18" t="s">
        <v>164</v>
      </c>
      <c r="C5" s="18" t="s">
        <v>165</v>
      </c>
      <c r="D5" s="19">
        <v>140</v>
      </c>
      <c r="E5" s="19">
        <v>170</v>
      </c>
      <c r="F5" s="19">
        <v>30</v>
      </c>
      <c r="G5" s="20">
        <v>1.2142857142857142</v>
      </c>
      <c r="H5" s="18">
        <v>4</v>
      </c>
    </row>
    <row r="6" spans="2:8" hidden="1">
      <c r="B6" s="18" t="s">
        <v>170</v>
      </c>
      <c r="C6" s="18" t="s">
        <v>171</v>
      </c>
      <c r="D6" s="19">
        <v>150</v>
      </c>
      <c r="E6" s="19">
        <v>180</v>
      </c>
      <c r="F6" s="19">
        <v>30</v>
      </c>
      <c r="G6" s="20">
        <v>1.2</v>
      </c>
      <c r="H6" s="18">
        <v>5</v>
      </c>
    </row>
    <row r="7" spans="2:8">
      <c r="B7" s="18" t="s">
        <v>178</v>
      </c>
      <c r="C7" s="18" t="s">
        <v>179</v>
      </c>
      <c r="D7" s="19">
        <v>190</v>
      </c>
      <c r="E7" s="19">
        <v>235</v>
      </c>
      <c r="F7" s="19">
        <v>45</v>
      </c>
      <c r="G7" s="20">
        <v>1.236842105263158</v>
      </c>
      <c r="H7" s="18">
        <v>3</v>
      </c>
    </row>
    <row r="8" spans="2:8" hidden="1">
      <c r="B8" s="18" t="s">
        <v>172</v>
      </c>
      <c r="C8" s="18" t="s">
        <v>173</v>
      </c>
      <c r="D8" s="19">
        <v>120</v>
      </c>
      <c r="E8" s="19">
        <v>130</v>
      </c>
      <c r="F8" s="19">
        <v>10</v>
      </c>
      <c r="G8" s="20">
        <v>1.0833333333333333</v>
      </c>
      <c r="H8" s="18">
        <v>7</v>
      </c>
    </row>
    <row r="9" spans="2:8">
      <c r="B9" s="18" t="s">
        <v>168</v>
      </c>
      <c r="C9" s="18" t="s">
        <v>169</v>
      </c>
      <c r="D9" s="19">
        <v>180</v>
      </c>
      <c r="E9" s="19">
        <v>220</v>
      </c>
      <c r="F9" s="19">
        <v>40</v>
      </c>
      <c r="G9" s="20">
        <v>1.2222222222222223</v>
      </c>
      <c r="H9" s="18">
        <v>3</v>
      </c>
    </row>
    <row r="10" spans="2:8">
      <c r="B10" s="18" t="s">
        <v>162</v>
      </c>
      <c r="C10" s="18" t="s">
        <v>163</v>
      </c>
      <c r="D10" s="19">
        <v>210</v>
      </c>
      <c r="E10" s="19">
        <v>220</v>
      </c>
      <c r="F10" s="19">
        <v>10</v>
      </c>
      <c r="G10" s="20">
        <v>1.0476190476190477</v>
      </c>
      <c r="H10" s="18">
        <v>8</v>
      </c>
    </row>
    <row r="11" spans="2:8">
      <c r="B11" s="18" t="s">
        <v>176</v>
      </c>
      <c r="C11" s="18" t="s">
        <v>177</v>
      </c>
      <c r="D11" s="19">
        <v>350</v>
      </c>
      <c r="E11" s="19">
        <v>390</v>
      </c>
      <c r="F11" s="19">
        <v>40</v>
      </c>
      <c r="G11" s="20">
        <v>1.1142857142857143</v>
      </c>
      <c r="H11" s="18">
        <v>6</v>
      </c>
    </row>
    <row r="12" spans="2:8" hidden="1">
      <c r="B12" s="18" t="s">
        <v>174</v>
      </c>
      <c r="C12" s="18" t="s">
        <v>175</v>
      </c>
      <c r="D12" s="19">
        <v>150</v>
      </c>
      <c r="E12" s="19">
        <v>155</v>
      </c>
      <c r="F12" s="19">
        <v>5</v>
      </c>
      <c r="G12" s="20">
        <v>1.0333333333333334</v>
      </c>
      <c r="H12" s="18">
        <v>9</v>
      </c>
    </row>
  </sheetData>
  <autoFilter ref="B3:H12" xr:uid="{00000000-0001-0000-0400-000000000000}">
    <filterColumn colId="3">
      <customFilters>
        <customFilter operator="greaterThanOrEqual" val="200"/>
      </customFilters>
    </filterColumn>
    <sortState xmlns:xlrd2="http://schemas.microsoft.com/office/spreadsheetml/2017/richdata2" ref="B4:H12">
      <sortCondition ref="B3:B12"/>
    </sortState>
  </autoFilter>
  <mergeCells count="1">
    <mergeCell ref="B1:H1"/>
  </mergeCells>
  <phoneticPr fontId="3" type="noConversion"/>
  <conditionalFormatting sqref="H4:H1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고급필터1</vt:lpstr>
      <vt:lpstr>고급필터1(결과)</vt:lpstr>
      <vt:lpstr>고급필터2</vt:lpstr>
      <vt:lpstr>고급필터2(결과)</vt:lpstr>
      <vt:lpstr>자동필터</vt:lpstr>
      <vt:lpstr>자동필터(결과)</vt:lpstr>
      <vt:lpstr>'고급필터1(결과)'!Criteria</vt:lpstr>
      <vt:lpstr>'고급필터2(결과)'!Criteria</vt:lpstr>
      <vt:lpstr>'고급필터1(결과)'!Extract</vt:lpstr>
      <vt:lpstr>'고급필터2(결과)'!Extract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2020-04-07T05:51:45Z</dcterms:created>
  <dcterms:modified xsi:type="dcterms:W3CDTF">2023-08-05T03:24:06Z</dcterms:modified>
</cp:coreProperties>
</file>