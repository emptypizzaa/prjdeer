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변형문제\"/>
    </mc:Choice>
  </mc:AlternateContent>
  <xr:revisionPtr revIDLastSave="0" documentId="13_ncr:1_{8F083223-0F31-478E-9DDE-C088D973468D}" xr6:coauthVersionLast="47" xr6:coauthVersionMax="47" xr10:uidLastSave="{00000000-0000-0000-0000-000000000000}"/>
  <bookViews>
    <workbookView xWindow="19850" yWindow="3170" windowWidth="15240" windowHeight="17420" tabRatio="846" xr2:uid="{00000000-000D-0000-FFFF-FFFF00000000}"/>
  </bookViews>
  <sheets>
    <sheet name="기본작업-1" sheetId="2" r:id="rId1"/>
    <sheet name="기본작업-2" sheetId="9" r:id="rId2"/>
    <sheet name="계산작업-1" sheetId="11" r:id="rId3"/>
    <sheet name="계산작업-2" sheetId="12" r:id="rId4"/>
    <sheet name="분석작업-1" sheetId="5" r:id="rId5"/>
    <sheet name="분석작업-2" sheetId="6" r:id="rId6"/>
    <sheet name="기타작업-1" sheetId="7" r:id="rId7"/>
    <sheet name="기타작업-2" sheetId="10" r:id="rId8"/>
    <sheet name="기타작업-3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6" l="1"/>
</calcChain>
</file>

<file path=xl/sharedStrings.xml><?xml version="1.0" encoding="utf-8"?>
<sst xmlns="http://schemas.openxmlformats.org/spreadsheetml/2006/main" count="450" uniqueCount="232">
  <si>
    <t>[표1]</t>
    <phoneticPr fontId="5" type="noConversion"/>
  </si>
  <si>
    <t>성명</t>
    <phoneticPr fontId="5" type="noConversion"/>
  </si>
  <si>
    <t>부서</t>
    <phoneticPr fontId="5" type="noConversion"/>
  </si>
  <si>
    <t>직급</t>
    <phoneticPr fontId="5" type="noConversion"/>
  </si>
  <si>
    <t>주민번호</t>
    <phoneticPr fontId="5" type="noConversion"/>
  </si>
  <si>
    <t>연봉</t>
    <phoneticPr fontId="5" type="noConversion"/>
  </si>
  <si>
    <t>입사일</t>
    <phoneticPr fontId="5" type="noConversion"/>
  </si>
  <si>
    <t>강원철</t>
    <phoneticPr fontId="5" type="noConversion"/>
  </si>
  <si>
    <t>교육팀</t>
    <phoneticPr fontId="5" type="noConversion"/>
  </si>
  <si>
    <t>과장</t>
  </si>
  <si>
    <t>강진용</t>
    <phoneticPr fontId="5" type="noConversion"/>
  </si>
  <si>
    <t>영업팀</t>
    <phoneticPr fontId="5" type="noConversion"/>
  </si>
  <si>
    <t>사원</t>
  </si>
  <si>
    <t>구자춘</t>
    <phoneticPr fontId="5" type="noConversion"/>
  </si>
  <si>
    <t>부장</t>
  </si>
  <si>
    <t>권부규</t>
    <phoneticPr fontId="5" type="noConversion"/>
  </si>
  <si>
    <t>기획팀</t>
    <phoneticPr fontId="5" type="noConversion"/>
  </si>
  <si>
    <t>대리</t>
  </si>
  <si>
    <t>김한일</t>
    <phoneticPr fontId="5" type="noConversion"/>
  </si>
  <si>
    <t>문택식</t>
    <phoneticPr fontId="5" type="noConversion"/>
  </si>
  <si>
    <t>박종훈</t>
    <phoneticPr fontId="5" type="noConversion"/>
  </si>
  <si>
    <t>서병일</t>
    <phoneticPr fontId="5" type="noConversion"/>
  </si>
  <si>
    <t>성기철</t>
    <phoneticPr fontId="5" type="noConversion"/>
  </si>
  <si>
    <t>오명진</t>
    <phoneticPr fontId="5" type="noConversion"/>
  </si>
  <si>
    <t>윤성현</t>
  </si>
  <si>
    <t>이기호</t>
    <phoneticPr fontId="5" type="noConversion"/>
  </si>
  <si>
    <t>이병호</t>
    <phoneticPr fontId="5" type="noConversion"/>
  </si>
  <si>
    <t>홍보팀</t>
    <phoneticPr fontId="5" type="noConversion"/>
  </si>
  <si>
    <t>이영성</t>
    <phoneticPr fontId="5" type="noConversion"/>
  </si>
  <si>
    <t>이영주</t>
    <phoneticPr fontId="5" type="noConversion"/>
  </si>
  <si>
    <t>이현우</t>
    <phoneticPr fontId="5" type="noConversion"/>
  </si>
  <si>
    <t>장정미</t>
  </si>
  <si>
    <t>조한열</t>
  </si>
  <si>
    <t>최준섭</t>
    <phoneticPr fontId="5" type="noConversion"/>
  </si>
  <si>
    <t>한영환</t>
    <phoneticPr fontId="5" type="noConversion"/>
  </si>
  <si>
    <t>한재혁</t>
    <phoneticPr fontId="5" type="noConversion"/>
  </si>
  <si>
    <t>[표1] 베스트셀러</t>
    <phoneticPr fontId="5" type="noConversion"/>
  </si>
  <si>
    <t>문학</t>
    <phoneticPr fontId="5" type="noConversion"/>
  </si>
  <si>
    <t>교육</t>
    <phoneticPr fontId="5" type="noConversion"/>
  </si>
  <si>
    <t>경영</t>
    <phoneticPr fontId="5" type="noConversion"/>
  </si>
  <si>
    <t>[표2] 판매현황</t>
    <phoneticPr fontId="5" type="noConversion"/>
  </si>
  <si>
    <t>도서명</t>
    <phoneticPr fontId="5" type="noConversion"/>
  </si>
  <si>
    <t>저자</t>
    <phoneticPr fontId="5" type="noConversion"/>
  </si>
  <si>
    <t>분류</t>
    <phoneticPr fontId="5" type="noConversion"/>
  </si>
  <si>
    <t>출판일</t>
    <phoneticPr fontId="5" type="noConversion"/>
  </si>
  <si>
    <t>판매부수</t>
    <phoneticPr fontId="5" type="noConversion"/>
  </si>
  <si>
    <t>히치하이커</t>
    <phoneticPr fontId="5" type="noConversion"/>
  </si>
  <si>
    <t>애덤스</t>
    <phoneticPr fontId="5" type="noConversion"/>
  </si>
  <si>
    <t>Why?</t>
    <phoneticPr fontId="5" type="noConversion"/>
  </si>
  <si>
    <t>허순봉</t>
    <phoneticPr fontId="5" type="noConversion"/>
  </si>
  <si>
    <t>엄마를 부탁해</t>
    <phoneticPr fontId="5" type="noConversion"/>
  </si>
  <si>
    <t>신경숙</t>
    <phoneticPr fontId="5" type="noConversion"/>
  </si>
  <si>
    <t>4개의 통장</t>
    <phoneticPr fontId="5" type="noConversion"/>
  </si>
  <si>
    <t>고경호</t>
    <phoneticPr fontId="5" type="noConversion"/>
  </si>
  <si>
    <t>도서관 고양이</t>
    <phoneticPr fontId="5" type="noConversion"/>
  </si>
  <si>
    <t>마이런</t>
    <phoneticPr fontId="5" type="noConversion"/>
  </si>
  <si>
    <t>깃털 하나</t>
    <phoneticPr fontId="5" type="noConversion"/>
  </si>
  <si>
    <t>공지영</t>
    <phoneticPr fontId="5" type="noConversion"/>
  </si>
  <si>
    <t>실험왕</t>
    <phoneticPr fontId="5" type="noConversion"/>
  </si>
  <si>
    <t>홍종현</t>
    <phoneticPr fontId="5" type="noConversion"/>
  </si>
  <si>
    <t>아웃라이어</t>
    <phoneticPr fontId="5" type="noConversion"/>
  </si>
  <si>
    <t>글래드웰</t>
    <phoneticPr fontId="5" type="noConversion"/>
  </si>
  <si>
    <t>눈먼 자들의 도시</t>
    <phoneticPr fontId="5" type="noConversion"/>
  </si>
  <si>
    <t>사라마구</t>
    <phoneticPr fontId="5" type="noConversion"/>
  </si>
  <si>
    <t>사랑해</t>
    <phoneticPr fontId="5" type="noConversion"/>
  </si>
  <si>
    <t>슈스탁</t>
    <phoneticPr fontId="5" type="noConversion"/>
  </si>
  <si>
    <t>똑똑한 돈</t>
    <phoneticPr fontId="5" type="noConversion"/>
  </si>
  <si>
    <t>이명로</t>
    <phoneticPr fontId="5" type="noConversion"/>
  </si>
  <si>
    <t>일본전산</t>
    <phoneticPr fontId="5" type="noConversion"/>
  </si>
  <si>
    <t>김성호</t>
    <phoneticPr fontId="5" type="noConversion"/>
  </si>
  <si>
    <t>신</t>
    <phoneticPr fontId="5" type="noConversion"/>
  </si>
  <si>
    <t>베르베르</t>
    <phoneticPr fontId="5" type="noConversion"/>
  </si>
  <si>
    <t>시크릿</t>
    <phoneticPr fontId="5" type="noConversion"/>
  </si>
  <si>
    <t>론다 번</t>
    <phoneticPr fontId="5" type="noConversion"/>
  </si>
  <si>
    <t>마지막 강의</t>
    <phoneticPr fontId="5" type="noConversion"/>
  </si>
  <si>
    <t>랜디포시</t>
    <phoneticPr fontId="5" type="noConversion"/>
  </si>
  <si>
    <t>불황을 넘어서</t>
    <phoneticPr fontId="5" type="noConversion"/>
  </si>
  <si>
    <t>토플러</t>
    <phoneticPr fontId="5" type="noConversion"/>
  </si>
  <si>
    <t>더 리더</t>
    <phoneticPr fontId="5" type="noConversion"/>
  </si>
  <si>
    <t>슐링크</t>
    <phoneticPr fontId="5" type="noConversion"/>
  </si>
  <si>
    <t>내 얼굴</t>
    <phoneticPr fontId="5" type="noConversion"/>
  </si>
  <si>
    <t>스미</t>
    <phoneticPr fontId="5" type="noConversion"/>
  </si>
  <si>
    <t>노니는 집</t>
    <phoneticPr fontId="5" type="noConversion"/>
  </si>
  <si>
    <t>이영서</t>
    <phoneticPr fontId="5" type="noConversion"/>
  </si>
  <si>
    <t>천자문</t>
    <phoneticPr fontId="5" type="noConversion"/>
  </si>
  <si>
    <t>시리얼</t>
    <phoneticPr fontId="5" type="noConversion"/>
  </si>
  <si>
    <t>성명</t>
    <phoneticPr fontId="11" type="noConversion"/>
  </si>
  <si>
    <t>필기시험</t>
    <phoneticPr fontId="5" type="noConversion"/>
  </si>
  <si>
    <t>개별면접</t>
    <phoneticPr fontId="11" type="noConversion"/>
  </si>
  <si>
    <t>집단면접</t>
    <phoneticPr fontId="11" type="noConversion"/>
  </si>
  <si>
    <t>합격여부</t>
    <phoneticPr fontId="11" type="noConversion"/>
  </si>
  <si>
    <t>한지영</t>
    <phoneticPr fontId="5" type="noConversion"/>
  </si>
  <si>
    <t>최한일</t>
    <phoneticPr fontId="5" type="noConversion"/>
  </si>
  <si>
    <t>김영주</t>
    <phoneticPr fontId="5" type="noConversion"/>
  </si>
  <si>
    <t>이상진</t>
    <phoneticPr fontId="5" type="noConversion"/>
  </si>
  <si>
    <t>김상일</t>
    <phoneticPr fontId="5" type="noConversion"/>
  </si>
  <si>
    <t>유하진</t>
    <phoneticPr fontId="5" type="noConversion"/>
  </si>
  <si>
    <t>박영철</t>
    <phoneticPr fontId="5" type="noConversion"/>
  </si>
  <si>
    <t>심정수</t>
    <phoneticPr fontId="5" type="noConversion"/>
  </si>
  <si>
    <t>일자</t>
  </si>
  <si>
    <t>지점</t>
  </si>
  <si>
    <t>품목</t>
  </si>
  <si>
    <t>개수</t>
  </si>
  <si>
    <t>매출</t>
  </si>
  <si>
    <t>강동</t>
  </si>
  <si>
    <t>LED</t>
  </si>
  <si>
    <t>강남</t>
  </si>
  <si>
    <t>강북</t>
  </si>
  <si>
    <t>DSLR</t>
  </si>
  <si>
    <t>강서</t>
  </si>
  <si>
    <t>LCD</t>
  </si>
  <si>
    <t>[표1] 인터넷통계</t>
    <phoneticPr fontId="5" type="noConversion"/>
  </si>
  <si>
    <t>(단위:천명, %)</t>
    <phoneticPr fontId="5" type="noConversion"/>
  </si>
  <si>
    <t>전망기관</t>
    <phoneticPr fontId="5" type="noConversion"/>
  </si>
  <si>
    <t>인터넷이용자수</t>
    <phoneticPr fontId="5" type="noConversion"/>
  </si>
  <si>
    <t>인터넷이용률</t>
    <phoneticPr fontId="5" type="noConversion"/>
  </si>
  <si>
    <t>인터넷가입자수</t>
    <phoneticPr fontId="5" type="noConversion"/>
  </si>
  <si>
    <t>상품코드</t>
    <phoneticPr fontId="5" type="noConversion"/>
  </si>
  <si>
    <t>구분</t>
    <phoneticPr fontId="5" type="noConversion"/>
  </si>
  <si>
    <t>상품명</t>
    <phoneticPr fontId="5" type="noConversion"/>
  </si>
  <si>
    <t>수량</t>
    <phoneticPr fontId="5" type="noConversion"/>
  </si>
  <si>
    <t>금액</t>
    <phoneticPr fontId="5" type="noConversion"/>
  </si>
  <si>
    <t>F014</t>
  </si>
  <si>
    <t>식품</t>
  </si>
  <si>
    <t>콩나물</t>
  </si>
  <si>
    <t>C133</t>
  </si>
  <si>
    <t>의류</t>
  </si>
  <si>
    <t>양말</t>
  </si>
  <si>
    <t>[표1] 주문서작성</t>
    <phoneticPr fontId="5" type="noConversion"/>
  </si>
  <si>
    <t>[데이터 : 상품정보]</t>
    <phoneticPr fontId="5" type="noConversion"/>
  </si>
  <si>
    <t>상품코드</t>
    <phoneticPr fontId="5" type="noConversion"/>
  </si>
  <si>
    <t>구분</t>
    <phoneticPr fontId="5" type="noConversion"/>
  </si>
  <si>
    <t>상품명</t>
    <phoneticPr fontId="5" type="noConversion"/>
  </si>
  <si>
    <t>단가</t>
    <phoneticPr fontId="5" type="noConversion"/>
  </si>
  <si>
    <t>F013</t>
    <phoneticPr fontId="5" type="noConversion"/>
  </si>
  <si>
    <t>식품</t>
    <phoneticPr fontId="5" type="noConversion"/>
  </si>
  <si>
    <t>시금치</t>
    <phoneticPr fontId="5" type="noConversion"/>
  </si>
  <si>
    <t>식품</t>
    <phoneticPr fontId="5" type="noConversion"/>
  </si>
  <si>
    <t>콩나물</t>
    <phoneticPr fontId="5" type="noConversion"/>
  </si>
  <si>
    <t>F015</t>
  </si>
  <si>
    <t>수박</t>
    <phoneticPr fontId="5" type="noConversion"/>
  </si>
  <si>
    <t>F016</t>
  </si>
  <si>
    <t>오이</t>
    <phoneticPr fontId="5" type="noConversion"/>
  </si>
  <si>
    <t>C132</t>
    <phoneticPr fontId="5" type="noConversion"/>
  </si>
  <si>
    <t>달걀</t>
    <phoneticPr fontId="5" type="noConversion"/>
  </si>
  <si>
    <t>의류</t>
    <phoneticPr fontId="5" type="noConversion"/>
  </si>
  <si>
    <t>양말</t>
    <phoneticPr fontId="5" type="noConversion"/>
  </si>
  <si>
    <t>C134</t>
  </si>
  <si>
    <t>스타킹</t>
    <phoneticPr fontId="5" type="noConversion"/>
  </si>
  <si>
    <t>C135</t>
  </si>
  <si>
    <t>손수건</t>
    <phoneticPr fontId="5" type="noConversion"/>
  </si>
  <si>
    <t>C136</t>
  </si>
  <si>
    <t>의류</t>
    <phoneticPr fontId="5" type="noConversion"/>
  </si>
  <si>
    <t>면장갑</t>
    <phoneticPr fontId="5" type="noConversion"/>
  </si>
  <si>
    <t>2022년</t>
  </si>
  <si>
    <t>죽음의 중지</t>
    <phoneticPr fontId="5" type="noConversion"/>
  </si>
  <si>
    <t>970912-2123456</t>
    <phoneticPr fontId="2" type="noConversion"/>
  </si>
  <si>
    <t>821101-1123456</t>
    <phoneticPr fontId="2" type="noConversion"/>
  </si>
  <si>
    <t>031001-4123456</t>
    <phoneticPr fontId="2" type="noConversion"/>
  </si>
  <si>
    <t>751018-1123456</t>
    <phoneticPr fontId="2" type="noConversion"/>
  </si>
  <si>
    <t>711010-2123456</t>
    <phoneticPr fontId="2" type="noConversion"/>
  </si>
  <si>
    <t>이진규</t>
    <phoneticPr fontId="5" type="noConversion"/>
  </si>
  <si>
    <t>971224-1123456</t>
    <phoneticPr fontId="2" type="noConversion"/>
  </si>
  <si>
    <t>000725-4123456</t>
    <phoneticPr fontId="2" type="noConversion"/>
  </si>
  <si>
    <t>790403-1123456</t>
    <phoneticPr fontId="2" type="noConversion"/>
  </si>
  <si>
    <t>이상철</t>
    <phoneticPr fontId="5" type="noConversion"/>
  </si>
  <si>
    <t>930912-2123456</t>
    <phoneticPr fontId="2" type="noConversion"/>
  </si>
  <si>
    <t>020109-4123456</t>
    <phoneticPr fontId="2" type="noConversion"/>
  </si>
  <si>
    <t>830716-1123456</t>
    <phoneticPr fontId="2" type="noConversion"/>
  </si>
  <si>
    <t>이강호</t>
    <phoneticPr fontId="5" type="noConversion"/>
  </si>
  <si>
    <t>851201-2123456</t>
    <phoneticPr fontId="2" type="noConversion"/>
  </si>
  <si>
    <t>981111-1123456</t>
    <phoneticPr fontId="2" type="noConversion"/>
  </si>
  <si>
    <t>791212-1123456</t>
    <phoneticPr fontId="2" type="noConversion"/>
  </si>
  <si>
    <t>010303-3123456</t>
    <phoneticPr fontId="2" type="noConversion"/>
  </si>
  <si>
    <t>020516-4123456</t>
    <phoneticPr fontId="2" type="noConversion"/>
  </si>
  <si>
    <t>030326-4123456</t>
    <phoneticPr fontId="2" type="noConversion"/>
  </si>
  <si>
    <t>960101-2123456</t>
    <phoneticPr fontId="2" type="noConversion"/>
  </si>
  <si>
    <t>김한재</t>
    <phoneticPr fontId="5" type="noConversion"/>
  </si>
  <si>
    <t>851213-1123456</t>
    <phoneticPr fontId="2" type="noConversion"/>
  </si>
  <si>
    <t>960108-1123456</t>
    <phoneticPr fontId="2" type="noConversion"/>
  </si>
  <si>
    <t>921010-1123456</t>
    <phoneticPr fontId="2" type="noConversion"/>
  </si>
  <si>
    <t>030110-4123456</t>
    <phoneticPr fontId="2" type="noConversion"/>
  </si>
  <si>
    <t>730823-1123456</t>
    <phoneticPr fontId="2" type="noConversion"/>
  </si>
  <si>
    <t>860617-2123456</t>
    <phoneticPr fontId="2" type="noConversion"/>
  </si>
  <si>
    <t>990205-1123456</t>
    <phoneticPr fontId="2" type="noConversion"/>
  </si>
  <si>
    <t>2023년</t>
  </si>
  <si>
    <t>2024년</t>
  </si>
  <si>
    <t>2025년</t>
  </si>
  <si>
    <t>[표1]</t>
    <phoneticPr fontId="2" type="noConversion"/>
  </si>
  <si>
    <t>중간고사</t>
    <phoneticPr fontId="2" type="noConversion"/>
  </si>
  <si>
    <t>기말고사</t>
    <phoneticPr fontId="2" type="noConversion"/>
  </si>
  <si>
    <t>수행평가</t>
    <phoneticPr fontId="2" type="noConversion"/>
  </si>
  <si>
    <t>출석</t>
    <phoneticPr fontId="2" type="noConversion"/>
  </si>
  <si>
    <t>[표2]</t>
    <phoneticPr fontId="2" type="noConversion"/>
  </si>
  <si>
    <t>환산점수</t>
    <phoneticPr fontId="2" type="noConversion"/>
  </si>
  <si>
    <t>성적표</t>
    <phoneticPr fontId="2" type="noConversion"/>
  </si>
  <si>
    <t>기준표</t>
    <phoneticPr fontId="2" type="noConversion"/>
  </si>
  <si>
    <t xml:space="preserve">                  순위
 분류</t>
    <phoneticPr fontId="5" type="noConversion"/>
  </si>
  <si>
    <t>문학분야</t>
    <phoneticPr fontId="5" type="noConversion"/>
  </si>
  <si>
    <t>교육분야</t>
    <phoneticPr fontId="5" type="noConversion"/>
  </si>
  <si>
    <t>경영분야</t>
    <phoneticPr fontId="5" type="noConversion"/>
  </si>
  <si>
    <t>[표3]</t>
    <phoneticPr fontId="5" type="noConversion"/>
  </si>
  <si>
    <t>판매부수 상위 5개 평균</t>
    <phoneticPr fontId="2" type="noConversion"/>
  </si>
  <si>
    <t>[표4] 대출고객</t>
    <phoneticPr fontId="5" type="noConversion"/>
  </si>
  <si>
    <t>[표5] 지원자 점수표</t>
    <phoneticPr fontId="5" type="noConversion"/>
  </si>
  <si>
    <t>고객명</t>
    <phoneticPr fontId="10" type="noConversion"/>
  </si>
  <si>
    <t>지점명</t>
    <phoneticPr fontId="2" type="noConversion"/>
  </si>
  <si>
    <t>대출금액</t>
    <phoneticPr fontId="10" type="noConversion"/>
  </si>
  <si>
    <t>대출기간</t>
    <phoneticPr fontId="10" type="noConversion"/>
  </si>
  <si>
    <t>이자율</t>
    <phoneticPr fontId="10" type="noConversion"/>
  </si>
  <si>
    <t>비고</t>
    <phoneticPr fontId="11" type="noConversion"/>
  </si>
  <si>
    <t>이동준</t>
    <phoneticPr fontId="5" type="noConversion"/>
  </si>
  <si>
    <t>경기</t>
    <phoneticPr fontId="2" type="noConversion"/>
  </si>
  <si>
    <t>정옥희</t>
    <phoneticPr fontId="5" type="noConversion"/>
  </si>
  <si>
    <t>인천</t>
    <phoneticPr fontId="2" type="noConversion"/>
  </si>
  <si>
    <t>강현주</t>
    <phoneticPr fontId="5" type="noConversion"/>
  </si>
  <si>
    <t>서울</t>
    <phoneticPr fontId="2" type="noConversion"/>
  </si>
  <si>
    <t>김인수</t>
    <phoneticPr fontId="5" type="noConversion"/>
  </si>
  <si>
    <t>최한나</t>
    <phoneticPr fontId="5" type="noConversion"/>
  </si>
  <si>
    <t>이유진</t>
    <phoneticPr fontId="5" type="noConversion"/>
  </si>
  <si>
    <t>김옥희</t>
    <phoneticPr fontId="5" type="noConversion"/>
  </si>
  <si>
    <t>김형란</t>
    <phoneticPr fontId="5" type="noConversion"/>
  </si>
  <si>
    <t>김희애</t>
    <phoneticPr fontId="2" type="noConversion"/>
  </si>
  <si>
    <t>[표6]</t>
    <phoneticPr fontId="2" type="noConversion"/>
  </si>
  <si>
    <t>[표7] 지점별 최고 대출액 순위</t>
    <phoneticPr fontId="2" type="noConversion"/>
  </si>
  <si>
    <t>월상환액</t>
    <phoneticPr fontId="2" type="noConversion"/>
  </si>
  <si>
    <t>분류</t>
    <phoneticPr fontId="2" type="noConversion"/>
  </si>
  <si>
    <t>순위</t>
    <phoneticPr fontId="11" type="noConversion"/>
  </si>
  <si>
    <t>최소</t>
    <phoneticPr fontId="2" type="noConversion"/>
  </si>
  <si>
    <t>보통</t>
    <phoneticPr fontId="2" type="noConversion"/>
  </si>
  <si>
    <t>부담</t>
    <phoneticPr fontId="2" type="noConversion"/>
  </si>
  <si>
    <t>과다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</si>
</sst>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&quot;위&quot;"/>
    <numFmt numFmtId="177" formatCode="0.0%"/>
    <numFmt numFmtId="178" formatCode="#,##0\ &quot;이&quot;&quot;상&quot;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9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굴림체"/>
      <family val="3"/>
      <charset val="129"/>
    </font>
    <font>
      <sz val="8"/>
      <name val="돋움체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9" fillId="0" borderId="2" xfId="3" applyFont="1" applyBorder="1" applyAlignment="1">
      <alignment horizontal="center" vertical="center" shrinkToFit="1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horizontal="left" vertical="center" wrapText="1"/>
    </xf>
    <xf numFmtId="41" fontId="7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1" fontId="7" fillId="0" borderId="1" xfId="1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7" fillId="0" borderId="1" xfId="2" applyFont="1" applyBorder="1" applyAlignment="1">
      <alignment horizontal="center" vertical="center"/>
    </xf>
    <xf numFmtId="14" fontId="7" fillId="0" borderId="1" xfId="2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176" fontId="7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3" fillId="0" borderId="0" xfId="0" applyNumberFormat="1" applyFont="1">
      <alignment vertical="center"/>
    </xf>
    <xf numFmtId="14" fontId="7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41" fontId="7" fillId="0" borderId="1" xfId="1" applyFont="1" applyBorder="1" applyAlignment="1">
      <alignment horizontal="left" vertical="center"/>
    </xf>
    <xf numFmtId="0" fontId="7" fillId="0" borderId="1" xfId="0" applyFont="1" applyBorder="1">
      <alignment vertical="center"/>
    </xf>
    <xf numFmtId="177" fontId="7" fillId="0" borderId="1" xfId="4" applyNumberFormat="1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41" fontId="0" fillId="0" borderId="4" xfId="1" applyFont="1" applyBorder="1" applyAlignment="1">
      <alignment vertical="center"/>
    </xf>
  </cellXfs>
  <cellStyles count="5">
    <cellStyle name="백분율" xfId="4" builtinId="5"/>
    <cellStyle name="쉼표 [0]" xfId="1" builtinId="6"/>
    <cellStyle name="표준" xfId="0" builtinId="0"/>
    <cellStyle name="표준 3" xfId="3" xr:uid="{00000000-0005-0000-0000-000002000000}"/>
    <cellStyle name="표준_데이터베이스함수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인터넷이용자수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'기타작업-1'!$C$4:$F$4</c:f>
              <c:numCache>
                <c:formatCode>General</c:formatCode>
                <c:ptCount val="4"/>
                <c:pt idx="0">
                  <c:v>31580</c:v>
                </c:pt>
                <c:pt idx="1">
                  <c:v>33010</c:v>
                </c:pt>
                <c:pt idx="2">
                  <c:v>34120</c:v>
                </c:pt>
                <c:pt idx="3">
                  <c:v>34820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F1-4B92-89B4-06C3A14F6408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인터넷이용률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'기타작업-1'!$C$5:$F$5</c:f>
              <c:numCache>
                <c:formatCode>General</c:formatCode>
                <c:ptCount val="4"/>
                <c:pt idx="0">
                  <c:v>70.2</c:v>
                </c:pt>
                <c:pt idx="1">
                  <c:v>72.8</c:v>
                </c:pt>
                <c:pt idx="2">
                  <c:v>74.8</c:v>
                </c:pt>
                <c:pt idx="3">
                  <c:v>75.3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F1-4B92-89B4-06C3A14F6408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인터넷가입자수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'기타작업-1'!$C$6:$F$6</c:f>
              <c:numCache>
                <c:formatCode>General</c:formatCode>
                <c:ptCount val="4"/>
                <c:pt idx="0">
                  <c:v>11921</c:v>
                </c:pt>
                <c:pt idx="1">
                  <c:v>12191</c:v>
                </c:pt>
                <c:pt idx="2">
                  <c:v>14043</c:v>
                </c:pt>
                <c:pt idx="3">
                  <c:v>14710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F1-4B92-89B4-06C3A14F6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04989599"/>
        <c:axId val="2004987103"/>
      </c:barChart>
      <c:catAx>
        <c:axId val="200498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4987103"/>
        <c:crosses val="autoZero"/>
        <c:auto val="1"/>
        <c:lblAlgn val="ctr"/>
        <c:lblOffset val="100"/>
        <c:noMultiLvlLbl val="0"/>
      </c:catAx>
      <c:valAx>
        <c:axId val="200498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498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552450</xdr:colOff>
          <xdr:row>2</xdr:row>
          <xdr:rowOff>171450</xdr:rowOff>
        </xdr:to>
        <xdr:sp macro="" textlink="">
          <xdr:nvSpPr>
            <xdr:cNvPr id="8193" name="cmd매출입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28"/>
  <sheetViews>
    <sheetView tabSelected="1" workbookViewId="0"/>
  </sheetViews>
  <sheetFormatPr defaultRowHeight="17"/>
  <cols>
    <col min="1" max="3" width="12.5" customWidth="1"/>
    <col min="4" max="4" width="16.83203125" customWidth="1"/>
    <col min="5" max="6" width="13.83203125" customWidth="1"/>
  </cols>
  <sheetData>
    <row r="1" spans="1:6">
      <c r="A1" s="1"/>
      <c r="B1" s="1"/>
      <c r="C1" s="1"/>
      <c r="D1" s="1"/>
      <c r="E1" s="1"/>
      <c r="F1" s="1"/>
    </row>
    <row r="2" spans="1:6">
      <c r="A2" s="2" t="s">
        <v>0</v>
      </c>
      <c r="B2" s="1"/>
      <c r="C2" s="1"/>
      <c r="D2" s="1"/>
      <c r="E2" s="1"/>
      <c r="F2" s="1"/>
    </row>
    <row r="3" spans="1:6">
      <c r="A3" s="17" t="s">
        <v>1</v>
      </c>
      <c r="B3" s="17" t="s">
        <v>2</v>
      </c>
      <c r="C3" s="17" t="s">
        <v>3</v>
      </c>
      <c r="D3" s="17" t="s">
        <v>4</v>
      </c>
      <c r="E3" s="17" t="s">
        <v>5</v>
      </c>
      <c r="F3" s="17" t="s">
        <v>6</v>
      </c>
    </row>
    <row r="4" spans="1:6">
      <c r="A4" s="3" t="s">
        <v>7</v>
      </c>
      <c r="B4" s="17" t="s">
        <v>8</v>
      </c>
      <c r="C4" s="17" t="s">
        <v>9</v>
      </c>
      <c r="D4" s="17" t="s">
        <v>157</v>
      </c>
      <c r="E4" s="16">
        <v>38900000</v>
      </c>
      <c r="F4" s="18">
        <v>44529</v>
      </c>
    </row>
    <row r="5" spans="1:6">
      <c r="A5" s="3" t="s">
        <v>10</v>
      </c>
      <c r="B5" s="17" t="s">
        <v>11</v>
      </c>
      <c r="C5" s="17" t="s">
        <v>12</v>
      </c>
      <c r="D5" s="17" t="s">
        <v>158</v>
      </c>
      <c r="E5" s="16">
        <v>29100000</v>
      </c>
      <c r="F5" s="18">
        <v>44544</v>
      </c>
    </row>
    <row r="6" spans="1:6">
      <c r="A6" s="3" t="s">
        <v>13</v>
      </c>
      <c r="B6" s="17" t="s">
        <v>8</v>
      </c>
      <c r="C6" s="17" t="s">
        <v>14</v>
      </c>
      <c r="D6" s="17" t="s">
        <v>159</v>
      </c>
      <c r="E6" s="16">
        <v>47000000</v>
      </c>
      <c r="F6" s="18">
        <v>40499</v>
      </c>
    </row>
    <row r="7" spans="1:6">
      <c r="A7" s="3" t="s">
        <v>15</v>
      </c>
      <c r="B7" s="17" t="s">
        <v>16</v>
      </c>
      <c r="C7" s="17" t="s">
        <v>14</v>
      </c>
      <c r="D7" s="17" t="s">
        <v>160</v>
      </c>
      <c r="E7" s="16">
        <v>47900000</v>
      </c>
      <c r="F7" s="18">
        <v>38699</v>
      </c>
    </row>
    <row r="8" spans="1:6">
      <c r="A8" s="3" t="s">
        <v>161</v>
      </c>
      <c r="B8" s="17" t="s">
        <v>16</v>
      </c>
      <c r="C8" s="17" t="s">
        <v>17</v>
      </c>
      <c r="D8" s="17" t="s">
        <v>162</v>
      </c>
      <c r="E8" s="16">
        <v>31200000</v>
      </c>
      <c r="F8" s="18">
        <v>43802</v>
      </c>
    </row>
    <row r="9" spans="1:6">
      <c r="A9" s="3" t="s">
        <v>18</v>
      </c>
      <c r="B9" s="17" t="s">
        <v>8</v>
      </c>
      <c r="C9" s="17" t="s">
        <v>12</v>
      </c>
      <c r="D9" s="17" t="s">
        <v>163</v>
      </c>
      <c r="E9" s="16">
        <v>30000000</v>
      </c>
      <c r="F9" s="18">
        <v>44171</v>
      </c>
    </row>
    <row r="10" spans="1:6">
      <c r="A10" s="3" t="s">
        <v>19</v>
      </c>
      <c r="B10" s="17" t="s">
        <v>8</v>
      </c>
      <c r="C10" s="17" t="s">
        <v>9</v>
      </c>
      <c r="D10" s="17" t="s">
        <v>164</v>
      </c>
      <c r="E10" s="16">
        <v>37900000</v>
      </c>
      <c r="F10" s="18">
        <v>44902</v>
      </c>
    </row>
    <row r="11" spans="1:6">
      <c r="A11" s="3" t="s">
        <v>165</v>
      </c>
      <c r="B11" s="17" t="s">
        <v>8</v>
      </c>
      <c r="C11" s="17" t="s">
        <v>17</v>
      </c>
      <c r="D11" s="17" t="s">
        <v>166</v>
      </c>
      <c r="E11" s="16">
        <v>31800000</v>
      </c>
      <c r="F11" s="18">
        <v>44535</v>
      </c>
    </row>
    <row r="12" spans="1:6">
      <c r="A12" s="3" t="s">
        <v>20</v>
      </c>
      <c r="B12" s="17" t="s">
        <v>16</v>
      </c>
      <c r="C12" s="17" t="s">
        <v>12</v>
      </c>
      <c r="D12" s="17" t="s">
        <v>167</v>
      </c>
      <c r="E12" s="16">
        <v>28300000</v>
      </c>
      <c r="F12" s="18">
        <v>44906</v>
      </c>
    </row>
    <row r="13" spans="1:6">
      <c r="A13" s="3" t="s">
        <v>21</v>
      </c>
      <c r="B13" s="17" t="s">
        <v>16</v>
      </c>
      <c r="C13" s="17" t="s">
        <v>17</v>
      </c>
      <c r="D13" s="17" t="s">
        <v>156</v>
      </c>
      <c r="E13" s="16">
        <v>35200000</v>
      </c>
      <c r="F13" s="18">
        <v>44527</v>
      </c>
    </row>
    <row r="14" spans="1:6">
      <c r="A14" s="3" t="s">
        <v>22</v>
      </c>
      <c r="B14" s="17" t="s">
        <v>8</v>
      </c>
      <c r="C14" s="17" t="s">
        <v>9</v>
      </c>
      <c r="D14" s="17" t="s">
        <v>168</v>
      </c>
      <c r="E14" s="16">
        <v>37500000</v>
      </c>
      <c r="F14" s="18">
        <v>44538</v>
      </c>
    </row>
    <row r="15" spans="1:6">
      <c r="A15" s="3" t="s">
        <v>169</v>
      </c>
      <c r="B15" s="17" t="s">
        <v>8</v>
      </c>
      <c r="C15" s="17" t="s">
        <v>9</v>
      </c>
      <c r="D15" s="17" t="s">
        <v>170</v>
      </c>
      <c r="E15" s="16">
        <v>39800000</v>
      </c>
      <c r="F15" s="18">
        <v>45236</v>
      </c>
    </row>
    <row r="16" spans="1:6">
      <c r="A16" s="3" t="s">
        <v>23</v>
      </c>
      <c r="B16" s="17" t="s">
        <v>8</v>
      </c>
      <c r="C16" s="17" t="s">
        <v>17</v>
      </c>
      <c r="D16" s="17" t="s">
        <v>171</v>
      </c>
      <c r="E16" s="16">
        <v>32200000</v>
      </c>
      <c r="F16" s="18">
        <v>44540</v>
      </c>
    </row>
    <row r="17" spans="1:6">
      <c r="A17" s="3" t="s">
        <v>24</v>
      </c>
      <c r="B17" s="17" t="s">
        <v>11</v>
      </c>
      <c r="C17" s="17" t="s">
        <v>14</v>
      </c>
      <c r="D17" s="17" t="s">
        <v>172</v>
      </c>
      <c r="E17" s="16">
        <v>45200000</v>
      </c>
      <c r="F17" s="18">
        <v>44538</v>
      </c>
    </row>
    <row r="18" spans="1:6">
      <c r="A18" s="3" t="s">
        <v>25</v>
      </c>
      <c r="B18" s="17" t="s">
        <v>11</v>
      </c>
      <c r="C18" s="17" t="s">
        <v>12</v>
      </c>
      <c r="D18" s="17" t="s">
        <v>173</v>
      </c>
      <c r="E18" s="16">
        <v>33300000</v>
      </c>
      <c r="F18" s="18">
        <v>44164</v>
      </c>
    </row>
    <row r="19" spans="1:6">
      <c r="A19" s="3" t="s">
        <v>26</v>
      </c>
      <c r="B19" s="17" t="s">
        <v>27</v>
      </c>
      <c r="C19" s="17" t="s">
        <v>12</v>
      </c>
      <c r="D19" s="17" t="s">
        <v>174</v>
      </c>
      <c r="E19" s="16">
        <v>29200000</v>
      </c>
      <c r="F19" s="18">
        <v>44899</v>
      </c>
    </row>
    <row r="20" spans="1:6">
      <c r="A20" s="3" t="s">
        <v>28</v>
      </c>
      <c r="B20" s="17" t="s">
        <v>11</v>
      </c>
      <c r="C20" s="17" t="s">
        <v>12</v>
      </c>
      <c r="D20" s="17" t="s">
        <v>175</v>
      </c>
      <c r="E20" s="16">
        <v>29500000</v>
      </c>
      <c r="F20" s="18">
        <v>44535</v>
      </c>
    </row>
    <row r="21" spans="1:6">
      <c r="A21" s="3" t="s">
        <v>29</v>
      </c>
      <c r="B21" s="17" t="s">
        <v>16</v>
      </c>
      <c r="C21" s="17" t="s">
        <v>17</v>
      </c>
      <c r="D21" s="17" t="s">
        <v>176</v>
      </c>
      <c r="E21" s="16">
        <v>31600000</v>
      </c>
      <c r="F21" s="18">
        <v>44521</v>
      </c>
    </row>
    <row r="22" spans="1:6">
      <c r="A22" s="3" t="s">
        <v>177</v>
      </c>
      <c r="B22" s="17" t="s">
        <v>8</v>
      </c>
      <c r="C22" s="17" t="s">
        <v>9</v>
      </c>
      <c r="D22" s="17" t="s">
        <v>178</v>
      </c>
      <c r="E22" s="16">
        <v>40200000</v>
      </c>
      <c r="F22" s="18">
        <v>44535</v>
      </c>
    </row>
    <row r="23" spans="1:6">
      <c r="A23" s="3" t="s">
        <v>30</v>
      </c>
      <c r="B23" s="17" t="s">
        <v>11</v>
      </c>
      <c r="C23" s="17" t="s">
        <v>17</v>
      </c>
      <c r="D23" s="17" t="s">
        <v>179</v>
      </c>
      <c r="E23" s="16">
        <v>33000000</v>
      </c>
      <c r="F23" s="18">
        <v>43795</v>
      </c>
    </row>
    <row r="24" spans="1:6">
      <c r="A24" s="3" t="s">
        <v>31</v>
      </c>
      <c r="B24" s="17" t="s">
        <v>27</v>
      </c>
      <c r="C24" s="17" t="s">
        <v>17</v>
      </c>
      <c r="D24" s="17" t="s">
        <v>180</v>
      </c>
      <c r="E24" s="16">
        <v>33300000</v>
      </c>
      <c r="F24" s="18">
        <v>44537</v>
      </c>
    </row>
    <row r="25" spans="1:6">
      <c r="A25" s="3" t="s">
        <v>32</v>
      </c>
      <c r="B25" s="17" t="s">
        <v>16</v>
      </c>
      <c r="C25" s="17" t="s">
        <v>12</v>
      </c>
      <c r="D25" s="17" t="s">
        <v>181</v>
      </c>
      <c r="E25" s="16">
        <v>31000000</v>
      </c>
      <c r="F25" s="18">
        <v>44892</v>
      </c>
    </row>
    <row r="26" spans="1:6">
      <c r="A26" s="3" t="s">
        <v>33</v>
      </c>
      <c r="B26" s="17" t="s">
        <v>27</v>
      </c>
      <c r="C26" s="17" t="s">
        <v>14</v>
      </c>
      <c r="D26" s="17" t="s">
        <v>182</v>
      </c>
      <c r="E26" s="16">
        <v>35100000</v>
      </c>
      <c r="F26" s="18">
        <v>45635</v>
      </c>
    </row>
    <row r="27" spans="1:6">
      <c r="A27" s="3" t="s">
        <v>34</v>
      </c>
      <c r="B27" s="17" t="s">
        <v>16</v>
      </c>
      <c r="C27" s="17" t="s">
        <v>9</v>
      </c>
      <c r="D27" s="17" t="s">
        <v>183</v>
      </c>
      <c r="E27" s="16">
        <v>37600000</v>
      </c>
      <c r="F27" s="18">
        <v>44528</v>
      </c>
    </row>
    <row r="28" spans="1:6">
      <c r="A28" s="3" t="s">
        <v>35</v>
      </c>
      <c r="B28" s="17" t="s">
        <v>27</v>
      </c>
      <c r="C28" s="17" t="s">
        <v>12</v>
      </c>
      <c r="D28" s="17" t="s">
        <v>184</v>
      </c>
      <c r="E28" s="16">
        <v>28600000</v>
      </c>
      <c r="F28" s="18">
        <v>43785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F28"/>
  <sheetViews>
    <sheetView workbookViewId="0"/>
  </sheetViews>
  <sheetFormatPr defaultRowHeight="17"/>
  <cols>
    <col min="1" max="3" width="12.5" customWidth="1"/>
    <col min="4" max="4" width="16.83203125" customWidth="1"/>
    <col min="5" max="6" width="13.83203125" customWidth="1"/>
    <col min="9" max="9" width="9.1640625" bestFit="1" customWidth="1"/>
  </cols>
  <sheetData>
    <row r="1" spans="1:6">
      <c r="A1" s="1"/>
      <c r="B1" s="1"/>
      <c r="C1" s="1"/>
      <c r="D1" s="1"/>
      <c r="E1" s="1"/>
      <c r="F1" s="1"/>
    </row>
    <row r="2" spans="1:6">
      <c r="A2" s="2" t="s">
        <v>0</v>
      </c>
      <c r="B2" s="1"/>
      <c r="C2" s="1"/>
      <c r="D2" s="1"/>
      <c r="E2" s="1"/>
      <c r="F2" s="1"/>
    </row>
    <row r="3" spans="1:6">
      <c r="A3" s="17" t="s">
        <v>1</v>
      </c>
      <c r="B3" s="17" t="s">
        <v>2</v>
      </c>
      <c r="C3" s="17" t="s">
        <v>3</v>
      </c>
      <c r="D3" s="17" t="s">
        <v>4</v>
      </c>
      <c r="E3" s="17" t="s">
        <v>5</v>
      </c>
      <c r="F3" s="17" t="s">
        <v>6</v>
      </c>
    </row>
    <row r="4" spans="1:6">
      <c r="A4" s="3" t="s">
        <v>7</v>
      </c>
      <c r="B4" s="17" t="s">
        <v>8</v>
      </c>
      <c r="C4" s="17" t="s">
        <v>9</v>
      </c>
      <c r="D4" s="17" t="s">
        <v>157</v>
      </c>
      <c r="E4" s="16">
        <v>38900000</v>
      </c>
      <c r="F4" s="18">
        <v>44529</v>
      </c>
    </row>
    <row r="5" spans="1:6">
      <c r="A5" s="3" t="s">
        <v>10</v>
      </c>
      <c r="B5" s="17" t="s">
        <v>11</v>
      </c>
      <c r="C5" s="17" t="s">
        <v>12</v>
      </c>
      <c r="D5" s="17" t="s">
        <v>158</v>
      </c>
      <c r="E5" s="16">
        <v>29100000</v>
      </c>
      <c r="F5" s="18">
        <v>44544</v>
      </c>
    </row>
    <row r="6" spans="1:6">
      <c r="A6" s="3" t="s">
        <v>13</v>
      </c>
      <c r="B6" s="17" t="s">
        <v>8</v>
      </c>
      <c r="C6" s="17" t="s">
        <v>14</v>
      </c>
      <c r="D6" s="17" t="s">
        <v>159</v>
      </c>
      <c r="E6" s="16">
        <v>47000000</v>
      </c>
      <c r="F6" s="18">
        <v>40499</v>
      </c>
    </row>
    <row r="7" spans="1:6">
      <c r="A7" s="3" t="s">
        <v>15</v>
      </c>
      <c r="B7" s="17" t="s">
        <v>16</v>
      </c>
      <c r="C7" s="17" t="s">
        <v>14</v>
      </c>
      <c r="D7" s="17" t="s">
        <v>160</v>
      </c>
      <c r="E7" s="16">
        <v>47900000</v>
      </c>
      <c r="F7" s="18">
        <v>38699</v>
      </c>
    </row>
    <row r="8" spans="1:6">
      <c r="A8" s="3" t="s">
        <v>161</v>
      </c>
      <c r="B8" s="17" t="s">
        <v>16</v>
      </c>
      <c r="C8" s="17" t="s">
        <v>17</v>
      </c>
      <c r="D8" s="17" t="s">
        <v>162</v>
      </c>
      <c r="E8" s="16">
        <v>31200000</v>
      </c>
      <c r="F8" s="18">
        <v>43802</v>
      </c>
    </row>
    <row r="9" spans="1:6">
      <c r="A9" s="3" t="s">
        <v>18</v>
      </c>
      <c r="B9" s="17" t="s">
        <v>8</v>
      </c>
      <c r="C9" s="17" t="s">
        <v>12</v>
      </c>
      <c r="D9" s="17" t="s">
        <v>163</v>
      </c>
      <c r="E9" s="16">
        <v>30000000</v>
      </c>
      <c r="F9" s="18">
        <v>44171</v>
      </c>
    </row>
    <row r="10" spans="1:6">
      <c r="A10" s="3" t="s">
        <v>19</v>
      </c>
      <c r="B10" s="17" t="s">
        <v>8</v>
      </c>
      <c r="C10" s="17" t="s">
        <v>9</v>
      </c>
      <c r="D10" s="17" t="s">
        <v>164</v>
      </c>
      <c r="E10" s="16">
        <v>37900000</v>
      </c>
      <c r="F10" s="18">
        <v>44902</v>
      </c>
    </row>
    <row r="11" spans="1:6">
      <c r="A11" s="3" t="s">
        <v>165</v>
      </c>
      <c r="B11" s="17" t="s">
        <v>8</v>
      </c>
      <c r="C11" s="17" t="s">
        <v>17</v>
      </c>
      <c r="D11" s="17" t="s">
        <v>166</v>
      </c>
      <c r="E11" s="16">
        <v>31800000</v>
      </c>
      <c r="F11" s="18">
        <v>44535</v>
      </c>
    </row>
    <row r="12" spans="1:6">
      <c r="A12" s="3" t="s">
        <v>20</v>
      </c>
      <c r="B12" s="17" t="s">
        <v>16</v>
      </c>
      <c r="C12" s="17" t="s">
        <v>12</v>
      </c>
      <c r="D12" s="17" t="s">
        <v>167</v>
      </c>
      <c r="E12" s="16">
        <v>28300000</v>
      </c>
      <c r="F12" s="18">
        <v>44906</v>
      </c>
    </row>
    <row r="13" spans="1:6">
      <c r="A13" s="3" t="s">
        <v>21</v>
      </c>
      <c r="B13" s="17" t="s">
        <v>16</v>
      </c>
      <c r="C13" s="17" t="s">
        <v>17</v>
      </c>
      <c r="D13" s="17" t="s">
        <v>156</v>
      </c>
      <c r="E13" s="16">
        <v>35200000</v>
      </c>
      <c r="F13" s="18">
        <v>44527</v>
      </c>
    </row>
    <row r="14" spans="1:6">
      <c r="A14" s="3" t="s">
        <v>22</v>
      </c>
      <c r="B14" s="17" t="s">
        <v>8</v>
      </c>
      <c r="C14" s="17" t="s">
        <v>9</v>
      </c>
      <c r="D14" s="17" t="s">
        <v>168</v>
      </c>
      <c r="E14" s="16">
        <v>37500000</v>
      </c>
      <c r="F14" s="18">
        <v>44538</v>
      </c>
    </row>
    <row r="15" spans="1:6">
      <c r="A15" s="3" t="s">
        <v>169</v>
      </c>
      <c r="B15" s="17" t="s">
        <v>8</v>
      </c>
      <c r="C15" s="17" t="s">
        <v>9</v>
      </c>
      <c r="D15" s="17" t="s">
        <v>170</v>
      </c>
      <c r="E15" s="16">
        <v>39800000</v>
      </c>
      <c r="F15" s="18">
        <v>45236</v>
      </c>
    </row>
    <row r="16" spans="1:6">
      <c r="A16" s="3" t="s">
        <v>23</v>
      </c>
      <c r="B16" s="17" t="s">
        <v>8</v>
      </c>
      <c r="C16" s="17" t="s">
        <v>17</v>
      </c>
      <c r="D16" s="17" t="s">
        <v>171</v>
      </c>
      <c r="E16" s="16">
        <v>32200000</v>
      </c>
      <c r="F16" s="18">
        <v>44540</v>
      </c>
    </row>
    <row r="17" spans="1:6">
      <c r="A17" s="3" t="s">
        <v>24</v>
      </c>
      <c r="B17" s="17" t="s">
        <v>11</v>
      </c>
      <c r="C17" s="17" t="s">
        <v>14</v>
      </c>
      <c r="D17" s="17" t="s">
        <v>172</v>
      </c>
      <c r="E17" s="16">
        <v>45200000</v>
      </c>
      <c r="F17" s="18">
        <v>44538</v>
      </c>
    </row>
    <row r="18" spans="1:6">
      <c r="A18" s="3" t="s">
        <v>25</v>
      </c>
      <c r="B18" s="17" t="s">
        <v>11</v>
      </c>
      <c r="C18" s="17" t="s">
        <v>12</v>
      </c>
      <c r="D18" s="17" t="s">
        <v>173</v>
      </c>
      <c r="E18" s="16">
        <v>33300000</v>
      </c>
      <c r="F18" s="18">
        <v>44164</v>
      </c>
    </row>
    <row r="19" spans="1:6">
      <c r="A19" s="3" t="s">
        <v>26</v>
      </c>
      <c r="B19" s="17" t="s">
        <v>27</v>
      </c>
      <c r="C19" s="17" t="s">
        <v>12</v>
      </c>
      <c r="D19" s="17" t="s">
        <v>174</v>
      </c>
      <c r="E19" s="16">
        <v>29200000</v>
      </c>
      <c r="F19" s="18">
        <v>44899</v>
      </c>
    </row>
    <row r="20" spans="1:6">
      <c r="A20" s="3" t="s">
        <v>28</v>
      </c>
      <c r="B20" s="17" t="s">
        <v>11</v>
      </c>
      <c r="C20" s="17" t="s">
        <v>12</v>
      </c>
      <c r="D20" s="17" t="s">
        <v>175</v>
      </c>
      <c r="E20" s="16">
        <v>29500000</v>
      </c>
      <c r="F20" s="18">
        <v>44535</v>
      </c>
    </row>
    <row r="21" spans="1:6">
      <c r="A21" s="3" t="s">
        <v>29</v>
      </c>
      <c r="B21" s="17" t="s">
        <v>16</v>
      </c>
      <c r="C21" s="17" t="s">
        <v>17</v>
      </c>
      <c r="D21" s="17" t="s">
        <v>176</v>
      </c>
      <c r="E21" s="16">
        <v>31600000</v>
      </c>
      <c r="F21" s="18">
        <v>44521</v>
      </c>
    </row>
    <row r="22" spans="1:6">
      <c r="A22" s="3" t="s">
        <v>177</v>
      </c>
      <c r="B22" s="17" t="s">
        <v>8</v>
      </c>
      <c r="C22" s="17" t="s">
        <v>9</v>
      </c>
      <c r="D22" s="17" t="s">
        <v>178</v>
      </c>
      <c r="E22" s="16">
        <v>40200000</v>
      </c>
      <c r="F22" s="18">
        <v>44535</v>
      </c>
    </row>
    <row r="23" spans="1:6">
      <c r="A23" s="3" t="s">
        <v>30</v>
      </c>
      <c r="B23" s="17" t="s">
        <v>11</v>
      </c>
      <c r="C23" s="17" t="s">
        <v>17</v>
      </c>
      <c r="D23" s="17" t="s">
        <v>179</v>
      </c>
      <c r="E23" s="16">
        <v>33000000</v>
      </c>
      <c r="F23" s="18">
        <v>43795</v>
      </c>
    </row>
    <row r="24" spans="1:6">
      <c r="A24" s="3" t="s">
        <v>31</v>
      </c>
      <c r="B24" s="17" t="s">
        <v>27</v>
      </c>
      <c r="C24" s="17" t="s">
        <v>17</v>
      </c>
      <c r="D24" s="17" t="s">
        <v>180</v>
      </c>
      <c r="E24" s="16">
        <v>33300000</v>
      </c>
      <c r="F24" s="18">
        <v>44537</v>
      </c>
    </row>
    <row r="25" spans="1:6">
      <c r="A25" s="3" t="s">
        <v>32</v>
      </c>
      <c r="B25" s="17" t="s">
        <v>16</v>
      </c>
      <c r="C25" s="17" t="s">
        <v>12</v>
      </c>
      <c r="D25" s="17" t="s">
        <v>181</v>
      </c>
      <c r="E25" s="16">
        <v>31000000</v>
      </c>
      <c r="F25" s="18">
        <v>44892</v>
      </c>
    </row>
    <row r="26" spans="1:6">
      <c r="A26" s="3" t="s">
        <v>33</v>
      </c>
      <c r="B26" s="17" t="s">
        <v>27</v>
      </c>
      <c r="C26" s="17" t="s">
        <v>14</v>
      </c>
      <c r="D26" s="17" t="s">
        <v>182</v>
      </c>
      <c r="E26" s="16">
        <v>35100000</v>
      </c>
      <c r="F26" s="18">
        <v>45635</v>
      </c>
    </row>
    <row r="27" spans="1:6">
      <c r="A27" s="3" t="s">
        <v>34</v>
      </c>
      <c r="B27" s="17" t="s">
        <v>16</v>
      </c>
      <c r="C27" s="17" t="s">
        <v>9</v>
      </c>
      <c r="D27" s="17" t="s">
        <v>183</v>
      </c>
      <c r="E27" s="16">
        <v>37600000</v>
      </c>
      <c r="F27" s="18">
        <v>44528</v>
      </c>
    </row>
    <row r="28" spans="1:6">
      <c r="A28" s="3" t="s">
        <v>35</v>
      </c>
      <c r="B28" s="17" t="s">
        <v>27</v>
      </c>
      <c r="C28" s="17" t="s">
        <v>12</v>
      </c>
      <c r="D28" s="17" t="s">
        <v>184</v>
      </c>
      <c r="E28" s="16">
        <v>28600000</v>
      </c>
      <c r="F28" s="18">
        <v>43785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3BF83-3837-45E8-B66D-8FB227AF07F4}">
  <sheetPr codeName="Sheet4"/>
  <dimension ref="A1:G34"/>
  <sheetViews>
    <sheetView workbookViewId="0"/>
  </sheetViews>
  <sheetFormatPr defaultRowHeight="17"/>
  <cols>
    <col min="1" max="1" width="18.08203125" customWidth="1"/>
    <col min="3" max="3" width="10" customWidth="1"/>
    <col min="4" max="4" width="13.5" customWidth="1"/>
  </cols>
  <sheetData>
    <row r="1" spans="1:7">
      <c r="A1" s="22" t="s">
        <v>36</v>
      </c>
      <c r="B1" s="22"/>
      <c r="C1" s="23"/>
      <c r="D1" s="23"/>
      <c r="E1" s="23"/>
      <c r="F1" s="23"/>
      <c r="G1" s="23"/>
    </row>
    <row r="2" spans="1:7" ht="34">
      <c r="A2" s="5" t="s">
        <v>197</v>
      </c>
      <c r="B2" s="24">
        <v>1</v>
      </c>
      <c r="C2" s="24">
        <v>2</v>
      </c>
      <c r="D2" s="24">
        <v>3</v>
      </c>
      <c r="F2" s="23"/>
      <c r="G2" s="23"/>
    </row>
    <row r="3" spans="1:7">
      <c r="A3" s="10" t="s">
        <v>37</v>
      </c>
      <c r="B3" s="6"/>
      <c r="C3" s="6"/>
      <c r="D3" s="6"/>
      <c r="F3" s="23"/>
      <c r="G3" s="23"/>
    </row>
    <row r="4" spans="1:7">
      <c r="A4" s="10" t="s">
        <v>38</v>
      </c>
      <c r="B4" s="6"/>
      <c r="C4" s="6"/>
      <c r="D4" s="6"/>
      <c r="F4" s="23"/>
      <c r="G4" s="23"/>
    </row>
    <row r="5" spans="1:7">
      <c r="A5" s="10" t="s">
        <v>39</v>
      </c>
      <c r="B5" s="6"/>
      <c r="C5" s="6"/>
      <c r="D5" s="6"/>
      <c r="F5" s="23"/>
      <c r="G5" s="23"/>
    </row>
    <row r="6" spans="1:7">
      <c r="A6" s="23"/>
      <c r="B6" s="23"/>
      <c r="C6" s="23"/>
      <c r="D6" s="23"/>
      <c r="E6" s="23"/>
      <c r="F6" s="23"/>
      <c r="G6" s="23"/>
    </row>
    <row r="7" spans="1:7">
      <c r="A7" s="23"/>
      <c r="B7" s="23"/>
      <c r="C7" s="23"/>
      <c r="D7" s="23"/>
      <c r="E7" s="23"/>
      <c r="F7" s="23"/>
      <c r="G7" s="23"/>
    </row>
    <row r="8" spans="1:7">
      <c r="A8" s="22" t="s">
        <v>40</v>
      </c>
      <c r="B8" s="22"/>
      <c r="C8" s="23"/>
      <c r="D8" s="23"/>
      <c r="E8" s="23"/>
      <c r="F8" s="23"/>
      <c r="G8" s="23"/>
    </row>
    <row r="9" spans="1:7">
      <c r="A9" s="7" t="s">
        <v>41</v>
      </c>
      <c r="B9" s="7" t="s">
        <v>42</v>
      </c>
      <c r="C9" s="7" t="s">
        <v>43</v>
      </c>
      <c r="D9" s="7" t="s">
        <v>44</v>
      </c>
      <c r="E9" s="7" t="s">
        <v>45</v>
      </c>
      <c r="F9" s="23"/>
      <c r="G9" s="23"/>
    </row>
    <row r="10" spans="1:7">
      <c r="A10" s="8" t="s">
        <v>46</v>
      </c>
      <c r="B10" s="8" t="s">
        <v>47</v>
      </c>
      <c r="C10" s="8" t="s">
        <v>198</v>
      </c>
      <c r="D10" s="9">
        <v>43225</v>
      </c>
      <c r="E10" s="8">
        <v>1350</v>
      </c>
      <c r="F10" s="23"/>
      <c r="G10" s="23"/>
    </row>
    <row r="11" spans="1:7">
      <c r="A11" s="8" t="s">
        <v>48</v>
      </c>
      <c r="B11" s="8" t="s">
        <v>49</v>
      </c>
      <c r="C11" s="8" t="s">
        <v>199</v>
      </c>
      <c r="D11" s="9">
        <v>44145</v>
      </c>
      <c r="E11" s="8">
        <v>2400</v>
      </c>
      <c r="F11" s="23"/>
      <c r="G11" s="23"/>
    </row>
    <row r="12" spans="1:7">
      <c r="A12" s="8" t="s">
        <v>50</v>
      </c>
      <c r="B12" s="8" t="s">
        <v>51</v>
      </c>
      <c r="C12" s="8" t="s">
        <v>198</v>
      </c>
      <c r="D12" s="9">
        <v>39762</v>
      </c>
      <c r="E12" s="8">
        <v>1250</v>
      </c>
      <c r="F12" s="23"/>
      <c r="G12" s="23"/>
    </row>
    <row r="13" spans="1:7">
      <c r="A13" s="8" t="s">
        <v>52</v>
      </c>
      <c r="B13" s="8" t="s">
        <v>53</v>
      </c>
      <c r="C13" s="8" t="s">
        <v>200</v>
      </c>
      <c r="D13" s="9">
        <v>43266</v>
      </c>
      <c r="E13" s="8">
        <v>2200</v>
      </c>
      <c r="F13" s="23"/>
      <c r="G13" s="23"/>
    </row>
    <row r="14" spans="1:7">
      <c r="A14" s="8" t="s">
        <v>54</v>
      </c>
      <c r="B14" s="8" t="s">
        <v>55</v>
      </c>
      <c r="C14" s="8" t="s">
        <v>198</v>
      </c>
      <c r="D14" s="9">
        <v>40945</v>
      </c>
      <c r="E14" s="8">
        <v>3105</v>
      </c>
      <c r="F14" s="23"/>
      <c r="G14" s="25"/>
    </row>
    <row r="15" spans="1:7">
      <c r="A15" s="8" t="s">
        <v>56</v>
      </c>
      <c r="B15" s="8" t="s">
        <v>57</v>
      </c>
      <c r="C15" s="8" t="s">
        <v>198</v>
      </c>
      <c r="D15" s="9">
        <v>39860</v>
      </c>
      <c r="E15" s="8">
        <v>1500</v>
      </c>
      <c r="F15" s="26"/>
      <c r="G15" s="27"/>
    </row>
    <row r="16" spans="1:7">
      <c r="A16" s="8" t="s">
        <v>58</v>
      </c>
      <c r="B16" s="8" t="s">
        <v>59</v>
      </c>
      <c r="C16" s="8" t="s">
        <v>199</v>
      </c>
      <c r="D16" s="9">
        <v>44665</v>
      </c>
      <c r="E16" s="8">
        <v>3150</v>
      </c>
      <c r="F16" s="26"/>
      <c r="G16" s="27"/>
    </row>
    <row r="17" spans="1:7">
      <c r="A17" s="8" t="s">
        <v>60</v>
      </c>
      <c r="B17" s="8" t="s">
        <v>61</v>
      </c>
      <c r="C17" s="8" t="s">
        <v>200</v>
      </c>
      <c r="D17" s="9">
        <v>43585</v>
      </c>
      <c r="E17" s="8">
        <v>1240</v>
      </c>
      <c r="F17" s="26"/>
      <c r="G17" s="27"/>
    </row>
    <row r="18" spans="1:7">
      <c r="A18" s="8" t="s">
        <v>62</v>
      </c>
      <c r="B18" s="8" t="s">
        <v>63</v>
      </c>
      <c r="C18" s="8" t="s">
        <v>198</v>
      </c>
      <c r="D18" s="9">
        <v>43810</v>
      </c>
      <c r="E18" s="8">
        <v>3420</v>
      </c>
      <c r="F18" s="26"/>
      <c r="G18" s="27"/>
    </row>
    <row r="19" spans="1:7">
      <c r="A19" s="8" t="s">
        <v>64</v>
      </c>
      <c r="B19" s="8" t="s">
        <v>65</v>
      </c>
      <c r="C19" s="8" t="s">
        <v>198</v>
      </c>
      <c r="D19" s="9">
        <v>44560</v>
      </c>
      <c r="E19" s="8">
        <v>2130</v>
      </c>
      <c r="F19" s="26"/>
      <c r="G19" s="27"/>
    </row>
    <row r="20" spans="1:7">
      <c r="A20" s="8" t="s">
        <v>66</v>
      </c>
      <c r="B20" s="8" t="s">
        <v>67</v>
      </c>
      <c r="C20" s="8" t="s">
        <v>200</v>
      </c>
      <c r="D20" s="9">
        <v>39872</v>
      </c>
      <c r="E20" s="8">
        <v>1260</v>
      </c>
      <c r="F20" s="26"/>
      <c r="G20" s="27"/>
    </row>
    <row r="21" spans="1:7">
      <c r="A21" s="8" t="s">
        <v>68</v>
      </c>
      <c r="B21" s="8" t="s">
        <v>69</v>
      </c>
      <c r="C21" s="8" t="s">
        <v>200</v>
      </c>
      <c r="D21" s="9">
        <v>39814</v>
      </c>
      <c r="E21" s="8">
        <v>3420</v>
      </c>
      <c r="F21" s="26"/>
      <c r="G21" s="27"/>
    </row>
    <row r="22" spans="1:7">
      <c r="A22" s="8" t="s">
        <v>70</v>
      </c>
      <c r="B22" s="8" t="s">
        <v>71</v>
      </c>
      <c r="C22" s="8" t="s">
        <v>198</v>
      </c>
      <c r="D22" s="9">
        <v>40749</v>
      </c>
      <c r="E22" s="8">
        <v>2350</v>
      </c>
      <c r="F22" s="26"/>
      <c r="G22" s="27"/>
    </row>
    <row r="23" spans="1:7">
      <c r="A23" s="8" t="s">
        <v>72</v>
      </c>
      <c r="B23" s="8" t="s">
        <v>73</v>
      </c>
      <c r="C23" s="8" t="s">
        <v>198</v>
      </c>
      <c r="D23" s="9">
        <v>39255</v>
      </c>
      <c r="E23" s="8">
        <v>4530</v>
      </c>
      <c r="F23" s="26"/>
      <c r="G23" s="27"/>
    </row>
    <row r="24" spans="1:7">
      <c r="A24" s="8" t="s">
        <v>74</v>
      </c>
      <c r="B24" s="8" t="s">
        <v>75</v>
      </c>
      <c r="C24" s="8" t="s">
        <v>200</v>
      </c>
      <c r="D24" s="9">
        <v>39615</v>
      </c>
      <c r="E24" s="8">
        <v>1550</v>
      </c>
      <c r="F24" s="26"/>
      <c r="G24" s="27"/>
    </row>
    <row r="25" spans="1:7">
      <c r="A25" s="8" t="s">
        <v>76</v>
      </c>
      <c r="B25" s="8" t="s">
        <v>77</v>
      </c>
      <c r="C25" s="8" t="s">
        <v>199</v>
      </c>
      <c r="D25" s="9">
        <v>39851</v>
      </c>
      <c r="E25" s="8">
        <v>3280</v>
      </c>
      <c r="F25" s="26"/>
      <c r="G25" s="27"/>
    </row>
    <row r="26" spans="1:7">
      <c r="A26" s="8" t="s">
        <v>155</v>
      </c>
      <c r="B26" s="8" t="s">
        <v>63</v>
      </c>
      <c r="C26" s="8" t="s">
        <v>198</v>
      </c>
      <c r="D26" s="9">
        <v>39854</v>
      </c>
      <c r="E26" s="8">
        <v>4130</v>
      </c>
      <c r="F26" s="26"/>
      <c r="G26" s="27"/>
    </row>
    <row r="27" spans="1:7">
      <c r="A27" s="8" t="s">
        <v>78</v>
      </c>
      <c r="B27" s="8" t="s">
        <v>79</v>
      </c>
      <c r="C27" s="8" t="s">
        <v>199</v>
      </c>
      <c r="D27" s="9">
        <v>41358</v>
      </c>
      <c r="E27" s="8">
        <v>1210</v>
      </c>
      <c r="F27" s="26"/>
      <c r="G27" s="27"/>
    </row>
    <row r="28" spans="1:7">
      <c r="A28" s="8" t="s">
        <v>80</v>
      </c>
      <c r="B28" s="8" t="s">
        <v>81</v>
      </c>
      <c r="C28" s="8" t="s">
        <v>198</v>
      </c>
      <c r="D28" s="9">
        <v>41695</v>
      </c>
      <c r="E28" s="8">
        <v>2110</v>
      </c>
      <c r="F28" s="26"/>
      <c r="G28" s="27"/>
    </row>
    <row r="29" spans="1:7">
      <c r="A29" s="8" t="s">
        <v>82</v>
      </c>
      <c r="B29" s="8" t="s">
        <v>83</v>
      </c>
      <c r="C29" s="8" t="s">
        <v>198</v>
      </c>
      <c r="D29" s="9">
        <v>42816</v>
      </c>
      <c r="E29" s="8">
        <v>3230</v>
      </c>
      <c r="F29" s="26"/>
      <c r="G29" s="27"/>
    </row>
    <row r="30" spans="1:7">
      <c r="A30" s="8" t="s">
        <v>84</v>
      </c>
      <c r="B30" s="8" t="s">
        <v>85</v>
      </c>
      <c r="C30" s="8" t="s">
        <v>199</v>
      </c>
      <c r="D30" s="9">
        <v>44550</v>
      </c>
      <c r="E30" s="8">
        <v>1330</v>
      </c>
      <c r="F30" s="26"/>
      <c r="G30" s="27"/>
    </row>
    <row r="31" spans="1:7">
      <c r="A31" s="23"/>
      <c r="B31" s="23"/>
      <c r="C31" s="23"/>
      <c r="D31" s="23"/>
      <c r="E31" s="23"/>
      <c r="F31" s="26"/>
      <c r="G31" s="27"/>
    </row>
    <row r="32" spans="1:7">
      <c r="A32" s="22" t="s">
        <v>201</v>
      </c>
    </row>
    <row r="33" spans="1:2">
      <c r="A33" s="36" t="s">
        <v>202</v>
      </c>
      <c r="B33" s="36"/>
    </row>
    <row r="34" spans="1:2">
      <c r="A34" s="38"/>
      <c r="B34" s="37"/>
    </row>
  </sheetData>
  <mergeCells count="1">
    <mergeCell ref="A33:B33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4EA92-EDCB-4A78-BA6E-E42095AFB3BE}">
  <sheetPr codeName="Sheet5"/>
  <dimension ref="A1:Q19"/>
  <sheetViews>
    <sheetView workbookViewId="0"/>
  </sheetViews>
  <sheetFormatPr defaultRowHeight="17"/>
  <cols>
    <col min="1" max="1" width="14.1640625" customWidth="1"/>
    <col min="2" max="2" width="11.6640625" customWidth="1"/>
    <col min="3" max="3" width="11.6640625" bestFit="1" customWidth="1"/>
    <col min="5" max="5" width="10.5" bestFit="1" customWidth="1"/>
    <col min="10" max="10" width="9.33203125" customWidth="1"/>
  </cols>
  <sheetData>
    <row r="1" spans="1:17">
      <c r="A1" s="28"/>
      <c r="B1" s="28"/>
      <c r="C1" s="28"/>
      <c r="D1" s="28"/>
      <c r="E1" s="28"/>
      <c r="F1" s="23"/>
      <c r="G1" s="23"/>
      <c r="H1" s="23"/>
      <c r="I1" s="23"/>
      <c r="J1" s="23"/>
      <c r="K1" s="23"/>
      <c r="L1" s="23"/>
      <c r="M1" s="23"/>
      <c r="N1" s="23"/>
      <c r="O1" s="28"/>
    </row>
    <row r="2" spans="1:17">
      <c r="A2" s="22" t="s">
        <v>203</v>
      </c>
      <c r="B2" s="22"/>
      <c r="D2" s="22"/>
      <c r="E2" s="22"/>
      <c r="F2" s="28"/>
      <c r="G2" s="28"/>
      <c r="H2" s="22" t="s">
        <v>204</v>
      </c>
      <c r="I2" s="22"/>
      <c r="J2" s="28"/>
      <c r="K2" s="28"/>
      <c r="L2" s="28"/>
      <c r="M2" s="28"/>
      <c r="N2" s="28"/>
      <c r="O2" s="28"/>
      <c r="P2" s="28"/>
      <c r="Q2" s="28"/>
    </row>
    <row r="3" spans="1:17">
      <c r="A3" s="7" t="s">
        <v>205</v>
      </c>
      <c r="B3" s="7" t="s">
        <v>206</v>
      </c>
      <c r="C3" s="7" t="s">
        <v>207</v>
      </c>
      <c r="D3" s="7" t="s">
        <v>208</v>
      </c>
      <c r="E3" s="7" t="s">
        <v>209</v>
      </c>
      <c r="F3" s="29" t="s">
        <v>210</v>
      </c>
      <c r="G3" s="28"/>
      <c r="H3" s="7" t="s">
        <v>86</v>
      </c>
      <c r="I3" s="7" t="s">
        <v>87</v>
      </c>
      <c r="J3" s="7" t="s">
        <v>88</v>
      </c>
      <c r="K3" s="7" t="s">
        <v>89</v>
      </c>
      <c r="L3" s="29" t="s">
        <v>90</v>
      </c>
      <c r="M3" s="28"/>
      <c r="N3" s="28"/>
      <c r="O3" s="28"/>
      <c r="P3" s="28"/>
      <c r="Q3" s="28"/>
    </row>
    <row r="4" spans="1:17">
      <c r="A4" s="8" t="s">
        <v>211</v>
      </c>
      <c r="B4" s="8" t="s">
        <v>212</v>
      </c>
      <c r="C4" s="30">
        <v>14000000</v>
      </c>
      <c r="D4" s="31">
        <v>60</v>
      </c>
      <c r="E4" s="32">
        <v>7.0000000000000007E-2</v>
      </c>
      <c r="F4" s="6"/>
      <c r="G4" s="28"/>
      <c r="H4" s="8" t="s">
        <v>91</v>
      </c>
      <c r="I4" s="8">
        <v>80</v>
      </c>
      <c r="J4" s="8">
        <v>80</v>
      </c>
      <c r="K4" s="8">
        <v>85</v>
      </c>
      <c r="L4" s="8"/>
      <c r="M4" s="28"/>
      <c r="N4" s="28"/>
      <c r="O4" s="28"/>
      <c r="P4" s="28"/>
      <c r="Q4" s="28"/>
    </row>
    <row r="5" spans="1:17">
      <c r="A5" s="8" t="s">
        <v>213</v>
      </c>
      <c r="B5" s="8" t="s">
        <v>214</v>
      </c>
      <c r="C5" s="30">
        <v>50000000</v>
      </c>
      <c r="D5" s="31">
        <v>50</v>
      </c>
      <c r="E5" s="32">
        <v>5.3999999999999999E-2</v>
      </c>
      <c r="F5" s="6"/>
      <c r="G5" s="28"/>
      <c r="H5" s="8" t="s">
        <v>92</v>
      </c>
      <c r="I5" s="8">
        <v>75</v>
      </c>
      <c r="J5" s="8">
        <v>90</v>
      </c>
      <c r="K5" s="8">
        <v>78</v>
      </c>
      <c r="L5" s="8"/>
      <c r="M5" s="28"/>
      <c r="N5" s="28"/>
      <c r="O5" s="28"/>
      <c r="P5" s="28"/>
      <c r="Q5" s="28"/>
    </row>
    <row r="6" spans="1:17">
      <c r="A6" s="8" t="s">
        <v>215</v>
      </c>
      <c r="B6" s="8" t="s">
        <v>216</v>
      </c>
      <c r="C6" s="30">
        <v>7500000</v>
      </c>
      <c r="D6" s="31">
        <v>36</v>
      </c>
      <c r="E6" s="32">
        <v>3.5000000000000003E-2</v>
      </c>
      <c r="F6" s="6"/>
      <c r="G6" s="28"/>
      <c r="H6" s="8" t="s">
        <v>93</v>
      </c>
      <c r="I6" s="8">
        <v>90</v>
      </c>
      <c r="J6" s="8">
        <v>85</v>
      </c>
      <c r="K6" s="8">
        <v>85</v>
      </c>
      <c r="L6" s="8"/>
      <c r="M6" s="28"/>
      <c r="N6" s="28"/>
      <c r="O6" s="28"/>
      <c r="P6" s="28"/>
      <c r="Q6" s="28"/>
    </row>
    <row r="7" spans="1:17">
      <c r="A7" s="8" t="s">
        <v>217</v>
      </c>
      <c r="B7" s="8" t="s">
        <v>216</v>
      </c>
      <c r="C7" s="30">
        <v>10000000</v>
      </c>
      <c r="D7" s="31">
        <v>60</v>
      </c>
      <c r="E7" s="32">
        <v>4.8000000000000001E-2</v>
      </c>
      <c r="F7" s="6"/>
      <c r="G7" s="28"/>
      <c r="H7" s="8" t="s">
        <v>94</v>
      </c>
      <c r="I7" s="8">
        <v>80</v>
      </c>
      <c r="J7" s="8">
        <v>75</v>
      </c>
      <c r="K7" s="8">
        <v>90</v>
      </c>
      <c r="L7" s="8"/>
      <c r="M7" s="28"/>
      <c r="N7" s="28"/>
      <c r="O7" s="28"/>
      <c r="P7" s="28"/>
      <c r="Q7" s="28"/>
    </row>
    <row r="8" spans="1:17">
      <c r="A8" s="8" t="s">
        <v>218</v>
      </c>
      <c r="B8" s="8" t="s">
        <v>212</v>
      </c>
      <c r="C8" s="30">
        <v>2500000</v>
      </c>
      <c r="D8" s="31">
        <v>12</v>
      </c>
      <c r="E8" s="32">
        <v>6.4000000000000001E-2</v>
      </c>
      <c r="F8" s="6"/>
      <c r="G8" s="28"/>
      <c r="H8" s="8" t="s">
        <v>95</v>
      </c>
      <c r="I8" s="8">
        <v>65</v>
      </c>
      <c r="J8" s="8">
        <v>80</v>
      </c>
      <c r="K8" s="8">
        <v>95</v>
      </c>
      <c r="L8" s="8"/>
      <c r="M8" s="28"/>
      <c r="N8" s="28"/>
      <c r="O8" s="28"/>
      <c r="P8" s="28"/>
      <c r="Q8" s="28"/>
    </row>
    <row r="9" spans="1:17">
      <c r="A9" s="8" t="s">
        <v>219</v>
      </c>
      <c r="B9" s="8" t="s">
        <v>214</v>
      </c>
      <c r="C9" s="30">
        <v>25000000</v>
      </c>
      <c r="D9" s="31">
        <v>50</v>
      </c>
      <c r="E9" s="32">
        <v>7.4999999999999997E-2</v>
      </c>
      <c r="F9" s="6"/>
      <c r="G9" s="28"/>
      <c r="H9" s="8" t="s">
        <v>96</v>
      </c>
      <c r="I9" s="8">
        <v>75</v>
      </c>
      <c r="J9" s="8">
        <v>85</v>
      </c>
      <c r="K9" s="8">
        <v>95</v>
      </c>
      <c r="L9" s="8"/>
      <c r="M9" s="28"/>
      <c r="N9" s="28"/>
      <c r="O9" s="28"/>
      <c r="P9" s="28"/>
      <c r="Q9" s="28"/>
    </row>
    <row r="10" spans="1:17">
      <c r="A10" s="8" t="s">
        <v>220</v>
      </c>
      <c r="B10" s="8" t="s">
        <v>212</v>
      </c>
      <c r="C10" s="30">
        <v>30000000</v>
      </c>
      <c r="D10" s="31">
        <v>34</v>
      </c>
      <c r="E10" s="32">
        <v>0.05</v>
      </c>
      <c r="F10" s="6"/>
      <c r="G10" s="28"/>
      <c r="H10" s="8" t="s">
        <v>97</v>
      </c>
      <c r="I10" s="8">
        <v>90</v>
      </c>
      <c r="J10" s="8">
        <v>85</v>
      </c>
      <c r="K10" s="8">
        <v>90</v>
      </c>
      <c r="L10" s="8"/>
      <c r="M10" s="28"/>
      <c r="N10" s="28"/>
      <c r="O10" s="28"/>
      <c r="P10" s="28"/>
      <c r="Q10" s="28"/>
    </row>
    <row r="11" spans="1:17">
      <c r="A11" s="8" t="s">
        <v>221</v>
      </c>
      <c r="B11" s="8" t="s">
        <v>216</v>
      </c>
      <c r="C11" s="30">
        <v>4000000</v>
      </c>
      <c r="D11" s="31">
        <v>28</v>
      </c>
      <c r="E11" s="32">
        <v>4.4999999999999998E-2</v>
      </c>
      <c r="F11" s="6"/>
      <c r="G11" s="28"/>
      <c r="H11" s="8" t="s">
        <v>98</v>
      </c>
      <c r="I11" s="8">
        <v>80</v>
      </c>
      <c r="J11" s="8">
        <v>75</v>
      </c>
      <c r="K11" s="8">
        <v>85</v>
      </c>
      <c r="L11" s="8"/>
      <c r="M11" s="28"/>
      <c r="N11" s="28"/>
      <c r="O11" s="28"/>
      <c r="P11" s="28"/>
      <c r="Q11" s="28"/>
    </row>
    <row r="12" spans="1:17">
      <c r="A12" s="21" t="s">
        <v>222</v>
      </c>
      <c r="B12" s="21" t="s">
        <v>214</v>
      </c>
      <c r="C12" s="30">
        <v>65000000</v>
      </c>
      <c r="D12" s="31">
        <v>56</v>
      </c>
      <c r="E12" s="32">
        <v>3.9E-2</v>
      </c>
      <c r="F12" s="6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</row>
    <row r="14" spans="1:17">
      <c r="A14" s="33" t="s">
        <v>223</v>
      </c>
      <c r="D14" s="33" t="s">
        <v>224</v>
      </c>
    </row>
    <row r="15" spans="1:17">
      <c r="A15" s="21" t="s">
        <v>225</v>
      </c>
      <c r="B15" s="21" t="s">
        <v>226</v>
      </c>
      <c r="D15" s="34" t="s">
        <v>206</v>
      </c>
      <c r="E15" s="29" t="s">
        <v>227</v>
      </c>
    </row>
    <row r="16" spans="1:17">
      <c r="A16" s="35">
        <v>0</v>
      </c>
      <c r="B16" s="21" t="s">
        <v>228</v>
      </c>
      <c r="D16" s="21" t="s">
        <v>216</v>
      </c>
      <c r="E16" s="21"/>
    </row>
    <row r="17" spans="1:5">
      <c r="A17" s="35">
        <v>200000</v>
      </c>
      <c r="B17" s="21" t="s">
        <v>229</v>
      </c>
      <c r="D17" s="21" t="s">
        <v>212</v>
      </c>
      <c r="E17" s="21"/>
    </row>
    <row r="18" spans="1:5">
      <c r="A18" s="35">
        <v>500000</v>
      </c>
      <c r="B18" s="21" t="s">
        <v>230</v>
      </c>
      <c r="D18" s="21" t="s">
        <v>214</v>
      </c>
      <c r="E18" s="21"/>
    </row>
    <row r="19" spans="1:5">
      <c r="A19" s="35">
        <v>1000000</v>
      </c>
      <c r="B19" s="21" t="s">
        <v>231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11"/>
  <sheetViews>
    <sheetView workbookViewId="0"/>
  </sheetViews>
  <sheetFormatPr defaultRowHeight="17"/>
  <sheetData>
    <row r="1" spans="1:4">
      <c r="A1" t="s">
        <v>188</v>
      </c>
      <c r="B1" t="s">
        <v>196</v>
      </c>
    </row>
    <row r="2" spans="1:4">
      <c r="A2" s="21" t="s">
        <v>189</v>
      </c>
      <c r="B2" s="21" t="s">
        <v>190</v>
      </c>
      <c r="C2" s="21" t="s">
        <v>192</v>
      </c>
      <c r="D2" s="21" t="s">
        <v>191</v>
      </c>
    </row>
    <row r="3" spans="1:4">
      <c r="A3" s="20">
        <v>0.3</v>
      </c>
      <c r="B3" s="20">
        <v>0.4</v>
      </c>
      <c r="C3" s="20">
        <v>0.1</v>
      </c>
      <c r="D3" s="20">
        <v>0.2</v>
      </c>
    </row>
    <row r="6" spans="1:4">
      <c r="A6" t="s">
        <v>193</v>
      </c>
      <c r="B6" t="s">
        <v>195</v>
      </c>
    </row>
    <row r="7" spans="1:4">
      <c r="A7" s="19" t="s">
        <v>189</v>
      </c>
      <c r="B7" s="19">
        <v>80</v>
      </c>
    </row>
    <row r="8" spans="1:4">
      <c r="A8" s="19" t="s">
        <v>190</v>
      </c>
      <c r="B8" s="19">
        <v>90</v>
      </c>
    </row>
    <row r="9" spans="1:4">
      <c r="A9" s="19" t="s">
        <v>192</v>
      </c>
      <c r="B9" s="19">
        <v>90</v>
      </c>
    </row>
    <row r="10" spans="1:4">
      <c r="A10" s="19" t="s">
        <v>191</v>
      </c>
      <c r="B10" s="19">
        <v>85</v>
      </c>
    </row>
    <row r="11" spans="1:4">
      <c r="A11" s="19" t="s">
        <v>194</v>
      </c>
      <c r="B11" s="19">
        <f>B7*A3+B8*B3+B9*C3+B10*D3</f>
        <v>86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7"/>
  <sheetViews>
    <sheetView workbookViewId="0"/>
  </sheetViews>
  <sheetFormatPr defaultRowHeight="17"/>
  <cols>
    <col min="2" max="2" width="15.33203125" bestFit="1" customWidth="1"/>
    <col min="3" max="6" width="12.25" customWidth="1"/>
  </cols>
  <sheetData>
    <row r="1" spans="1:8">
      <c r="A1" s="1"/>
      <c r="B1" s="1"/>
      <c r="C1" s="1"/>
      <c r="D1" s="1"/>
      <c r="E1" s="1"/>
      <c r="F1" s="1"/>
      <c r="G1" s="1"/>
      <c r="H1" s="1"/>
    </row>
    <row r="2" spans="1:8">
      <c r="A2" s="1"/>
      <c r="B2" s="4" t="s">
        <v>111</v>
      </c>
      <c r="C2" s="4"/>
      <c r="D2" s="4"/>
      <c r="E2" s="4"/>
      <c r="F2" s="4" t="s">
        <v>112</v>
      </c>
      <c r="G2" s="4"/>
      <c r="H2" s="1"/>
    </row>
    <row r="3" spans="1:8">
      <c r="A3" s="1"/>
      <c r="B3" s="8" t="s">
        <v>113</v>
      </c>
      <c r="C3" s="8" t="s">
        <v>154</v>
      </c>
      <c r="D3" s="8" t="s">
        <v>185</v>
      </c>
      <c r="E3" s="8" t="s">
        <v>186</v>
      </c>
      <c r="F3" s="8" t="s">
        <v>187</v>
      </c>
      <c r="G3" s="1"/>
      <c r="H3" s="1"/>
    </row>
    <row r="4" spans="1:8">
      <c r="A4" s="1"/>
      <c r="B4" s="11" t="s">
        <v>114</v>
      </c>
      <c r="C4" s="11">
        <v>31580</v>
      </c>
      <c r="D4" s="11">
        <v>33010</v>
      </c>
      <c r="E4" s="11">
        <v>34120</v>
      </c>
      <c r="F4" s="11">
        <v>34820</v>
      </c>
      <c r="G4" s="1"/>
      <c r="H4" s="1"/>
    </row>
    <row r="5" spans="1:8">
      <c r="A5" s="1"/>
      <c r="B5" s="11" t="s">
        <v>115</v>
      </c>
      <c r="C5" s="11">
        <v>70.2</v>
      </c>
      <c r="D5" s="11">
        <v>72.8</v>
      </c>
      <c r="E5" s="11">
        <v>74.8</v>
      </c>
      <c r="F5" s="11">
        <v>75.3</v>
      </c>
      <c r="G5" s="1"/>
      <c r="H5" s="1"/>
    </row>
    <row r="6" spans="1:8">
      <c r="A6" s="1"/>
      <c r="B6" s="11" t="s">
        <v>116</v>
      </c>
      <c r="C6" s="11">
        <v>11921</v>
      </c>
      <c r="D6" s="11">
        <v>12191</v>
      </c>
      <c r="E6" s="11">
        <v>14043</v>
      </c>
      <c r="F6" s="11">
        <v>14710</v>
      </c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4:E22"/>
  <sheetViews>
    <sheetView workbookViewId="0"/>
  </sheetViews>
  <sheetFormatPr defaultRowHeight="17"/>
  <cols>
    <col min="1" max="1" width="10.75" bestFit="1" customWidth="1"/>
    <col min="5" max="5" width="10.58203125" bestFit="1" customWidth="1"/>
  </cols>
  <sheetData>
    <row r="4" spans="1:5">
      <c r="A4" s="13" t="s">
        <v>99</v>
      </c>
      <c r="B4" s="13" t="s">
        <v>100</v>
      </c>
      <c r="C4" s="13" t="s">
        <v>101</v>
      </c>
      <c r="D4" s="13" t="s">
        <v>102</v>
      </c>
      <c r="E4" s="14" t="s">
        <v>103</v>
      </c>
    </row>
    <row r="5" spans="1:5">
      <c r="A5" s="15">
        <v>45863</v>
      </c>
      <c r="B5" s="13" t="s">
        <v>104</v>
      </c>
      <c r="C5" s="13" t="s">
        <v>105</v>
      </c>
      <c r="D5" s="13">
        <v>55</v>
      </c>
      <c r="E5" s="14">
        <v>2902245</v>
      </c>
    </row>
    <row r="6" spans="1:5">
      <c r="A6" s="15">
        <v>45865</v>
      </c>
      <c r="B6" s="13" t="s">
        <v>106</v>
      </c>
      <c r="C6" s="13" t="s">
        <v>105</v>
      </c>
      <c r="D6" s="13">
        <v>61</v>
      </c>
      <c r="E6" s="14">
        <v>5995185</v>
      </c>
    </row>
    <row r="7" spans="1:5">
      <c r="A7" s="15">
        <v>45866</v>
      </c>
      <c r="B7" s="13" t="s">
        <v>107</v>
      </c>
      <c r="C7" s="13" t="s">
        <v>108</v>
      </c>
      <c r="D7" s="13">
        <v>54</v>
      </c>
      <c r="E7" s="14">
        <v>4651035</v>
      </c>
    </row>
    <row r="8" spans="1:5">
      <c r="A8" s="15">
        <v>45867</v>
      </c>
      <c r="B8" s="13" t="s">
        <v>104</v>
      </c>
      <c r="C8" s="13" t="s">
        <v>108</v>
      </c>
      <c r="D8" s="13">
        <v>52</v>
      </c>
      <c r="E8" s="14">
        <v>446220</v>
      </c>
    </row>
    <row r="9" spans="1:5">
      <c r="A9" s="15">
        <v>45867</v>
      </c>
      <c r="B9" s="13" t="s">
        <v>106</v>
      </c>
      <c r="C9" s="13" t="s">
        <v>105</v>
      </c>
      <c r="D9" s="13">
        <v>63</v>
      </c>
      <c r="E9" s="14">
        <v>2638125</v>
      </c>
    </row>
    <row r="10" spans="1:5">
      <c r="A10" s="15">
        <v>45870</v>
      </c>
      <c r="B10" s="13" t="s">
        <v>109</v>
      </c>
      <c r="C10" s="13" t="s">
        <v>105</v>
      </c>
      <c r="D10" s="13">
        <v>62</v>
      </c>
      <c r="E10" s="14">
        <v>5133780</v>
      </c>
    </row>
    <row r="11" spans="1:5">
      <c r="A11" s="15">
        <v>45870</v>
      </c>
      <c r="B11" s="13" t="s">
        <v>106</v>
      </c>
      <c r="C11" s="13" t="s">
        <v>108</v>
      </c>
      <c r="D11" s="13">
        <v>46</v>
      </c>
      <c r="E11" s="14">
        <v>670665</v>
      </c>
    </row>
    <row r="12" spans="1:5">
      <c r="A12" s="15">
        <v>45870</v>
      </c>
      <c r="B12" s="13" t="s">
        <v>107</v>
      </c>
      <c r="C12" s="13" t="s">
        <v>110</v>
      </c>
      <c r="D12" s="13">
        <v>57</v>
      </c>
      <c r="E12" s="14">
        <v>3371160</v>
      </c>
    </row>
    <row r="13" spans="1:5">
      <c r="A13" s="15">
        <v>45873</v>
      </c>
      <c r="B13" s="13" t="s">
        <v>106</v>
      </c>
      <c r="C13" s="13" t="s">
        <v>108</v>
      </c>
      <c r="D13" s="13">
        <v>61</v>
      </c>
      <c r="E13" s="14">
        <v>750300</v>
      </c>
    </row>
    <row r="14" spans="1:5">
      <c r="A14" s="15">
        <v>45873</v>
      </c>
      <c r="B14" s="13" t="s">
        <v>107</v>
      </c>
      <c r="C14" s="13" t="s">
        <v>105</v>
      </c>
      <c r="D14" s="13">
        <v>55</v>
      </c>
      <c r="E14" s="14">
        <v>2990820</v>
      </c>
    </row>
    <row r="15" spans="1:5">
      <c r="A15" s="15">
        <v>45875</v>
      </c>
      <c r="B15" s="13" t="s">
        <v>104</v>
      </c>
      <c r="C15" s="13" t="s">
        <v>105</v>
      </c>
      <c r="D15" s="13">
        <v>53</v>
      </c>
      <c r="E15" s="14">
        <v>5912580</v>
      </c>
    </row>
    <row r="16" spans="1:5">
      <c r="A16" s="15">
        <v>45875</v>
      </c>
      <c r="B16" s="13" t="s">
        <v>104</v>
      </c>
      <c r="C16" s="13" t="s">
        <v>105</v>
      </c>
      <c r="D16" s="13">
        <v>49</v>
      </c>
      <c r="E16" s="14">
        <v>4324095</v>
      </c>
    </row>
    <row r="17" spans="1:5">
      <c r="A17" s="15">
        <v>45876</v>
      </c>
      <c r="B17" s="13" t="s">
        <v>106</v>
      </c>
      <c r="C17" s="13" t="s">
        <v>110</v>
      </c>
      <c r="D17" s="13">
        <v>57</v>
      </c>
      <c r="E17" s="14">
        <v>5459025</v>
      </c>
    </row>
    <row r="18" spans="1:5">
      <c r="A18" s="15">
        <v>45876</v>
      </c>
      <c r="B18" s="13" t="s">
        <v>107</v>
      </c>
      <c r="C18" s="13" t="s">
        <v>108</v>
      </c>
      <c r="D18" s="13">
        <v>52</v>
      </c>
      <c r="E18" s="14">
        <v>4834275</v>
      </c>
    </row>
    <row r="19" spans="1:5">
      <c r="A19" s="15">
        <v>45878</v>
      </c>
      <c r="B19" s="13" t="s">
        <v>107</v>
      </c>
      <c r="C19" s="13" t="s">
        <v>108</v>
      </c>
      <c r="D19" s="13">
        <v>63</v>
      </c>
      <c r="E19" s="14">
        <v>4950525</v>
      </c>
    </row>
    <row r="20" spans="1:5">
      <c r="A20" s="15">
        <v>45879</v>
      </c>
      <c r="B20" s="13" t="s">
        <v>104</v>
      </c>
      <c r="C20" s="13" t="s">
        <v>108</v>
      </c>
      <c r="D20" s="13">
        <v>55</v>
      </c>
      <c r="E20" s="14">
        <v>3789615</v>
      </c>
    </row>
    <row r="21" spans="1:5">
      <c r="A21" s="15">
        <v>45879</v>
      </c>
      <c r="B21" s="13" t="s">
        <v>107</v>
      </c>
      <c r="C21" s="13" t="s">
        <v>105</v>
      </c>
      <c r="D21" s="13">
        <v>56</v>
      </c>
      <c r="E21" s="14">
        <v>5514000</v>
      </c>
    </row>
    <row r="22" spans="1:5">
      <c r="A22" s="15">
        <v>45881</v>
      </c>
      <c r="B22" s="13" t="s">
        <v>109</v>
      </c>
      <c r="C22" s="13" t="s">
        <v>108</v>
      </c>
      <c r="D22" s="13">
        <v>56</v>
      </c>
      <c r="E22" s="14">
        <v>2911410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B3:L16"/>
  <sheetViews>
    <sheetView workbookViewId="0"/>
  </sheetViews>
  <sheetFormatPr defaultRowHeight="17"/>
  <cols>
    <col min="1" max="1" width="2.58203125" customWidth="1"/>
    <col min="2" max="6" width="13.83203125" customWidth="1"/>
    <col min="7" max="7" width="2.58203125" customWidth="1"/>
  </cols>
  <sheetData>
    <row r="3" spans="2:12">
      <c r="B3" s="2" t="s">
        <v>128</v>
      </c>
    </row>
    <row r="4" spans="2:12">
      <c r="H4" s="4" t="s">
        <v>129</v>
      </c>
      <c r="I4" s="4"/>
      <c r="J4" s="4"/>
      <c r="K4" s="4"/>
      <c r="L4" s="1"/>
    </row>
    <row r="5" spans="2:12">
      <c r="B5" s="8" t="s">
        <v>117</v>
      </c>
      <c r="C5" s="8" t="s">
        <v>118</v>
      </c>
      <c r="D5" s="8" t="s">
        <v>119</v>
      </c>
      <c r="E5" s="8" t="s">
        <v>120</v>
      </c>
      <c r="F5" s="8" t="s">
        <v>121</v>
      </c>
      <c r="H5" s="8" t="s">
        <v>130</v>
      </c>
      <c r="I5" s="8" t="s">
        <v>131</v>
      </c>
      <c r="J5" s="8" t="s">
        <v>132</v>
      </c>
      <c r="K5" s="8" t="s">
        <v>133</v>
      </c>
      <c r="L5" s="1"/>
    </row>
    <row r="6" spans="2:12">
      <c r="B6" s="8" t="s">
        <v>122</v>
      </c>
      <c r="C6" s="8" t="s">
        <v>123</v>
      </c>
      <c r="D6" s="8" t="s">
        <v>124</v>
      </c>
      <c r="E6" s="8">
        <v>3</v>
      </c>
      <c r="F6" s="6">
        <v>7500</v>
      </c>
      <c r="H6" s="8" t="s">
        <v>134</v>
      </c>
      <c r="I6" s="11" t="s">
        <v>135</v>
      </c>
      <c r="J6" s="11" t="s">
        <v>136</v>
      </c>
      <c r="K6" s="12">
        <v>3500</v>
      </c>
      <c r="L6" s="1"/>
    </row>
    <row r="7" spans="2:12">
      <c r="B7" s="8" t="s">
        <v>125</v>
      </c>
      <c r="C7" s="8" t="s">
        <v>126</v>
      </c>
      <c r="D7" s="8" t="s">
        <v>127</v>
      </c>
      <c r="E7" s="8">
        <v>1</v>
      </c>
      <c r="F7" s="6">
        <v>5500</v>
      </c>
      <c r="H7" s="8" t="s">
        <v>122</v>
      </c>
      <c r="I7" s="11" t="s">
        <v>137</v>
      </c>
      <c r="J7" s="11" t="s">
        <v>138</v>
      </c>
      <c r="K7" s="12">
        <v>2500</v>
      </c>
      <c r="L7" s="1"/>
    </row>
    <row r="8" spans="2:12">
      <c r="B8" s="8"/>
      <c r="C8" s="8"/>
      <c r="D8" s="8"/>
      <c r="E8" s="8"/>
      <c r="F8" s="6"/>
      <c r="H8" s="8" t="s">
        <v>139</v>
      </c>
      <c r="I8" s="11" t="s">
        <v>135</v>
      </c>
      <c r="J8" s="11" t="s">
        <v>140</v>
      </c>
      <c r="K8" s="12">
        <v>12000</v>
      </c>
      <c r="L8" s="1"/>
    </row>
    <row r="9" spans="2:12">
      <c r="B9" s="8"/>
      <c r="C9" s="8"/>
      <c r="D9" s="8"/>
      <c r="E9" s="8"/>
      <c r="F9" s="6"/>
      <c r="H9" s="8" t="s">
        <v>141</v>
      </c>
      <c r="I9" s="11" t="s">
        <v>137</v>
      </c>
      <c r="J9" s="11" t="s">
        <v>142</v>
      </c>
      <c r="K9" s="12">
        <v>2600</v>
      </c>
      <c r="L9" s="1"/>
    </row>
    <row r="10" spans="2:12">
      <c r="B10" s="8"/>
      <c r="C10" s="8"/>
      <c r="D10" s="8"/>
      <c r="E10" s="8"/>
      <c r="F10" s="6"/>
      <c r="H10" s="8" t="s">
        <v>143</v>
      </c>
      <c r="I10" s="11" t="s">
        <v>137</v>
      </c>
      <c r="J10" s="11" t="s">
        <v>144</v>
      </c>
      <c r="K10" s="12">
        <v>23500</v>
      </c>
      <c r="L10" s="1"/>
    </row>
    <row r="11" spans="2:12">
      <c r="B11" s="8"/>
      <c r="C11" s="8"/>
      <c r="D11" s="8"/>
      <c r="E11" s="8"/>
      <c r="F11" s="6"/>
      <c r="H11" s="8" t="s">
        <v>125</v>
      </c>
      <c r="I11" s="11" t="s">
        <v>145</v>
      </c>
      <c r="J11" s="11" t="s">
        <v>146</v>
      </c>
      <c r="K11" s="12">
        <v>5500</v>
      </c>
      <c r="L11" s="1"/>
    </row>
    <row r="12" spans="2:12">
      <c r="B12" s="8"/>
      <c r="C12" s="8"/>
      <c r="D12" s="8"/>
      <c r="E12" s="8"/>
      <c r="F12" s="6"/>
      <c r="H12" s="8" t="s">
        <v>147</v>
      </c>
      <c r="I12" s="11" t="s">
        <v>145</v>
      </c>
      <c r="J12" s="11" t="s">
        <v>148</v>
      </c>
      <c r="K12" s="12">
        <v>1200</v>
      </c>
      <c r="L12" s="1"/>
    </row>
    <row r="13" spans="2:12">
      <c r="B13" s="8"/>
      <c r="C13" s="8"/>
      <c r="D13" s="8"/>
      <c r="E13" s="8"/>
      <c r="F13" s="6"/>
      <c r="H13" s="8" t="s">
        <v>149</v>
      </c>
      <c r="I13" s="11" t="s">
        <v>145</v>
      </c>
      <c r="J13" s="11" t="s">
        <v>150</v>
      </c>
      <c r="K13" s="12">
        <v>4300</v>
      </c>
      <c r="L13" s="1"/>
    </row>
    <row r="14" spans="2:12">
      <c r="B14" s="8"/>
      <c r="C14" s="8"/>
      <c r="D14" s="8"/>
      <c r="E14" s="8"/>
      <c r="F14" s="6"/>
      <c r="H14" s="8" t="s">
        <v>151</v>
      </c>
      <c r="I14" s="11" t="s">
        <v>152</v>
      </c>
      <c r="J14" s="11" t="s">
        <v>153</v>
      </c>
      <c r="K14" s="12">
        <v>1500</v>
      </c>
      <c r="L14" s="1"/>
    </row>
    <row r="15" spans="2:12">
      <c r="B15" s="8"/>
      <c r="C15" s="8"/>
      <c r="D15" s="8"/>
      <c r="E15" s="8"/>
      <c r="F15" s="6"/>
      <c r="H15" s="1"/>
      <c r="I15" s="1"/>
      <c r="J15" s="1"/>
      <c r="K15" s="1"/>
      <c r="L15" s="1"/>
    </row>
    <row r="16" spans="2:12">
      <c r="B16" s="8"/>
      <c r="C16" s="8"/>
      <c r="D16" s="8"/>
      <c r="E16" s="8"/>
      <c r="F16" s="6"/>
      <c r="H16" s="1"/>
      <c r="I16" s="1"/>
      <c r="J16" s="1"/>
      <c r="K16" s="1"/>
      <c r="L16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매출입력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552450</xdr:colOff>
                <xdr:row>2</xdr:row>
                <xdr:rowOff>171450</xdr:rowOff>
              </to>
            </anchor>
          </controlPr>
        </control>
      </mc:Choice>
      <mc:Fallback>
        <control shapeId="8193" r:id="rId3" name="cmd매출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기본작업-1</vt:lpstr>
      <vt:lpstr>기본작업-2</vt:lpstr>
      <vt:lpstr>계산작업-1</vt:lpstr>
      <vt:lpstr>계산작업-2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2020-04-09T05:06:46Z</dcterms:created>
  <dcterms:modified xsi:type="dcterms:W3CDTF">2023-07-03T10:36:31Z</dcterms:modified>
</cp:coreProperties>
</file>