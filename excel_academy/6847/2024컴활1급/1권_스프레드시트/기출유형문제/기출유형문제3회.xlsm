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1권_스프레드시트\기출변형문제\"/>
    </mc:Choice>
  </mc:AlternateContent>
  <xr:revisionPtr revIDLastSave="0" documentId="13_ncr:1_{D3CBC85D-450D-445D-863B-31764B0736B0}" xr6:coauthVersionLast="47" xr6:coauthVersionMax="47" xr10:uidLastSave="{00000000-0000-0000-0000-000000000000}"/>
  <bookViews>
    <workbookView xWindow="70" yWindow="1600" windowWidth="16690" windowHeight="18470" tabRatio="885" xr2:uid="{00000000-000D-0000-FFFF-FFFF00000000}"/>
  </bookViews>
  <sheets>
    <sheet name="기본작업-1" sheetId="2" r:id="rId1"/>
    <sheet name="기본작업-2" sheetId="8" r:id="rId2"/>
    <sheet name="계산작업" sheetId="12" r:id="rId3"/>
    <sheet name="분석작업-1" sheetId="11" r:id="rId4"/>
    <sheet name="분석작업-2" sheetId="9" r:id="rId5"/>
    <sheet name="차트작업" sheetId="6" r:id="rId6"/>
    <sheet name="매크로" sheetId="10" r:id="rId7"/>
    <sheet name="렌트입력" sheetId="7" r:id="rId8"/>
  </sheets>
  <definedNames>
    <definedName name="MS_Access_Database_Query_2" localSheetId="0">'기본작업-1'!$B$2:$I$36</definedName>
    <definedName name="MS_Access_Database_Query_2" localSheetId="1">'기본작업-2'!$B$2:$I$36</definedName>
    <definedName name="MS_Access_Database_Query_2" localSheetId="6">매크로!$B$3:$G$16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10" l="1"/>
  <c r="G16" i="10" s="1"/>
  <c r="F15" i="10"/>
  <c r="G15" i="10" s="1"/>
  <c r="F14" i="10"/>
  <c r="G14" i="10" s="1"/>
  <c r="F13" i="10"/>
  <c r="G13" i="10" s="1"/>
  <c r="F12" i="10"/>
  <c r="G12" i="10" s="1"/>
  <c r="F11" i="10"/>
  <c r="G11" i="10" s="1"/>
  <c r="F10" i="10"/>
  <c r="G10" i="10" s="1"/>
  <c r="F9" i="10"/>
  <c r="G9" i="10" s="1"/>
  <c r="F8" i="10"/>
  <c r="G8" i="10" s="1"/>
  <c r="F7" i="10"/>
  <c r="G7" i="10" s="1"/>
  <c r="F6" i="10"/>
  <c r="G6" i="10" s="1"/>
  <c r="F5" i="10"/>
  <c r="G5" i="10" s="1"/>
  <c r="F4" i="10"/>
  <c r="G4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6FD79B-C7CD-4DC8-BBAD-19B87542C4E5}" name="연결" type="1" refreshedVersion="0" savePassword="1" deleted="1" background="1" saveData="1">
    <dbPr connection="" command=""/>
  </connection>
  <connection id="2" xr16:uid="{38128021-34DB-4DD3-AC52-3AD9ABA49A62}" name="연결1" type="1" refreshedVersion="0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<sst xmlns="http://schemas.openxmlformats.org/spreadsheetml/2006/main" count="526" uniqueCount="132">
  <si>
    <t>주문번호</t>
    <phoneticPr fontId="4" type="noConversion"/>
  </si>
  <si>
    <t>구분</t>
    <phoneticPr fontId="4" type="noConversion"/>
  </si>
  <si>
    <t>상품명</t>
    <phoneticPr fontId="4" type="noConversion"/>
  </si>
  <si>
    <t>판매가격</t>
    <phoneticPr fontId="4" type="noConversion"/>
  </si>
  <si>
    <t>주문수량</t>
    <phoneticPr fontId="4" type="noConversion"/>
  </si>
  <si>
    <t>주문지역</t>
    <phoneticPr fontId="4" type="noConversion"/>
  </si>
  <si>
    <t>업체</t>
  </si>
  <si>
    <t>주문일자</t>
    <phoneticPr fontId="4" type="noConversion"/>
  </si>
  <si>
    <t>남성용</t>
    <phoneticPr fontId="4" type="noConversion"/>
  </si>
  <si>
    <t>로션</t>
  </si>
  <si>
    <t>충북</t>
  </si>
  <si>
    <t>HOMME</t>
    <phoneticPr fontId="4" type="noConversion"/>
  </si>
  <si>
    <t>향수</t>
  </si>
  <si>
    <t>서울</t>
  </si>
  <si>
    <t>인천</t>
  </si>
  <si>
    <t>경기</t>
  </si>
  <si>
    <t>대구</t>
  </si>
  <si>
    <t>대전</t>
  </si>
  <si>
    <t>여성용</t>
    <phoneticPr fontId="4" type="noConversion"/>
  </si>
  <si>
    <t>충남</t>
  </si>
  <si>
    <t>[표1]</t>
    <phoneticPr fontId="4" type="noConversion"/>
  </si>
  <si>
    <t>주문코드</t>
    <phoneticPr fontId="4" type="noConversion"/>
  </si>
  <si>
    <t>지점</t>
    <phoneticPr fontId="4" type="noConversion"/>
  </si>
  <si>
    <t>분류</t>
    <phoneticPr fontId="4" type="noConversion"/>
  </si>
  <si>
    <t>비고</t>
    <phoneticPr fontId="4" type="noConversion"/>
  </si>
  <si>
    <t>[표2]</t>
    <phoneticPr fontId="4" type="noConversion"/>
  </si>
  <si>
    <t>서울</t>
    <phoneticPr fontId="4" type="noConversion"/>
  </si>
  <si>
    <t>기능성</t>
  </si>
  <si>
    <t>인천</t>
    <phoneticPr fontId="4" type="noConversion"/>
  </si>
  <si>
    <t>베이스메이크업</t>
  </si>
  <si>
    <t>색조</t>
  </si>
  <si>
    <t>색조</t>
    <phoneticPr fontId="4" type="noConversion"/>
  </si>
  <si>
    <t>[표3]</t>
    <phoneticPr fontId="4" type="noConversion"/>
  </si>
  <si>
    <t>경기</t>
    <phoneticPr fontId="4" type="noConversion"/>
  </si>
  <si>
    <t>거래구분</t>
  </si>
  <si>
    <t>물품명</t>
  </si>
  <si>
    <t>주문수량</t>
  </si>
  <si>
    <t>판매수량</t>
  </si>
  <si>
    <t>금액</t>
  </si>
  <si>
    <t>포인트</t>
  </si>
  <si>
    <t>카드</t>
  </si>
  <si>
    <t>현금</t>
  </si>
  <si>
    <t>1월 적립금 분석표</t>
    <phoneticPr fontId="4" type="noConversion"/>
  </si>
  <si>
    <t>판매일자</t>
    <phoneticPr fontId="4" type="noConversion"/>
  </si>
  <si>
    <t>물품영</t>
    <phoneticPr fontId="4" type="noConversion"/>
  </si>
  <si>
    <t>판매단가</t>
    <phoneticPr fontId="4" type="noConversion"/>
  </si>
  <si>
    <t>판매금액</t>
    <phoneticPr fontId="4" type="noConversion"/>
  </si>
  <si>
    <t>적립금</t>
    <phoneticPr fontId="4" type="noConversion"/>
  </si>
  <si>
    <t>로션</t>
    <phoneticPr fontId="4" type="noConversion"/>
  </si>
  <si>
    <t>샴푸</t>
    <phoneticPr fontId="4" type="noConversion"/>
  </si>
  <si>
    <t>향수</t>
    <phoneticPr fontId="4" type="noConversion"/>
  </si>
  <si>
    <t>평 균 기 온  평 년 차</t>
    <phoneticPr fontId="4" type="noConversion"/>
  </si>
  <si>
    <t>지점</t>
  </si>
  <si>
    <t>1월</t>
    <phoneticPr fontId="4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</si>
  <si>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</si>
  <si>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</si>
  <si>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</si>
  <si>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</si>
  <si>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</si>
  <si>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</si>
  <si>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</si>
  <si>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</si>
  <si>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</si>
  <si>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</si>
  <si>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</si>
  <si>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철  원</t>
  </si>
  <si>
    <t>대관령</t>
  </si>
  <si>
    <t>춘  천</t>
  </si>
  <si>
    <t>강  릉</t>
  </si>
  <si>
    <t>[표1]</t>
    <phoneticPr fontId="4" type="noConversion"/>
  </si>
  <si>
    <t>제품명</t>
    <phoneticPr fontId="4" type="noConversion"/>
  </si>
  <si>
    <t>대여일수</t>
    <phoneticPr fontId="4" type="noConversion"/>
  </si>
  <si>
    <t>제품가격</t>
    <phoneticPr fontId="4" type="noConversion"/>
  </si>
  <si>
    <t>대여금액</t>
    <phoneticPr fontId="4" type="noConversion"/>
  </si>
  <si>
    <t>속  초</t>
    <phoneticPr fontId="4" type="noConversion"/>
  </si>
  <si>
    <t>마스크팩</t>
    <phoneticPr fontId="1" type="noConversion"/>
  </si>
  <si>
    <t>고객등급</t>
    <phoneticPr fontId="4" type="noConversion"/>
  </si>
  <si>
    <t>1톤 포터 캠핑카</t>
    <phoneticPr fontId="4" type="noConversion"/>
  </si>
  <si>
    <t>트레일러</t>
    <phoneticPr fontId="4" type="noConversion"/>
  </si>
  <si>
    <t>스포츠칸 캠핑카</t>
    <phoneticPr fontId="4" type="noConversion"/>
  </si>
  <si>
    <t>캠핑카 미니</t>
    <phoneticPr fontId="4" type="noConversion"/>
  </si>
  <si>
    <t>캠핑카 5인승</t>
    <phoneticPr fontId="4" type="noConversion"/>
  </si>
  <si>
    <t>기준일</t>
    <phoneticPr fontId="1" type="noConversion"/>
  </si>
  <si>
    <t>제조일</t>
    <phoneticPr fontId="1" type="noConversion"/>
  </si>
  <si>
    <t>상반기</t>
    <phoneticPr fontId="4" type="noConversion"/>
  </si>
  <si>
    <t>하반기</t>
    <phoneticPr fontId="4" type="noConversion"/>
  </si>
  <si>
    <t>보존기간</t>
    <phoneticPr fontId="4" type="noConversion"/>
  </si>
  <si>
    <t>SA-001</t>
  </si>
  <si>
    <t>서울지점</t>
  </si>
  <si>
    <t>TC-002</t>
  </si>
  <si>
    <t>인천지점</t>
  </si>
  <si>
    <t>기능</t>
    <phoneticPr fontId="4" type="noConversion"/>
  </si>
  <si>
    <t>SA-003</t>
  </si>
  <si>
    <t>TC-004</t>
  </si>
  <si>
    <t>메이크업</t>
    <phoneticPr fontId="4" type="noConversion"/>
  </si>
  <si>
    <t>TC-005</t>
  </si>
  <si>
    <t>대전지점</t>
  </si>
  <si>
    <t>SA-006</t>
  </si>
  <si>
    <t>JB-007</t>
  </si>
  <si>
    <t>경기지점</t>
  </si>
  <si>
    <t>코드</t>
    <phoneticPr fontId="4" type="noConversion"/>
  </si>
  <si>
    <t>SA-008</t>
  </si>
  <si>
    <t>A</t>
    <phoneticPr fontId="1" type="noConversion"/>
  </si>
  <si>
    <t>SA-009</t>
  </si>
  <si>
    <t>B</t>
    <phoneticPr fontId="1" type="noConversion"/>
  </si>
  <si>
    <t>SA-010</t>
  </si>
  <si>
    <t>C</t>
    <phoneticPr fontId="1" type="noConversion"/>
  </si>
  <si>
    <t>SA-011</t>
  </si>
  <si>
    <t>JB-012</t>
  </si>
  <si>
    <t>[표4]</t>
    <phoneticPr fontId="1" type="noConversion"/>
  </si>
  <si>
    <t>SA-013</t>
  </si>
  <si>
    <t>제조년도</t>
    <phoneticPr fontId="1" type="noConversion"/>
  </si>
  <si>
    <t xml:space="preserve">  기능성 </t>
    <phoneticPr fontId="4" type="noConversion"/>
  </si>
  <si>
    <t xml:space="preserve">  베이스 </t>
    <phoneticPr fontId="4" type="noConversion"/>
  </si>
  <si>
    <t xml:space="preserve">  색조  </t>
    <phoneticPr fontId="4" type="noConversion"/>
  </si>
  <si>
    <t>SA-014</t>
  </si>
  <si>
    <t>TC-015</t>
  </si>
  <si>
    <t>SA-016</t>
  </si>
  <si>
    <t>TC-017</t>
  </si>
  <si>
    <t>SA-018</t>
  </si>
  <si>
    <t>JB-019</t>
  </si>
  <si>
    <t>SA-020</t>
  </si>
  <si>
    <t>SA-021</t>
  </si>
  <si>
    <t>TC-022</t>
  </si>
  <si>
    <t>TC-023</t>
  </si>
  <si>
    <t>SA-024</t>
  </si>
  <si>
    <t>TC-025</t>
  </si>
  <si>
    <t>SA-026</t>
  </si>
  <si>
    <t>SA-027</t>
  </si>
  <si>
    <t>JB-028</t>
  </si>
  <si>
    <t>SA-029</t>
  </si>
  <si>
    <t>TC-030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</si>
</sst>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/mm/dd\ "/>
    <numFmt numFmtId="179" formatCode="0&quot;년&quot;"/>
  </numFmts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2"/>
      <charset val="129"/>
      <scheme val="minor"/>
    </font>
    <font>
      <b/>
      <sz val="15"/>
      <color theme="0"/>
      <name val="맑은 고딕"/>
      <family val="3"/>
      <charset val="129"/>
      <scheme val="minor"/>
    </font>
    <font>
      <sz val="15"/>
      <color indexed="9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indexed="9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10" fillId="0" borderId="0">
      <alignment vertical="center"/>
    </xf>
  </cellStyleXfs>
  <cellXfs count="4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41" fontId="3" fillId="0" borderId="1" xfId="1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left" vertical="center"/>
    </xf>
    <xf numFmtId="0" fontId="6" fillId="0" borderId="1" xfId="2" applyFont="1" applyBorder="1" applyAlignment="1">
      <alignment vertical="center"/>
    </xf>
    <xf numFmtId="41" fontId="5" fillId="0" borderId="0" xfId="1" applyFont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41" fontId="11" fillId="3" borderId="1" xfId="1" applyFont="1" applyFill="1" applyBorder="1" applyAlignment="1">
      <alignment horizontal="center" vertical="center"/>
    </xf>
    <xf numFmtId="0" fontId="11" fillId="3" borderId="1" xfId="1" applyNumberFormat="1" applyFont="1" applyFill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14" fontId="5" fillId="0" borderId="1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14" fontId="5" fillId="0" borderId="0" xfId="0" applyNumberFormat="1" applyFont="1">
      <alignment vertical="center"/>
    </xf>
    <xf numFmtId="0" fontId="3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/>
    </xf>
    <xf numFmtId="49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 wrapText="1"/>
    </xf>
  </cellXfs>
  <cellStyles count="3">
    <cellStyle name="쉼표 [0]" xfId="1" builtinId="6"/>
    <cellStyle name="표준" xfId="0" builtinId="0"/>
    <cellStyle name="표준_차트작업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차트작업!$B$5</c:f>
              <c:strCache>
                <c:ptCount val="1"/>
                <c:pt idx="0">
                  <c:v>속  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차트작업!$C$5:$H$5</c:f>
              <c:numCache>
                <c:formatCode>General</c:formatCode>
                <c:ptCount val="6"/>
                <c:pt idx="0">
                  <c:v>9</c:v>
                </c:pt>
                <c:pt idx="1">
                  <c:v>32</c:v>
                </c:pt>
                <c:pt idx="2">
                  <c:v>14</c:v>
                </c:pt>
                <c:pt idx="3">
                  <c:v>4</c:v>
                </c:pt>
                <c:pt idx="4">
                  <c:v>12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4-47A2-A56F-89446AB7A779}"/>
            </c:ext>
          </c:extLst>
        </c:ser>
        <c:ser>
          <c:idx val="1"/>
          <c:order val="1"/>
          <c:tx>
            <c:strRef>
              <c:f>차트작업!$B$6</c:f>
              <c:strCache>
                <c:ptCount val="1"/>
                <c:pt idx="0">
                  <c:v>철  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차트작업!$C$6:$H$6</c:f>
              <c:numCache>
                <c:formatCode>General</c:formatCode>
                <c:ptCount val="6"/>
                <c:pt idx="0">
                  <c:v>17</c:v>
                </c:pt>
                <c:pt idx="1">
                  <c:v>31</c:v>
                </c:pt>
                <c:pt idx="2">
                  <c:v>5</c:v>
                </c:pt>
                <c:pt idx="3">
                  <c:v>-8</c:v>
                </c:pt>
                <c:pt idx="4">
                  <c:v>6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54-47A2-A56F-89446AB7A779}"/>
            </c:ext>
          </c:extLst>
        </c:ser>
        <c:ser>
          <c:idx val="2"/>
          <c:order val="2"/>
          <c:tx>
            <c:strRef>
              <c:f>차트작업!$B$7</c:f>
              <c:strCache>
                <c:ptCount val="1"/>
                <c:pt idx="0">
                  <c:v>대관령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차트작업!$C$7:$H$7</c:f>
              <c:numCache>
                <c:formatCode>General</c:formatCode>
                <c:ptCount val="6"/>
                <c:pt idx="0">
                  <c:v>24</c:v>
                </c:pt>
                <c:pt idx="1">
                  <c:v>40</c:v>
                </c:pt>
                <c:pt idx="2">
                  <c:v>16</c:v>
                </c:pt>
                <c:pt idx="3">
                  <c:v>-1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54-47A2-A56F-89446AB7A779}"/>
            </c:ext>
          </c:extLst>
        </c:ser>
        <c:ser>
          <c:idx val="3"/>
          <c:order val="3"/>
          <c:tx>
            <c:strRef>
              <c:f>차트작업!$B$8</c:f>
              <c:strCache>
                <c:ptCount val="1"/>
                <c:pt idx="0">
                  <c:v>춘  천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차트작업!$C$8:$H$8</c:f>
              <c:numCache>
                <c:formatCode>General</c:formatCode>
                <c:ptCount val="6"/>
                <c:pt idx="0">
                  <c:v>21</c:v>
                </c:pt>
                <c:pt idx="1">
                  <c:v>33</c:v>
                </c:pt>
                <c:pt idx="2">
                  <c:v>7</c:v>
                </c:pt>
                <c:pt idx="3">
                  <c:v>-7</c:v>
                </c:pt>
                <c:pt idx="4">
                  <c:v>8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54-47A2-A56F-89446AB7A779}"/>
            </c:ext>
          </c:extLst>
        </c:ser>
        <c:ser>
          <c:idx val="4"/>
          <c:order val="4"/>
          <c:tx>
            <c:strRef>
              <c:f>차트작업!$B$9</c:f>
              <c:strCache>
                <c:ptCount val="1"/>
                <c:pt idx="0">
                  <c:v>강  릉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차트작업!$C$4:$H$4</c:f>
              <c:strCache>
                <c:ptCount val="6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</c:strCache>
            </c:strRef>
          </c:cat>
          <c:val>
            <c:numRef>
              <c:f>차트작업!$C$9:$H$9</c:f>
              <c:numCache>
                <c:formatCode>General</c:formatCode>
                <c:ptCount val="6"/>
                <c:pt idx="0">
                  <c:v>25</c:v>
                </c:pt>
                <c:pt idx="1">
                  <c:v>41</c:v>
                </c:pt>
                <c:pt idx="2">
                  <c:v>11</c:v>
                </c:pt>
                <c:pt idx="3">
                  <c:v>-4</c:v>
                </c:pt>
                <c:pt idx="4">
                  <c:v>7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54-47A2-A56F-89446AB7A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5722096"/>
        <c:axId val="1395719600"/>
      </c:barChart>
      <c:catAx>
        <c:axId val="139572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5719600"/>
        <c:crosses val="autoZero"/>
        <c:auto val="1"/>
        <c:lblAlgn val="ctr"/>
        <c:lblOffset val="100"/>
        <c:noMultiLvlLbl val="0"/>
      </c:catAx>
      <c:valAx>
        <c:axId val="139571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572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14</xdr:col>
      <xdr:colOff>0</xdr:colOff>
      <xdr:row>36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</xdr:colOff>
          <xdr:row>4</xdr:row>
          <xdr:rowOff>88900</xdr:rowOff>
        </xdr:to>
        <xdr:sp macro="" textlink="">
          <xdr:nvSpPr>
            <xdr:cNvPr id="7169" name="Cmd렌트입력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1" xr16:uid="{6D3D6B50-BDE6-41D1-838C-BC480C6C2135}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xmlns:xlrd2="http://schemas.microsoft.com/office/spreadsheetml/2017/richdata2" ref="B4:I36">
      <sortCondition ref="F3"/>
    </sortState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1" xr16:uid="{C7573D18-1BC5-4A98-B000-60F9836D3063}" autoFormatId="16" applyNumberFormats="0" applyBorderFormats="0" applyFontFormats="1" applyPatternFormats="1" applyAlignmentFormats="0" applyWidthHeightFormats="0">
  <queryTableRefresh nextId="11">
    <queryTableFields count="8">
      <queryTableField id="1" name="등록번호"/>
      <queryTableField id="2" name="모델"/>
      <queryTableField id="4" name="기어"/>
      <queryTableField id="5" name="주행거리"/>
      <queryTableField id="6" name="가격"/>
      <queryTableField id="7" name="지역"/>
      <queryTableField id="9" name="업체"/>
      <queryTableField id="10" name="등록일"/>
    </queryTableFields>
    <queryTableDeletedFields count="2">
      <deletedField name="연식"/>
      <deletedField name="상태"/>
    </queryTableDeletedFields>
    <sortState xmlns:xlrd2="http://schemas.microsoft.com/office/spreadsheetml/2017/richdata2" ref="B4:I36">
      <sortCondition ref="F3"/>
    </sortState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2" connectionId="2" xr16:uid="{047B4B82-5D6B-4871-903B-61BE2C72C3BD}" autoFormatId="16" applyNumberFormats="0" applyBorderFormats="0" applyFontFormats="1" applyPatternFormats="1" applyAlignmentFormats="0" applyWidthHeightFormats="0">
  <queryTableRefresh nextId="11">
    <queryTableFields count="6">
      <queryTableField id="4" name="거래구분"/>
      <queryTableField id="5" name="상품명"/>
      <queryTableField id="6" name="주문수량"/>
      <queryTableField id="7" name="판매수량"/>
      <queryTableField id="8" name="가격"/>
      <queryTableField id="9" name="포인트"/>
    </queryTableFields>
    <queryTableDeletedFields count="4">
      <deletedField name="주문순서"/>
      <deletedField name="주문일자"/>
      <deletedField name="주문코드"/>
      <deletedField name="비고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I36"/>
  <sheetViews>
    <sheetView tabSelected="1" workbookViewId="0"/>
  </sheetViews>
  <sheetFormatPr defaultRowHeight="17"/>
  <cols>
    <col min="5" max="5" width="9.83203125" customWidth="1"/>
    <col min="6" max="6" width="9.75" customWidth="1"/>
    <col min="8" max="8" width="9.414062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381</v>
      </c>
      <c r="G3" s="3" t="s">
        <v>10</v>
      </c>
      <c r="H3" s="3" t="s">
        <v>11</v>
      </c>
      <c r="I3" s="5">
        <v>45681</v>
      </c>
    </row>
    <row r="4" spans="2:9">
      <c r="B4" s="3">
        <v>5</v>
      </c>
      <c r="C4" s="3" t="s">
        <v>8</v>
      </c>
      <c r="D4" s="3" t="s">
        <v>12</v>
      </c>
      <c r="E4" s="4">
        <v>80000</v>
      </c>
      <c r="F4" s="4">
        <v>381</v>
      </c>
      <c r="G4" s="3" t="s">
        <v>13</v>
      </c>
      <c r="H4" s="3" t="s">
        <v>11</v>
      </c>
      <c r="I4" s="5">
        <v>45679</v>
      </c>
    </row>
    <row r="5" spans="2:9">
      <c r="B5" s="3">
        <v>8</v>
      </c>
      <c r="C5" s="3" t="s">
        <v>8</v>
      </c>
      <c r="D5" s="3" t="s">
        <v>12</v>
      </c>
      <c r="E5" s="4">
        <v>74000</v>
      </c>
      <c r="F5" s="4">
        <v>407</v>
      </c>
      <c r="G5" s="3" t="s">
        <v>14</v>
      </c>
      <c r="H5" s="3" t="s">
        <v>11</v>
      </c>
      <c r="I5" s="5">
        <v>45682</v>
      </c>
    </row>
    <row r="6" spans="2:9">
      <c r="B6" s="3">
        <v>3</v>
      </c>
      <c r="C6" s="3" t="s">
        <v>8</v>
      </c>
      <c r="D6" s="3" t="s">
        <v>9</v>
      </c>
      <c r="E6" s="4">
        <v>130000</v>
      </c>
      <c r="F6" s="4">
        <v>413</v>
      </c>
      <c r="G6" s="3" t="s">
        <v>15</v>
      </c>
      <c r="H6" s="3" t="s">
        <v>11</v>
      </c>
      <c r="I6" s="5">
        <v>45677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443</v>
      </c>
      <c r="G7" s="3" t="s">
        <v>16</v>
      </c>
      <c r="H7" s="3" t="s">
        <v>11</v>
      </c>
      <c r="I7" s="5">
        <v>45683</v>
      </c>
    </row>
    <row r="8" spans="2:9">
      <c r="B8" s="3">
        <v>1</v>
      </c>
      <c r="C8" s="3" t="s">
        <v>8</v>
      </c>
      <c r="D8" s="3" t="s">
        <v>12</v>
      </c>
      <c r="E8" s="4">
        <v>122380</v>
      </c>
      <c r="F8" s="4">
        <v>453</v>
      </c>
      <c r="G8" s="3" t="s">
        <v>15</v>
      </c>
      <c r="H8" s="3" t="s">
        <v>11</v>
      </c>
      <c r="I8" s="5">
        <v>45675</v>
      </c>
    </row>
    <row r="9" spans="2:9">
      <c r="B9" s="3">
        <v>4</v>
      </c>
      <c r="C9" s="3" t="s">
        <v>8</v>
      </c>
      <c r="D9" s="3" t="s">
        <v>12</v>
      </c>
      <c r="E9" s="4">
        <v>110000</v>
      </c>
      <c r="F9" s="4">
        <v>460</v>
      </c>
      <c r="G9" s="3" t="s">
        <v>15</v>
      </c>
      <c r="H9" s="3" t="s">
        <v>11</v>
      </c>
      <c r="I9" s="5">
        <v>45678</v>
      </c>
    </row>
    <row r="10" spans="2:9">
      <c r="B10" s="3">
        <v>6</v>
      </c>
      <c r="C10" s="3" t="s">
        <v>8</v>
      </c>
      <c r="D10" s="3" t="s">
        <v>12</v>
      </c>
      <c r="E10" s="4">
        <v>120700</v>
      </c>
      <c r="F10" s="4">
        <v>480</v>
      </c>
      <c r="G10" s="3" t="s">
        <v>13</v>
      </c>
      <c r="H10" s="3" t="s">
        <v>11</v>
      </c>
      <c r="I10" s="5">
        <v>45680</v>
      </c>
    </row>
    <row r="11" spans="2:9">
      <c r="B11" s="3">
        <v>12</v>
      </c>
      <c r="C11" s="3" t="s">
        <v>8</v>
      </c>
      <c r="D11" s="3" t="s">
        <v>12</v>
      </c>
      <c r="E11" s="4">
        <v>90000</v>
      </c>
      <c r="F11" s="4">
        <v>501</v>
      </c>
      <c r="G11" s="3" t="s">
        <v>15</v>
      </c>
      <c r="H11" s="3" t="s">
        <v>11</v>
      </c>
      <c r="I11" s="5">
        <v>45686</v>
      </c>
    </row>
    <row r="12" spans="2:9">
      <c r="B12" s="3">
        <v>13</v>
      </c>
      <c r="C12" s="3" t="s">
        <v>8</v>
      </c>
      <c r="D12" s="3" t="s">
        <v>12</v>
      </c>
      <c r="E12" s="4">
        <v>51000</v>
      </c>
      <c r="F12" s="4">
        <v>500</v>
      </c>
      <c r="G12" s="3" t="s">
        <v>15</v>
      </c>
      <c r="H12" s="3" t="s">
        <v>11</v>
      </c>
      <c r="I12" s="5">
        <v>45687</v>
      </c>
    </row>
    <row r="13" spans="2:9">
      <c r="B13" s="3">
        <v>14</v>
      </c>
      <c r="C13" s="3" t="s">
        <v>8</v>
      </c>
      <c r="D13" s="3" t="s">
        <v>12</v>
      </c>
      <c r="E13" s="4">
        <v>65000</v>
      </c>
      <c r="F13" s="4">
        <v>533</v>
      </c>
      <c r="G13" s="3" t="s">
        <v>15</v>
      </c>
      <c r="H13" s="3" t="s">
        <v>11</v>
      </c>
      <c r="I13" s="5">
        <v>45688</v>
      </c>
    </row>
    <row r="14" spans="2:9">
      <c r="B14" s="3">
        <v>11</v>
      </c>
      <c r="C14" s="3" t="s">
        <v>8</v>
      </c>
      <c r="D14" s="3" t="s">
        <v>12</v>
      </c>
      <c r="E14" s="4">
        <v>45000</v>
      </c>
      <c r="F14" s="4">
        <v>541</v>
      </c>
      <c r="G14" s="3" t="s">
        <v>15</v>
      </c>
      <c r="H14" s="3" t="s">
        <v>11</v>
      </c>
      <c r="I14" s="5">
        <v>45685</v>
      </c>
    </row>
    <row r="15" spans="2:9">
      <c r="B15" s="3">
        <v>2</v>
      </c>
      <c r="C15" s="3" t="s">
        <v>8</v>
      </c>
      <c r="D15" s="3" t="s">
        <v>12</v>
      </c>
      <c r="E15" s="4">
        <v>130000</v>
      </c>
      <c r="F15" s="4">
        <v>553</v>
      </c>
      <c r="G15" s="3" t="s">
        <v>17</v>
      </c>
      <c r="H15" s="3" t="s">
        <v>11</v>
      </c>
      <c r="I15" s="5">
        <v>45676</v>
      </c>
    </row>
    <row r="16" spans="2:9">
      <c r="B16" s="3">
        <v>17</v>
      </c>
      <c r="C16" s="3" t="s">
        <v>8</v>
      </c>
      <c r="D16" s="3" t="s">
        <v>12</v>
      </c>
      <c r="E16" s="4">
        <v>29300</v>
      </c>
      <c r="F16" s="4">
        <v>555</v>
      </c>
      <c r="G16" s="3" t="s">
        <v>13</v>
      </c>
      <c r="H16" s="3" t="s">
        <v>11</v>
      </c>
      <c r="I16" s="5">
        <v>45691</v>
      </c>
    </row>
    <row r="17" spans="2:9">
      <c r="B17" s="3">
        <v>15</v>
      </c>
      <c r="C17" s="3" t="s">
        <v>8</v>
      </c>
      <c r="D17" s="3" t="s">
        <v>12</v>
      </c>
      <c r="E17" s="4">
        <v>35000</v>
      </c>
      <c r="F17" s="4">
        <v>617</v>
      </c>
      <c r="G17" s="3" t="s">
        <v>17</v>
      </c>
      <c r="H17" s="3" t="s">
        <v>11</v>
      </c>
      <c r="I17" s="5">
        <v>45689</v>
      </c>
    </row>
    <row r="18" spans="2:9">
      <c r="B18" s="3">
        <v>16</v>
      </c>
      <c r="C18" s="3" t="s">
        <v>8</v>
      </c>
      <c r="D18" s="3" t="s">
        <v>12</v>
      </c>
      <c r="E18" s="4">
        <v>30000</v>
      </c>
      <c r="F18" s="4">
        <v>623</v>
      </c>
      <c r="G18" s="3" t="s">
        <v>13</v>
      </c>
      <c r="H18" s="3" t="s">
        <v>11</v>
      </c>
      <c r="I18" s="5">
        <v>45690</v>
      </c>
    </row>
    <row r="19" spans="2:9">
      <c r="B19" s="3">
        <v>10</v>
      </c>
      <c r="C19" s="3" t="s">
        <v>8</v>
      </c>
      <c r="D19" s="3" t="s">
        <v>12</v>
      </c>
      <c r="E19" s="4">
        <v>20000</v>
      </c>
      <c r="F19" s="4">
        <v>650</v>
      </c>
      <c r="G19" s="3" t="s">
        <v>15</v>
      </c>
      <c r="H19" s="3" t="s">
        <v>11</v>
      </c>
      <c r="I19" s="5">
        <v>45684</v>
      </c>
    </row>
    <row r="20" spans="2:9">
      <c r="B20" s="3">
        <v>20</v>
      </c>
      <c r="C20" s="3" t="s">
        <v>18</v>
      </c>
      <c r="D20" s="3" t="s">
        <v>12</v>
      </c>
      <c r="E20" s="4">
        <v>20000</v>
      </c>
      <c r="F20" s="4">
        <v>671</v>
      </c>
      <c r="G20" s="3" t="s">
        <v>19</v>
      </c>
      <c r="H20" s="3" t="s">
        <v>11</v>
      </c>
      <c r="I20" s="5">
        <v>45694</v>
      </c>
    </row>
    <row r="21" spans="2:9">
      <c r="B21" s="3">
        <v>18</v>
      </c>
      <c r="C21" s="3" t="s">
        <v>18</v>
      </c>
      <c r="D21" s="3" t="s">
        <v>12</v>
      </c>
      <c r="E21" s="4">
        <v>39000</v>
      </c>
      <c r="F21" s="4">
        <v>799</v>
      </c>
      <c r="G21" s="3" t="s">
        <v>16</v>
      </c>
      <c r="H21" s="3" t="s">
        <v>11</v>
      </c>
      <c r="I21" s="5">
        <v>45692</v>
      </c>
    </row>
    <row r="22" spans="2:9">
      <c r="B22" s="3">
        <v>29</v>
      </c>
      <c r="C22" s="3" t="s">
        <v>18</v>
      </c>
      <c r="D22" s="3" t="s">
        <v>9</v>
      </c>
      <c r="E22" s="4">
        <v>20000</v>
      </c>
      <c r="F22" s="4">
        <v>800</v>
      </c>
      <c r="G22" s="3" t="s">
        <v>14</v>
      </c>
      <c r="H22" s="3" t="s">
        <v>11</v>
      </c>
      <c r="I22" s="5">
        <v>45703</v>
      </c>
    </row>
    <row r="23" spans="2:9">
      <c r="B23" s="3">
        <v>31</v>
      </c>
      <c r="C23" s="3" t="s">
        <v>18</v>
      </c>
      <c r="D23" s="3" t="s">
        <v>12</v>
      </c>
      <c r="E23" s="4">
        <v>30000</v>
      </c>
      <c r="F23" s="4">
        <v>851</v>
      </c>
      <c r="G23" s="3" t="s">
        <v>15</v>
      </c>
      <c r="H23" s="3" t="s">
        <v>11</v>
      </c>
      <c r="I23" s="5">
        <v>45705</v>
      </c>
    </row>
    <row r="24" spans="2:9">
      <c r="B24" s="3">
        <v>24</v>
      </c>
      <c r="C24" s="3" t="s">
        <v>18</v>
      </c>
      <c r="D24" s="3" t="s">
        <v>9</v>
      </c>
      <c r="E24" s="4">
        <v>30000</v>
      </c>
      <c r="F24" s="4">
        <v>893</v>
      </c>
      <c r="G24" s="3" t="s">
        <v>15</v>
      </c>
      <c r="H24" s="3" t="s">
        <v>11</v>
      </c>
      <c r="I24" s="5">
        <v>45698</v>
      </c>
    </row>
    <row r="25" spans="2:9">
      <c r="B25" s="3">
        <v>19</v>
      </c>
      <c r="C25" s="3" t="s">
        <v>18</v>
      </c>
      <c r="D25" s="3" t="s">
        <v>12</v>
      </c>
      <c r="E25" s="4">
        <v>15000</v>
      </c>
      <c r="F25" s="4">
        <v>898</v>
      </c>
      <c r="G25" s="3" t="s">
        <v>17</v>
      </c>
      <c r="H25" s="3" t="s">
        <v>11</v>
      </c>
      <c r="I25" s="5">
        <v>45693</v>
      </c>
    </row>
    <row r="26" spans="2:9">
      <c r="B26" s="3">
        <v>25</v>
      </c>
      <c r="C26" s="3" t="s">
        <v>18</v>
      </c>
      <c r="D26" s="3" t="s">
        <v>12</v>
      </c>
      <c r="E26" s="4">
        <v>36000</v>
      </c>
      <c r="F26" s="4">
        <v>913</v>
      </c>
      <c r="G26" s="3" t="s">
        <v>15</v>
      </c>
      <c r="H26" s="3" t="s">
        <v>11</v>
      </c>
      <c r="I26" s="5">
        <v>45699</v>
      </c>
    </row>
    <row r="27" spans="2:9">
      <c r="B27" s="3">
        <v>30</v>
      </c>
      <c r="C27" s="3" t="s">
        <v>18</v>
      </c>
      <c r="D27" s="3" t="s">
        <v>12</v>
      </c>
      <c r="E27" s="4">
        <v>30000</v>
      </c>
      <c r="F27" s="4">
        <v>957</v>
      </c>
      <c r="G27" s="3" t="s">
        <v>15</v>
      </c>
      <c r="H27" s="3" t="s">
        <v>11</v>
      </c>
      <c r="I27" s="5">
        <v>45704</v>
      </c>
    </row>
    <row r="28" spans="2:9">
      <c r="B28" s="3">
        <v>32</v>
      </c>
      <c r="C28" s="3" t="s">
        <v>18</v>
      </c>
      <c r="D28" s="3" t="s">
        <v>12</v>
      </c>
      <c r="E28" s="4">
        <v>8000</v>
      </c>
      <c r="F28" s="4">
        <v>991</v>
      </c>
      <c r="G28" s="3" t="s">
        <v>13</v>
      </c>
      <c r="H28" s="3" t="s">
        <v>11</v>
      </c>
      <c r="I28" s="5">
        <v>45706</v>
      </c>
    </row>
    <row r="29" spans="2:9">
      <c r="B29" s="3">
        <v>28</v>
      </c>
      <c r="C29" s="3" t="s">
        <v>18</v>
      </c>
      <c r="D29" s="3" t="s">
        <v>12</v>
      </c>
      <c r="E29" s="4">
        <v>16000</v>
      </c>
      <c r="F29" s="4">
        <v>1003</v>
      </c>
      <c r="G29" s="3" t="s">
        <v>15</v>
      </c>
      <c r="H29" s="3" t="s">
        <v>11</v>
      </c>
      <c r="I29" s="5">
        <v>45702</v>
      </c>
    </row>
    <row r="30" spans="2:9">
      <c r="B30" s="3">
        <v>34</v>
      </c>
      <c r="C30" s="3" t="s">
        <v>18</v>
      </c>
      <c r="D30" s="3" t="s">
        <v>12</v>
      </c>
      <c r="E30" s="4">
        <v>3000</v>
      </c>
      <c r="F30" s="4">
        <v>1011</v>
      </c>
      <c r="G30" s="3" t="s">
        <v>13</v>
      </c>
      <c r="H30" s="3" t="s">
        <v>11</v>
      </c>
      <c r="I30" s="5">
        <v>45708</v>
      </c>
    </row>
    <row r="31" spans="2:9">
      <c r="B31" s="3">
        <v>21</v>
      </c>
      <c r="C31" s="3" t="s">
        <v>18</v>
      </c>
      <c r="D31" s="3" t="s">
        <v>9</v>
      </c>
      <c r="E31" s="4">
        <v>18000</v>
      </c>
      <c r="F31" s="4">
        <v>1033</v>
      </c>
      <c r="G31" s="3" t="s">
        <v>15</v>
      </c>
      <c r="H31" s="3" t="s">
        <v>11</v>
      </c>
      <c r="I31" s="5">
        <v>45695</v>
      </c>
    </row>
    <row r="32" spans="2:9">
      <c r="B32" s="3">
        <v>26</v>
      </c>
      <c r="C32" s="3" t="s">
        <v>18</v>
      </c>
      <c r="D32" s="3" t="s">
        <v>12</v>
      </c>
      <c r="E32" s="4">
        <v>18000</v>
      </c>
      <c r="F32" s="4">
        <v>1037</v>
      </c>
      <c r="G32" s="3" t="s">
        <v>15</v>
      </c>
      <c r="H32" s="3" t="s">
        <v>11</v>
      </c>
      <c r="I32" s="5">
        <v>45700</v>
      </c>
    </row>
    <row r="33" spans="2:9">
      <c r="B33" s="3">
        <v>27</v>
      </c>
      <c r="C33" s="3" t="s">
        <v>18</v>
      </c>
      <c r="D33" s="3" t="s">
        <v>12</v>
      </c>
      <c r="E33" s="4">
        <v>10000</v>
      </c>
      <c r="F33" s="4">
        <v>1091</v>
      </c>
      <c r="G33" s="3" t="s">
        <v>15</v>
      </c>
      <c r="H33" s="3" t="s">
        <v>11</v>
      </c>
      <c r="I33" s="5">
        <v>45701</v>
      </c>
    </row>
    <row r="34" spans="2:9">
      <c r="B34" s="3">
        <v>22</v>
      </c>
      <c r="C34" s="3" t="s">
        <v>18</v>
      </c>
      <c r="D34" s="3" t="s">
        <v>12</v>
      </c>
      <c r="E34" s="4">
        <v>34000</v>
      </c>
      <c r="F34" s="4">
        <v>1103</v>
      </c>
      <c r="G34" s="3" t="s">
        <v>13</v>
      </c>
      <c r="H34" s="3" t="s">
        <v>11</v>
      </c>
      <c r="I34" s="5">
        <v>45696</v>
      </c>
    </row>
    <row r="35" spans="2:9">
      <c r="B35" s="3">
        <v>33</v>
      </c>
      <c r="C35" s="3" t="s">
        <v>18</v>
      </c>
      <c r="D35" s="3" t="s">
        <v>12</v>
      </c>
      <c r="E35" s="4">
        <v>1200</v>
      </c>
      <c r="F35" s="4">
        <v>1131</v>
      </c>
      <c r="G35" s="3" t="s">
        <v>13</v>
      </c>
      <c r="H35" s="3" t="s">
        <v>11</v>
      </c>
      <c r="I35" s="5">
        <v>45707</v>
      </c>
    </row>
    <row r="36" spans="2:9">
      <c r="B36" s="3">
        <v>23</v>
      </c>
      <c r="C36" s="3" t="s">
        <v>18</v>
      </c>
      <c r="D36" s="3" t="s">
        <v>12</v>
      </c>
      <c r="E36" s="4">
        <v>10000</v>
      </c>
      <c r="F36" s="4">
        <v>1209</v>
      </c>
      <c r="G36" s="3" t="s">
        <v>13</v>
      </c>
      <c r="H36" s="3" t="s">
        <v>11</v>
      </c>
      <c r="I36" s="5">
        <v>45697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I36"/>
  <sheetViews>
    <sheetView workbookViewId="0"/>
  </sheetViews>
  <sheetFormatPr defaultRowHeight="17"/>
  <cols>
    <col min="5" max="5" width="9.83203125" customWidth="1"/>
    <col min="6" max="6" width="9.75" customWidth="1"/>
    <col min="8" max="8" width="9.4140625" customWidth="1"/>
    <col min="9" max="9" width="12.75" customWidth="1"/>
  </cols>
  <sheetData>
    <row r="2" spans="2:9">
      <c r="B2" s="1" t="s">
        <v>0</v>
      </c>
      <c r="C2" s="1" t="s">
        <v>1</v>
      </c>
      <c r="D2" s="1" t="s">
        <v>2</v>
      </c>
      <c r="E2" s="2" t="s">
        <v>3</v>
      </c>
      <c r="F2" s="2" t="s">
        <v>4</v>
      </c>
      <c r="G2" s="1" t="s">
        <v>5</v>
      </c>
      <c r="H2" s="1" t="s">
        <v>6</v>
      </c>
      <c r="I2" s="1" t="s">
        <v>7</v>
      </c>
    </row>
    <row r="3" spans="2:9">
      <c r="B3" s="3">
        <v>7</v>
      </c>
      <c r="C3" s="3" t="s">
        <v>8</v>
      </c>
      <c r="D3" s="3" t="s">
        <v>9</v>
      </c>
      <c r="E3" s="4">
        <v>98000</v>
      </c>
      <c r="F3" s="4">
        <v>381</v>
      </c>
      <c r="G3" s="3" t="s">
        <v>10</v>
      </c>
      <c r="H3" s="3" t="s">
        <v>11</v>
      </c>
      <c r="I3" s="5">
        <v>45681</v>
      </c>
    </row>
    <row r="4" spans="2:9">
      <c r="B4" s="3">
        <v>5</v>
      </c>
      <c r="C4" s="3" t="s">
        <v>8</v>
      </c>
      <c r="D4" s="3" t="s">
        <v>12</v>
      </c>
      <c r="E4" s="4">
        <v>80000</v>
      </c>
      <c r="F4" s="4">
        <v>381</v>
      </c>
      <c r="G4" s="3" t="s">
        <v>13</v>
      </c>
      <c r="H4" s="3" t="s">
        <v>11</v>
      </c>
      <c r="I4" s="5">
        <v>45679</v>
      </c>
    </row>
    <row r="5" spans="2:9">
      <c r="B5" s="3">
        <v>8</v>
      </c>
      <c r="C5" s="3" t="s">
        <v>8</v>
      </c>
      <c r="D5" s="3" t="s">
        <v>12</v>
      </c>
      <c r="E5" s="4">
        <v>74000</v>
      </c>
      <c r="F5" s="4">
        <v>407</v>
      </c>
      <c r="G5" s="3" t="s">
        <v>14</v>
      </c>
      <c r="H5" s="3" t="s">
        <v>11</v>
      </c>
      <c r="I5" s="5">
        <v>45682</v>
      </c>
    </row>
    <row r="6" spans="2:9">
      <c r="B6" s="3">
        <v>3</v>
      </c>
      <c r="C6" s="3" t="s">
        <v>8</v>
      </c>
      <c r="D6" s="3" t="s">
        <v>9</v>
      </c>
      <c r="E6" s="4">
        <v>130000</v>
      </c>
      <c r="F6" s="4">
        <v>413</v>
      </c>
      <c r="G6" s="3" t="s">
        <v>15</v>
      </c>
      <c r="H6" s="3" t="s">
        <v>11</v>
      </c>
      <c r="I6" s="5">
        <v>45677</v>
      </c>
    </row>
    <row r="7" spans="2:9">
      <c r="B7" s="3">
        <v>9</v>
      </c>
      <c r="C7" s="3" t="s">
        <v>8</v>
      </c>
      <c r="D7" s="3" t="s">
        <v>9</v>
      </c>
      <c r="E7" s="4">
        <v>100000</v>
      </c>
      <c r="F7" s="4">
        <v>443</v>
      </c>
      <c r="G7" s="3" t="s">
        <v>16</v>
      </c>
      <c r="H7" s="3" t="s">
        <v>11</v>
      </c>
      <c r="I7" s="5">
        <v>45683</v>
      </c>
    </row>
    <row r="8" spans="2:9">
      <c r="B8" s="3">
        <v>1</v>
      </c>
      <c r="C8" s="3" t="s">
        <v>8</v>
      </c>
      <c r="D8" s="3" t="s">
        <v>12</v>
      </c>
      <c r="E8" s="4">
        <v>122380</v>
      </c>
      <c r="F8" s="4">
        <v>453</v>
      </c>
      <c r="G8" s="3" t="s">
        <v>15</v>
      </c>
      <c r="H8" s="3" t="s">
        <v>11</v>
      </c>
      <c r="I8" s="5">
        <v>45675</v>
      </c>
    </row>
    <row r="9" spans="2:9">
      <c r="B9" s="3">
        <v>4</v>
      </c>
      <c r="C9" s="3" t="s">
        <v>8</v>
      </c>
      <c r="D9" s="3" t="s">
        <v>12</v>
      </c>
      <c r="E9" s="4">
        <v>110000</v>
      </c>
      <c r="F9" s="4">
        <v>460</v>
      </c>
      <c r="G9" s="3" t="s">
        <v>15</v>
      </c>
      <c r="H9" s="3" t="s">
        <v>11</v>
      </c>
      <c r="I9" s="5">
        <v>45678</v>
      </c>
    </row>
    <row r="10" spans="2:9">
      <c r="B10" s="3">
        <v>6</v>
      </c>
      <c r="C10" s="3" t="s">
        <v>8</v>
      </c>
      <c r="D10" s="3" t="s">
        <v>12</v>
      </c>
      <c r="E10" s="4">
        <v>120700</v>
      </c>
      <c r="F10" s="4">
        <v>480</v>
      </c>
      <c r="G10" s="3" t="s">
        <v>13</v>
      </c>
      <c r="H10" s="3" t="s">
        <v>11</v>
      </c>
      <c r="I10" s="5">
        <v>45680</v>
      </c>
    </row>
    <row r="11" spans="2:9">
      <c r="B11" s="3">
        <v>12</v>
      </c>
      <c r="C11" s="3" t="s">
        <v>8</v>
      </c>
      <c r="D11" s="3" t="s">
        <v>12</v>
      </c>
      <c r="E11" s="4">
        <v>90000</v>
      </c>
      <c r="F11" s="4">
        <v>501</v>
      </c>
      <c r="G11" s="3" t="s">
        <v>15</v>
      </c>
      <c r="H11" s="3" t="s">
        <v>11</v>
      </c>
      <c r="I11" s="5">
        <v>45686</v>
      </c>
    </row>
    <row r="12" spans="2:9">
      <c r="B12" s="3">
        <v>13</v>
      </c>
      <c r="C12" s="3" t="s">
        <v>8</v>
      </c>
      <c r="D12" s="3" t="s">
        <v>12</v>
      </c>
      <c r="E12" s="4">
        <v>51000</v>
      </c>
      <c r="F12" s="4">
        <v>500</v>
      </c>
      <c r="G12" s="3" t="s">
        <v>15</v>
      </c>
      <c r="H12" s="3" t="s">
        <v>11</v>
      </c>
      <c r="I12" s="5">
        <v>45687</v>
      </c>
    </row>
    <row r="13" spans="2:9">
      <c r="B13" s="3">
        <v>14</v>
      </c>
      <c r="C13" s="3" t="s">
        <v>8</v>
      </c>
      <c r="D13" s="3" t="s">
        <v>12</v>
      </c>
      <c r="E13" s="4">
        <v>65000</v>
      </c>
      <c r="F13" s="4">
        <v>533</v>
      </c>
      <c r="G13" s="3" t="s">
        <v>15</v>
      </c>
      <c r="H13" s="3" t="s">
        <v>11</v>
      </c>
      <c r="I13" s="5">
        <v>45688</v>
      </c>
    </row>
    <row r="14" spans="2:9">
      <c r="B14" s="3">
        <v>11</v>
      </c>
      <c r="C14" s="3" t="s">
        <v>8</v>
      </c>
      <c r="D14" s="3" t="s">
        <v>12</v>
      </c>
      <c r="E14" s="4">
        <v>45000</v>
      </c>
      <c r="F14" s="4">
        <v>541</v>
      </c>
      <c r="G14" s="3" t="s">
        <v>15</v>
      </c>
      <c r="H14" s="3" t="s">
        <v>11</v>
      </c>
      <c r="I14" s="5">
        <v>45685</v>
      </c>
    </row>
    <row r="15" spans="2:9">
      <c r="B15" s="3">
        <v>2</v>
      </c>
      <c r="C15" s="3" t="s">
        <v>8</v>
      </c>
      <c r="D15" s="3" t="s">
        <v>12</v>
      </c>
      <c r="E15" s="4">
        <v>130000</v>
      </c>
      <c r="F15" s="4">
        <v>553</v>
      </c>
      <c r="G15" s="3" t="s">
        <v>17</v>
      </c>
      <c r="H15" s="3" t="s">
        <v>11</v>
      </c>
      <c r="I15" s="5">
        <v>45676</v>
      </c>
    </row>
    <row r="16" spans="2:9">
      <c r="B16" s="3">
        <v>17</v>
      </c>
      <c r="C16" s="3" t="s">
        <v>8</v>
      </c>
      <c r="D16" s="3" t="s">
        <v>12</v>
      </c>
      <c r="E16" s="4">
        <v>29300</v>
      </c>
      <c r="F16" s="4">
        <v>555</v>
      </c>
      <c r="G16" s="3" t="s">
        <v>13</v>
      </c>
      <c r="H16" s="3" t="s">
        <v>11</v>
      </c>
      <c r="I16" s="5">
        <v>45691</v>
      </c>
    </row>
    <row r="17" spans="2:9">
      <c r="B17" s="3">
        <v>15</v>
      </c>
      <c r="C17" s="3" t="s">
        <v>8</v>
      </c>
      <c r="D17" s="3" t="s">
        <v>12</v>
      </c>
      <c r="E17" s="4">
        <v>35000</v>
      </c>
      <c r="F17" s="4">
        <v>617</v>
      </c>
      <c r="G17" s="3" t="s">
        <v>17</v>
      </c>
      <c r="H17" s="3" t="s">
        <v>11</v>
      </c>
      <c r="I17" s="5">
        <v>45689</v>
      </c>
    </row>
    <row r="18" spans="2:9">
      <c r="B18" s="3">
        <v>16</v>
      </c>
      <c r="C18" s="3" t="s">
        <v>8</v>
      </c>
      <c r="D18" s="3" t="s">
        <v>12</v>
      </c>
      <c r="E18" s="4">
        <v>30000</v>
      </c>
      <c r="F18" s="4">
        <v>623</v>
      </c>
      <c r="G18" s="3" t="s">
        <v>13</v>
      </c>
      <c r="H18" s="3" t="s">
        <v>11</v>
      </c>
      <c r="I18" s="5">
        <v>45690</v>
      </c>
    </row>
    <row r="19" spans="2:9">
      <c r="B19" s="3">
        <v>10</v>
      </c>
      <c r="C19" s="3" t="s">
        <v>8</v>
      </c>
      <c r="D19" s="3" t="s">
        <v>12</v>
      </c>
      <c r="E19" s="4">
        <v>20000</v>
      </c>
      <c r="F19" s="4">
        <v>650</v>
      </c>
      <c r="G19" s="3" t="s">
        <v>15</v>
      </c>
      <c r="H19" s="3" t="s">
        <v>11</v>
      </c>
      <c r="I19" s="5">
        <v>45684</v>
      </c>
    </row>
    <row r="20" spans="2:9">
      <c r="B20" s="3">
        <v>20</v>
      </c>
      <c r="C20" s="3" t="s">
        <v>18</v>
      </c>
      <c r="D20" s="3" t="s">
        <v>12</v>
      </c>
      <c r="E20" s="4">
        <v>20000</v>
      </c>
      <c r="F20" s="4">
        <v>671</v>
      </c>
      <c r="G20" s="3" t="s">
        <v>19</v>
      </c>
      <c r="H20" s="3" t="s">
        <v>11</v>
      </c>
      <c r="I20" s="5">
        <v>45694</v>
      </c>
    </row>
    <row r="21" spans="2:9">
      <c r="B21" s="3">
        <v>18</v>
      </c>
      <c r="C21" s="3" t="s">
        <v>18</v>
      </c>
      <c r="D21" s="3" t="s">
        <v>12</v>
      </c>
      <c r="E21" s="4">
        <v>39000</v>
      </c>
      <c r="F21" s="4">
        <v>799</v>
      </c>
      <c r="G21" s="3" t="s">
        <v>16</v>
      </c>
      <c r="H21" s="3" t="s">
        <v>11</v>
      </c>
      <c r="I21" s="5">
        <v>45692</v>
      </c>
    </row>
    <row r="22" spans="2:9">
      <c r="B22" s="3">
        <v>29</v>
      </c>
      <c r="C22" s="3" t="s">
        <v>18</v>
      </c>
      <c r="D22" s="3" t="s">
        <v>9</v>
      </c>
      <c r="E22" s="4">
        <v>20000</v>
      </c>
      <c r="F22" s="4">
        <v>800</v>
      </c>
      <c r="G22" s="3" t="s">
        <v>14</v>
      </c>
      <c r="H22" s="3" t="s">
        <v>11</v>
      </c>
      <c r="I22" s="5">
        <v>45703</v>
      </c>
    </row>
    <row r="23" spans="2:9">
      <c r="B23" s="3">
        <v>31</v>
      </c>
      <c r="C23" s="3" t="s">
        <v>18</v>
      </c>
      <c r="D23" s="3" t="s">
        <v>12</v>
      </c>
      <c r="E23" s="4">
        <v>30000</v>
      </c>
      <c r="F23" s="4">
        <v>851</v>
      </c>
      <c r="G23" s="3" t="s">
        <v>15</v>
      </c>
      <c r="H23" s="3" t="s">
        <v>11</v>
      </c>
      <c r="I23" s="5">
        <v>45705</v>
      </c>
    </row>
    <row r="24" spans="2:9">
      <c r="B24" s="3">
        <v>24</v>
      </c>
      <c r="C24" s="3" t="s">
        <v>18</v>
      </c>
      <c r="D24" s="3" t="s">
        <v>9</v>
      </c>
      <c r="E24" s="4">
        <v>30000</v>
      </c>
      <c r="F24" s="4">
        <v>893</v>
      </c>
      <c r="G24" s="3" t="s">
        <v>15</v>
      </c>
      <c r="H24" s="3" t="s">
        <v>11</v>
      </c>
      <c r="I24" s="5">
        <v>45698</v>
      </c>
    </row>
    <row r="25" spans="2:9">
      <c r="B25" s="3">
        <v>19</v>
      </c>
      <c r="C25" s="3" t="s">
        <v>18</v>
      </c>
      <c r="D25" s="3" t="s">
        <v>12</v>
      </c>
      <c r="E25" s="4">
        <v>15000</v>
      </c>
      <c r="F25" s="4">
        <v>898</v>
      </c>
      <c r="G25" s="3" t="s">
        <v>17</v>
      </c>
      <c r="H25" s="3" t="s">
        <v>11</v>
      </c>
      <c r="I25" s="5">
        <v>45693</v>
      </c>
    </row>
    <row r="26" spans="2:9">
      <c r="B26" s="3">
        <v>25</v>
      </c>
      <c r="C26" s="3" t="s">
        <v>18</v>
      </c>
      <c r="D26" s="3" t="s">
        <v>12</v>
      </c>
      <c r="E26" s="4">
        <v>36000</v>
      </c>
      <c r="F26" s="4">
        <v>913</v>
      </c>
      <c r="G26" s="3" t="s">
        <v>15</v>
      </c>
      <c r="H26" s="3" t="s">
        <v>11</v>
      </c>
      <c r="I26" s="5">
        <v>45699</v>
      </c>
    </row>
    <row r="27" spans="2:9">
      <c r="B27" s="3">
        <v>30</v>
      </c>
      <c r="C27" s="3" t="s">
        <v>18</v>
      </c>
      <c r="D27" s="3" t="s">
        <v>12</v>
      </c>
      <c r="E27" s="4">
        <v>30000</v>
      </c>
      <c r="F27" s="4">
        <v>957</v>
      </c>
      <c r="G27" s="3" t="s">
        <v>15</v>
      </c>
      <c r="H27" s="3" t="s">
        <v>11</v>
      </c>
      <c r="I27" s="5">
        <v>45704</v>
      </c>
    </row>
    <row r="28" spans="2:9">
      <c r="B28" s="3">
        <v>32</v>
      </c>
      <c r="C28" s="3" t="s">
        <v>18</v>
      </c>
      <c r="D28" s="3" t="s">
        <v>12</v>
      </c>
      <c r="E28" s="4">
        <v>8000</v>
      </c>
      <c r="F28" s="4">
        <v>991</v>
      </c>
      <c r="G28" s="3" t="s">
        <v>13</v>
      </c>
      <c r="H28" s="3" t="s">
        <v>11</v>
      </c>
      <c r="I28" s="5">
        <v>45706</v>
      </c>
    </row>
    <row r="29" spans="2:9">
      <c r="B29" s="3">
        <v>28</v>
      </c>
      <c r="C29" s="3" t="s">
        <v>18</v>
      </c>
      <c r="D29" s="3" t="s">
        <v>12</v>
      </c>
      <c r="E29" s="4">
        <v>16000</v>
      </c>
      <c r="F29" s="4">
        <v>1003</v>
      </c>
      <c r="G29" s="3" t="s">
        <v>15</v>
      </c>
      <c r="H29" s="3" t="s">
        <v>11</v>
      </c>
      <c r="I29" s="5">
        <v>45702</v>
      </c>
    </row>
    <row r="30" spans="2:9">
      <c r="B30" s="3">
        <v>34</v>
      </c>
      <c r="C30" s="3" t="s">
        <v>18</v>
      </c>
      <c r="D30" s="3" t="s">
        <v>12</v>
      </c>
      <c r="E30" s="4">
        <v>3000</v>
      </c>
      <c r="F30" s="4">
        <v>1011</v>
      </c>
      <c r="G30" s="3" t="s">
        <v>13</v>
      </c>
      <c r="H30" s="3" t="s">
        <v>11</v>
      </c>
      <c r="I30" s="5">
        <v>45708</v>
      </c>
    </row>
    <row r="31" spans="2:9">
      <c r="B31" s="3">
        <v>21</v>
      </c>
      <c r="C31" s="3" t="s">
        <v>18</v>
      </c>
      <c r="D31" s="3" t="s">
        <v>9</v>
      </c>
      <c r="E31" s="4">
        <v>18000</v>
      </c>
      <c r="F31" s="4">
        <v>1033</v>
      </c>
      <c r="G31" s="3" t="s">
        <v>15</v>
      </c>
      <c r="H31" s="3" t="s">
        <v>11</v>
      </c>
      <c r="I31" s="5">
        <v>45695</v>
      </c>
    </row>
    <row r="32" spans="2:9">
      <c r="B32" s="3">
        <v>26</v>
      </c>
      <c r="C32" s="3" t="s">
        <v>18</v>
      </c>
      <c r="D32" s="3" t="s">
        <v>12</v>
      </c>
      <c r="E32" s="4">
        <v>18000</v>
      </c>
      <c r="F32" s="4">
        <v>1037</v>
      </c>
      <c r="G32" s="3" t="s">
        <v>15</v>
      </c>
      <c r="H32" s="3" t="s">
        <v>11</v>
      </c>
      <c r="I32" s="5">
        <v>45700</v>
      </c>
    </row>
    <row r="33" spans="2:9">
      <c r="B33" s="3">
        <v>27</v>
      </c>
      <c r="C33" s="3" t="s">
        <v>18</v>
      </c>
      <c r="D33" s="3" t="s">
        <v>12</v>
      </c>
      <c r="E33" s="4">
        <v>10000</v>
      </c>
      <c r="F33" s="4">
        <v>1091</v>
      </c>
      <c r="G33" s="3" t="s">
        <v>15</v>
      </c>
      <c r="H33" s="3" t="s">
        <v>11</v>
      </c>
      <c r="I33" s="5">
        <v>45701</v>
      </c>
    </row>
    <row r="34" spans="2:9">
      <c r="B34" s="3">
        <v>22</v>
      </c>
      <c r="C34" s="3" t="s">
        <v>18</v>
      </c>
      <c r="D34" s="3" t="s">
        <v>12</v>
      </c>
      <c r="E34" s="4">
        <v>34000</v>
      </c>
      <c r="F34" s="4">
        <v>1103</v>
      </c>
      <c r="G34" s="3" t="s">
        <v>13</v>
      </c>
      <c r="H34" s="3" t="s">
        <v>11</v>
      </c>
      <c r="I34" s="5">
        <v>45696</v>
      </c>
    </row>
    <row r="35" spans="2:9">
      <c r="B35" s="3">
        <v>33</v>
      </c>
      <c r="C35" s="3" t="s">
        <v>18</v>
      </c>
      <c r="D35" s="3" t="s">
        <v>12</v>
      </c>
      <c r="E35" s="4">
        <v>1200</v>
      </c>
      <c r="F35" s="4">
        <v>1131</v>
      </c>
      <c r="G35" s="3" t="s">
        <v>13</v>
      </c>
      <c r="H35" s="3" t="s">
        <v>11</v>
      </c>
      <c r="I35" s="5">
        <v>45707</v>
      </c>
    </row>
    <row r="36" spans="2:9">
      <c r="B36" s="3">
        <v>23</v>
      </c>
      <c r="C36" s="3" t="s">
        <v>18</v>
      </c>
      <c r="D36" s="3" t="s">
        <v>12</v>
      </c>
      <c r="E36" s="4">
        <v>10000</v>
      </c>
      <c r="F36" s="4">
        <v>1209</v>
      </c>
      <c r="G36" s="3" t="s">
        <v>13</v>
      </c>
      <c r="H36" s="3" t="s">
        <v>11</v>
      </c>
      <c r="I36" s="5">
        <v>45697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E996-B957-44D9-8CA4-137D37163777}">
  <sheetPr codeName="Sheet4"/>
  <dimension ref="A2:Q43"/>
  <sheetViews>
    <sheetView workbookViewId="0">
      <selection activeCell="K30" sqref="K30"/>
    </sheetView>
  </sheetViews>
  <sheetFormatPr defaultRowHeight="17"/>
  <cols>
    <col min="1" max="1" width="1.58203125" customWidth="1"/>
    <col min="4" max="4" width="14.33203125" bestFit="1" customWidth="1"/>
    <col min="5" max="5" width="14.33203125" customWidth="1"/>
    <col min="6" max="7" width="9.9140625" customWidth="1"/>
    <col min="8" max="8" width="10.9140625" customWidth="1"/>
    <col min="9" max="9" width="13" customWidth="1"/>
    <col min="11" max="11" width="14.5" bestFit="1" customWidth="1"/>
    <col min="12" max="12" width="12.1640625" customWidth="1"/>
    <col min="13" max="13" width="11.4140625" customWidth="1"/>
  </cols>
  <sheetData>
    <row r="2" spans="1:17">
      <c r="B2" s="27" t="s">
        <v>20</v>
      </c>
      <c r="C2" s="27"/>
      <c r="D2" s="27"/>
      <c r="E2" s="27"/>
      <c r="F2" s="27"/>
      <c r="G2" s="27"/>
      <c r="H2" s="28" t="s">
        <v>82</v>
      </c>
      <c r="I2" s="29">
        <v>46022</v>
      </c>
      <c r="J2" s="27"/>
      <c r="K2" s="7"/>
      <c r="L2" s="7"/>
      <c r="M2" s="7"/>
      <c r="N2" s="27"/>
      <c r="O2" s="27"/>
      <c r="P2" s="27"/>
      <c r="Q2" s="27"/>
    </row>
    <row r="3" spans="1:17">
      <c r="A3" s="27"/>
      <c r="B3" s="30" t="s">
        <v>21</v>
      </c>
      <c r="C3" s="30" t="s">
        <v>22</v>
      </c>
      <c r="D3" s="30" t="s">
        <v>23</v>
      </c>
      <c r="E3" s="30" t="s">
        <v>83</v>
      </c>
      <c r="F3" s="30" t="s">
        <v>84</v>
      </c>
      <c r="G3" s="30" t="s">
        <v>85</v>
      </c>
      <c r="H3" s="8" t="s">
        <v>86</v>
      </c>
      <c r="I3" s="8" t="s">
        <v>24</v>
      </c>
      <c r="J3" s="27"/>
      <c r="K3" s="31" t="s">
        <v>25</v>
      </c>
      <c r="L3" s="7"/>
      <c r="M3" s="7"/>
      <c r="N3" s="27"/>
      <c r="O3" s="27"/>
      <c r="P3" s="27"/>
      <c r="Q3" s="27"/>
    </row>
    <row r="4" spans="1:17">
      <c r="A4" s="27"/>
      <c r="B4" s="32" t="s">
        <v>87</v>
      </c>
      <c r="C4" s="33" t="s">
        <v>88</v>
      </c>
      <c r="D4" s="33" t="s">
        <v>27</v>
      </c>
      <c r="E4" s="34">
        <v>45326</v>
      </c>
      <c r="F4" s="33">
        <v>70</v>
      </c>
      <c r="G4" s="33">
        <v>80</v>
      </c>
      <c r="H4" s="33"/>
      <c r="I4" s="3"/>
      <c r="J4" s="27"/>
      <c r="K4" s="30" t="s">
        <v>23</v>
      </c>
      <c r="L4" s="8" t="s">
        <v>26</v>
      </c>
      <c r="M4" s="8" t="s">
        <v>28</v>
      </c>
      <c r="N4" s="8" t="s">
        <v>33</v>
      </c>
      <c r="O4" s="27"/>
      <c r="P4" s="27"/>
      <c r="Q4" s="27"/>
    </row>
    <row r="5" spans="1:17">
      <c r="A5" s="27"/>
      <c r="B5" s="32" t="s">
        <v>89</v>
      </c>
      <c r="C5" s="3" t="s">
        <v>90</v>
      </c>
      <c r="D5" s="3" t="s">
        <v>29</v>
      </c>
      <c r="E5" s="35">
        <v>45047</v>
      </c>
      <c r="F5" s="33">
        <v>70</v>
      </c>
      <c r="G5" s="33">
        <v>97</v>
      </c>
      <c r="H5" s="33"/>
      <c r="I5" s="3"/>
      <c r="J5" s="27"/>
      <c r="K5" s="33" t="s">
        <v>91</v>
      </c>
      <c r="L5" s="36"/>
      <c r="M5" s="36"/>
      <c r="N5" s="36"/>
      <c r="O5" s="27"/>
      <c r="P5" s="27"/>
      <c r="Q5" s="27"/>
    </row>
    <row r="6" spans="1:17">
      <c r="A6" s="27"/>
      <c r="B6" s="32" t="s">
        <v>92</v>
      </c>
      <c r="C6" s="3" t="s">
        <v>90</v>
      </c>
      <c r="D6" s="3" t="s">
        <v>30</v>
      </c>
      <c r="E6" s="35">
        <v>45416</v>
      </c>
      <c r="F6" s="33">
        <v>70</v>
      </c>
      <c r="G6" s="33">
        <v>98</v>
      </c>
      <c r="H6" s="33"/>
      <c r="I6" s="3"/>
      <c r="J6" s="27"/>
      <c r="K6" s="3" t="s">
        <v>31</v>
      </c>
      <c r="L6" s="36"/>
      <c r="M6" s="36"/>
      <c r="N6" s="36"/>
      <c r="O6" s="27"/>
      <c r="P6" s="27"/>
      <c r="Q6" s="27"/>
    </row>
    <row r="7" spans="1:17">
      <c r="A7" s="27"/>
      <c r="B7" s="32" t="s">
        <v>93</v>
      </c>
      <c r="C7" s="3" t="s">
        <v>88</v>
      </c>
      <c r="D7" s="3" t="s">
        <v>29</v>
      </c>
      <c r="E7" s="35">
        <v>45662</v>
      </c>
      <c r="F7" s="33">
        <v>90</v>
      </c>
      <c r="G7" s="33">
        <v>100</v>
      </c>
      <c r="H7" s="33"/>
      <c r="I7" s="3"/>
      <c r="J7" s="27"/>
      <c r="K7" s="3" t="s">
        <v>94</v>
      </c>
      <c r="L7" s="36"/>
      <c r="M7" s="36"/>
      <c r="N7" s="36"/>
      <c r="O7" s="27"/>
      <c r="P7" s="27"/>
      <c r="Q7" s="27"/>
    </row>
    <row r="8" spans="1:17">
      <c r="A8" s="27"/>
      <c r="B8" s="32" t="s">
        <v>95</v>
      </c>
      <c r="C8" s="3" t="s">
        <v>96</v>
      </c>
      <c r="D8" s="3" t="s">
        <v>30</v>
      </c>
      <c r="E8" s="35">
        <v>45545</v>
      </c>
      <c r="F8" s="33">
        <v>69</v>
      </c>
      <c r="G8" s="33">
        <v>99</v>
      </c>
      <c r="H8" s="33"/>
      <c r="I8" s="3"/>
      <c r="J8" s="27"/>
      <c r="K8" s="7"/>
      <c r="L8" s="7"/>
      <c r="M8" s="7"/>
      <c r="N8" s="27"/>
      <c r="O8" s="27"/>
      <c r="P8" s="27"/>
      <c r="Q8" s="27"/>
    </row>
    <row r="9" spans="1:17">
      <c r="A9" s="27"/>
      <c r="B9" s="32" t="s">
        <v>97</v>
      </c>
      <c r="C9" s="3" t="s">
        <v>90</v>
      </c>
      <c r="D9" s="3" t="s">
        <v>27</v>
      </c>
      <c r="E9" s="35">
        <v>45276</v>
      </c>
      <c r="F9" s="33">
        <v>69</v>
      </c>
      <c r="G9" s="33">
        <v>55</v>
      </c>
      <c r="H9" s="33"/>
      <c r="I9" s="3"/>
      <c r="J9" s="27"/>
      <c r="K9" s="31" t="s">
        <v>32</v>
      </c>
      <c r="L9" s="7"/>
      <c r="M9" s="7"/>
      <c r="N9" s="27"/>
      <c r="O9" s="27"/>
      <c r="P9" s="27"/>
      <c r="Q9" s="27"/>
    </row>
    <row r="10" spans="1:17">
      <c r="A10" s="27"/>
      <c r="B10" s="32" t="s">
        <v>98</v>
      </c>
      <c r="C10" s="3" t="s">
        <v>99</v>
      </c>
      <c r="D10" s="3" t="s">
        <v>30</v>
      </c>
      <c r="E10" s="35">
        <v>45239</v>
      </c>
      <c r="F10" s="33">
        <v>69</v>
      </c>
      <c r="G10" s="33">
        <v>58</v>
      </c>
      <c r="H10" s="33"/>
      <c r="I10" s="3"/>
      <c r="J10" s="27"/>
      <c r="K10" s="30" t="s">
        <v>100</v>
      </c>
      <c r="L10" s="8" t="s">
        <v>84</v>
      </c>
      <c r="M10" s="8" t="s">
        <v>85</v>
      </c>
      <c r="N10" s="27"/>
      <c r="O10" s="27"/>
      <c r="P10" s="27"/>
      <c r="Q10" s="27"/>
    </row>
    <row r="11" spans="1:17">
      <c r="A11" s="27"/>
      <c r="B11" s="32" t="s">
        <v>101</v>
      </c>
      <c r="C11" s="3" t="s">
        <v>99</v>
      </c>
      <c r="D11" s="3" t="s">
        <v>30</v>
      </c>
      <c r="E11" s="35">
        <v>45301</v>
      </c>
      <c r="F11" s="33">
        <v>70</v>
      </c>
      <c r="G11" s="33">
        <v>95</v>
      </c>
      <c r="H11" s="33"/>
      <c r="I11" s="3"/>
      <c r="J11" s="27"/>
      <c r="K11" s="37" t="s">
        <v>102</v>
      </c>
      <c r="L11" s="37"/>
      <c r="M11" s="37"/>
      <c r="N11" s="27"/>
      <c r="O11" s="27"/>
      <c r="P11" s="27"/>
      <c r="Q11" s="27"/>
    </row>
    <row r="12" spans="1:17">
      <c r="A12" s="27"/>
      <c r="B12" s="32" t="s">
        <v>103</v>
      </c>
      <c r="C12" s="3" t="s">
        <v>90</v>
      </c>
      <c r="D12" s="3" t="s">
        <v>29</v>
      </c>
      <c r="E12" s="35">
        <v>45418</v>
      </c>
      <c r="F12" s="33">
        <v>69</v>
      </c>
      <c r="G12" s="33">
        <v>78</v>
      </c>
      <c r="H12" s="33"/>
      <c r="I12" s="3"/>
      <c r="J12" s="27"/>
      <c r="K12" s="37" t="s">
        <v>104</v>
      </c>
      <c r="L12" s="37"/>
      <c r="M12" s="37"/>
      <c r="N12" s="27"/>
      <c r="O12" s="27"/>
      <c r="P12" s="27"/>
      <c r="Q12" s="27"/>
    </row>
    <row r="13" spans="1:17">
      <c r="A13" s="27"/>
      <c r="B13" s="32" t="s">
        <v>105</v>
      </c>
      <c r="C13" s="3" t="s">
        <v>99</v>
      </c>
      <c r="D13" s="3" t="s">
        <v>30</v>
      </c>
      <c r="E13" s="35">
        <v>45206</v>
      </c>
      <c r="F13" s="33">
        <v>70</v>
      </c>
      <c r="G13" s="33">
        <v>74</v>
      </c>
      <c r="H13" s="33"/>
      <c r="I13" s="3"/>
      <c r="J13" s="27"/>
      <c r="K13" s="37" t="s">
        <v>106</v>
      </c>
      <c r="L13" s="37"/>
      <c r="M13" s="37"/>
      <c r="N13" s="27"/>
      <c r="O13" s="27"/>
      <c r="P13" s="27"/>
      <c r="Q13" s="27"/>
    </row>
    <row r="14" spans="1:17">
      <c r="A14" s="27"/>
      <c r="B14" s="32" t="s">
        <v>107</v>
      </c>
      <c r="C14" s="3" t="s">
        <v>99</v>
      </c>
      <c r="D14" s="3" t="s">
        <v>27</v>
      </c>
      <c r="E14" s="35">
        <v>45635</v>
      </c>
      <c r="F14" s="33">
        <v>71</v>
      </c>
      <c r="G14" s="33">
        <v>90</v>
      </c>
      <c r="H14" s="33"/>
      <c r="I14" s="3"/>
      <c r="J14" s="27"/>
      <c r="M14" s="7"/>
      <c r="N14" s="27"/>
      <c r="O14" s="27"/>
      <c r="P14" s="27"/>
      <c r="Q14" s="27"/>
    </row>
    <row r="15" spans="1:17">
      <c r="A15" s="27"/>
      <c r="B15" s="32" t="s">
        <v>108</v>
      </c>
      <c r="C15" s="3" t="s">
        <v>90</v>
      </c>
      <c r="D15" s="3" t="s">
        <v>29</v>
      </c>
      <c r="E15" s="35">
        <v>45579</v>
      </c>
      <c r="F15" s="33">
        <v>70</v>
      </c>
      <c r="G15" s="33">
        <v>98</v>
      </c>
      <c r="H15" s="33"/>
      <c r="I15" s="3"/>
      <c r="J15" s="27"/>
      <c r="K15" s="38" t="s">
        <v>109</v>
      </c>
      <c r="M15" s="7"/>
      <c r="N15" s="27"/>
      <c r="O15" s="27"/>
      <c r="P15" s="27"/>
      <c r="Q15" s="27"/>
    </row>
    <row r="16" spans="1:17">
      <c r="A16" s="27"/>
      <c r="B16" s="32" t="s">
        <v>110</v>
      </c>
      <c r="C16" s="3" t="s">
        <v>99</v>
      </c>
      <c r="D16" s="3" t="s">
        <v>27</v>
      </c>
      <c r="E16" s="35">
        <v>45264</v>
      </c>
      <c r="F16" s="33">
        <v>35</v>
      </c>
      <c r="G16" s="33">
        <v>75</v>
      </c>
      <c r="H16" s="33"/>
      <c r="I16" s="3"/>
      <c r="J16" s="27"/>
      <c r="K16" s="37" t="s">
        <v>111</v>
      </c>
      <c r="L16" s="8" t="s">
        <v>112</v>
      </c>
      <c r="M16" s="8" t="s">
        <v>113</v>
      </c>
      <c r="N16" s="8" t="s">
        <v>114</v>
      </c>
      <c r="O16" s="27"/>
      <c r="P16" s="27"/>
      <c r="Q16" s="27"/>
    </row>
    <row r="17" spans="1:17">
      <c r="A17" s="27"/>
      <c r="B17" s="32" t="s">
        <v>115</v>
      </c>
      <c r="C17" s="3" t="s">
        <v>90</v>
      </c>
      <c r="D17" s="3" t="s">
        <v>30</v>
      </c>
      <c r="E17" s="35">
        <v>45552</v>
      </c>
      <c r="F17" s="33">
        <v>69</v>
      </c>
      <c r="G17" s="33">
        <v>82</v>
      </c>
      <c r="H17" s="33"/>
      <c r="I17" s="3"/>
      <c r="J17" s="27"/>
      <c r="K17" s="39">
        <v>2023</v>
      </c>
      <c r="L17" s="40"/>
      <c r="M17" s="40"/>
      <c r="N17" s="40"/>
      <c r="O17" s="27"/>
      <c r="P17" s="27"/>
      <c r="Q17" s="27"/>
    </row>
    <row r="18" spans="1:17">
      <c r="A18" s="27"/>
      <c r="B18" s="32" t="s">
        <v>116</v>
      </c>
      <c r="C18" s="3" t="s">
        <v>88</v>
      </c>
      <c r="D18" s="3" t="s">
        <v>27</v>
      </c>
      <c r="E18" s="35">
        <v>45535</v>
      </c>
      <c r="F18" s="33">
        <v>90</v>
      </c>
      <c r="G18" s="33">
        <v>48</v>
      </c>
      <c r="H18" s="33"/>
      <c r="I18" s="3"/>
      <c r="J18" s="27"/>
      <c r="K18" s="39">
        <v>2024</v>
      </c>
      <c r="L18" s="40"/>
      <c r="M18" s="40"/>
      <c r="N18" s="40"/>
      <c r="O18" s="27"/>
      <c r="P18" s="27"/>
      <c r="Q18" s="27"/>
    </row>
    <row r="19" spans="1:17">
      <c r="A19" s="27"/>
      <c r="B19" s="32" t="s">
        <v>117</v>
      </c>
      <c r="C19" s="33" t="s">
        <v>99</v>
      </c>
      <c r="D19" s="3" t="s">
        <v>27</v>
      </c>
      <c r="E19" s="35">
        <v>45124</v>
      </c>
      <c r="F19" s="33">
        <v>70</v>
      </c>
      <c r="G19" s="33">
        <v>65</v>
      </c>
      <c r="H19" s="33"/>
      <c r="I19" s="3"/>
      <c r="J19" s="27"/>
      <c r="K19" s="39">
        <v>2025</v>
      </c>
      <c r="L19" s="40"/>
      <c r="M19" s="40"/>
      <c r="N19" s="40"/>
      <c r="O19" s="27"/>
      <c r="P19" s="27"/>
      <c r="Q19" s="27"/>
    </row>
    <row r="20" spans="1:17">
      <c r="A20" s="27"/>
      <c r="B20" s="32" t="s">
        <v>118</v>
      </c>
      <c r="C20" s="3" t="s">
        <v>96</v>
      </c>
      <c r="D20" s="3" t="s">
        <v>29</v>
      </c>
      <c r="E20" s="35">
        <v>45690</v>
      </c>
      <c r="F20" s="33">
        <v>70</v>
      </c>
      <c r="G20" s="33">
        <v>66</v>
      </c>
      <c r="H20" s="33"/>
      <c r="I20" s="3"/>
      <c r="J20" s="27"/>
      <c r="N20" s="27"/>
      <c r="O20" s="27"/>
      <c r="P20" s="27"/>
      <c r="Q20" s="27"/>
    </row>
    <row r="21" spans="1:17">
      <c r="A21" s="27"/>
      <c r="B21" s="32" t="s">
        <v>119</v>
      </c>
      <c r="C21" s="3" t="s">
        <v>96</v>
      </c>
      <c r="D21" s="3" t="s">
        <v>30</v>
      </c>
      <c r="E21" s="35">
        <v>45719</v>
      </c>
      <c r="F21" s="33">
        <v>40</v>
      </c>
      <c r="G21" s="33">
        <v>77</v>
      </c>
      <c r="H21" s="33"/>
      <c r="I21" s="3"/>
      <c r="J21" s="27"/>
      <c r="N21" s="27"/>
      <c r="O21" s="27"/>
      <c r="P21" s="27"/>
      <c r="Q21" s="27"/>
    </row>
    <row r="22" spans="1:17">
      <c r="A22" s="27"/>
      <c r="B22" s="32" t="s">
        <v>120</v>
      </c>
      <c r="C22" s="3" t="s">
        <v>99</v>
      </c>
      <c r="D22" s="3" t="s">
        <v>30</v>
      </c>
      <c r="E22" s="35">
        <v>45751</v>
      </c>
      <c r="F22" s="33">
        <v>70</v>
      </c>
      <c r="G22" s="33">
        <v>73</v>
      </c>
      <c r="H22" s="33"/>
      <c r="I22" s="3"/>
      <c r="J22" s="27"/>
      <c r="N22" s="27"/>
      <c r="O22" s="27"/>
      <c r="P22" s="27"/>
      <c r="Q22" s="27"/>
    </row>
    <row r="23" spans="1:17">
      <c r="A23" s="27"/>
      <c r="B23" s="32" t="s">
        <v>121</v>
      </c>
      <c r="C23" s="3" t="s">
        <v>96</v>
      </c>
      <c r="D23" s="3" t="s">
        <v>29</v>
      </c>
      <c r="E23" s="35">
        <v>45607</v>
      </c>
      <c r="F23" s="33">
        <v>70</v>
      </c>
      <c r="G23" s="33">
        <v>88</v>
      </c>
      <c r="H23" s="33"/>
      <c r="I23" s="3"/>
      <c r="J23" s="27"/>
      <c r="K23" s="27"/>
      <c r="L23" s="27"/>
      <c r="M23" s="27"/>
      <c r="N23" s="27"/>
      <c r="O23" s="27"/>
      <c r="P23" s="27"/>
      <c r="Q23" s="27"/>
    </row>
    <row r="24" spans="1:17">
      <c r="A24" s="27"/>
      <c r="B24" s="32" t="s">
        <v>122</v>
      </c>
      <c r="C24" s="3" t="s">
        <v>88</v>
      </c>
      <c r="D24" s="3" t="s">
        <v>29</v>
      </c>
      <c r="E24" s="35">
        <v>45575</v>
      </c>
      <c r="F24" s="33">
        <v>70</v>
      </c>
      <c r="G24" s="33">
        <v>84</v>
      </c>
      <c r="H24" s="33"/>
      <c r="I24" s="3"/>
      <c r="J24" s="27"/>
      <c r="K24" s="7"/>
      <c r="L24" s="7"/>
      <c r="M24" s="27"/>
      <c r="N24" s="27"/>
      <c r="O24" s="27"/>
      <c r="P24" s="27"/>
      <c r="Q24" s="27"/>
    </row>
    <row r="25" spans="1:17">
      <c r="A25" s="27"/>
      <c r="B25" s="32" t="s">
        <v>123</v>
      </c>
      <c r="C25" s="3" t="s">
        <v>99</v>
      </c>
      <c r="D25" s="3" t="s">
        <v>30</v>
      </c>
      <c r="E25" s="35">
        <v>45178</v>
      </c>
      <c r="F25" s="33">
        <v>68</v>
      </c>
      <c r="G25" s="33">
        <v>55</v>
      </c>
      <c r="H25" s="33"/>
      <c r="I25" s="3"/>
      <c r="J25" s="27"/>
      <c r="K25" s="7"/>
      <c r="L25" s="7"/>
      <c r="M25" s="27"/>
      <c r="N25" s="27"/>
      <c r="O25" s="27"/>
      <c r="P25" s="27"/>
      <c r="Q25" s="27"/>
    </row>
    <row r="26" spans="1:17">
      <c r="A26" s="27"/>
      <c r="B26" s="32" t="s">
        <v>124</v>
      </c>
      <c r="C26" s="3" t="s">
        <v>99</v>
      </c>
      <c r="D26" s="3" t="s">
        <v>27</v>
      </c>
      <c r="E26" s="35">
        <v>45146</v>
      </c>
      <c r="F26" s="33">
        <v>69</v>
      </c>
      <c r="G26" s="33">
        <v>93</v>
      </c>
      <c r="H26" s="33"/>
      <c r="I26" s="3"/>
      <c r="J26" s="27"/>
      <c r="K26" s="7"/>
      <c r="L26" s="7"/>
      <c r="M26" s="27"/>
      <c r="N26" s="27"/>
      <c r="O26" s="27"/>
      <c r="P26" s="27"/>
      <c r="Q26" s="27"/>
    </row>
    <row r="27" spans="1:17">
      <c r="A27" s="27"/>
      <c r="B27" s="32" t="s">
        <v>125</v>
      </c>
      <c r="C27" s="33" t="s">
        <v>90</v>
      </c>
      <c r="D27" s="3" t="s">
        <v>30</v>
      </c>
      <c r="E27" s="35">
        <v>45480</v>
      </c>
      <c r="F27" s="33">
        <v>70</v>
      </c>
      <c r="G27" s="33">
        <v>41</v>
      </c>
      <c r="H27" s="33"/>
      <c r="I27" s="3"/>
      <c r="J27" s="27"/>
      <c r="K27" s="7"/>
      <c r="L27" s="7"/>
      <c r="M27" s="7"/>
      <c r="N27" s="27"/>
      <c r="O27" s="27"/>
      <c r="P27" s="27"/>
      <c r="Q27" s="27"/>
    </row>
    <row r="28" spans="1:17">
      <c r="A28" s="27"/>
      <c r="B28" s="32" t="s">
        <v>126</v>
      </c>
      <c r="C28" s="3" t="s">
        <v>90</v>
      </c>
      <c r="D28" s="3" t="s">
        <v>30</v>
      </c>
      <c r="E28" s="35">
        <v>45449</v>
      </c>
      <c r="F28" s="33">
        <v>90</v>
      </c>
      <c r="G28" s="33">
        <v>70</v>
      </c>
      <c r="H28" s="33"/>
      <c r="I28" s="3"/>
      <c r="J28" s="27"/>
      <c r="K28" s="7"/>
      <c r="L28" s="7"/>
      <c r="M28" s="7"/>
      <c r="N28" s="27"/>
      <c r="O28" s="27"/>
      <c r="P28" s="27"/>
      <c r="Q28" s="27"/>
    </row>
    <row r="29" spans="1:17">
      <c r="A29" s="27"/>
      <c r="B29" s="32" t="s">
        <v>127</v>
      </c>
      <c r="C29" s="3" t="s">
        <v>88</v>
      </c>
      <c r="D29" s="3" t="s">
        <v>29</v>
      </c>
      <c r="E29" s="35">
        <v>45782</v>
      </c>
      <c r="F29" s="33">
        <v>69</v>
      </c>
      <c r="G29" s="33">
        <v>56</v>
      </c>
      <c r="H29" s="33"/>
      <c r="I29" s="3"/>
      <c r="J29" s="27"/>
      <c r="K29" s="7"/>
      <c r="L29" s="7"/>
      <c r="M29" s="7"/>
      <c r="N29" s="27"/>
      <c r="O29" s="27"/>
      <c r="P29" s="27"/>
      <c r="Q29" s="27"/>
    </row>
    <row r="30" spans="1:17">
      <c r="A30" s="27"/>
      <c r="B30" s="32" t="s">
        <v>128</v>
      </c>
      <c r="C30" s="33" t="s">
        <v>96</v>
      </c>
      <c r="D30" s="3" t="s">
        <v>29</v>
      </c>
      <c r="E30" s="35">
        <v>45751</v>
      </c>
      <c r="F30" s="33">
        <v>70</v>
      </c>
      <c r="G30" s="33">
        <v>88</v>
      </c>
      <c r="H30" s="33"/>
      <c r="I30" s="3"/>
      <c r="J30" s="27"/>
      <c r="K30" s="7"/>
      <c r="L30" s="7"/>
      <c r="M30" s="7"/>
      <c r="N30" s="27"/>
      <c r="O30" s="27"/>
      <c r="P30" s="27"/>
      <c r="Q30" s="27"/>
    </row>
    <row r="31" spans="1:17">
      <c r="A31" s="27"/>
      <c r="B31" s="32" t="s">
        <v>129</v>
      </c>
      <c r="C31" s="3" t="s">
        <v>90</v>
      </c>
      <c r="D31" s="3" t="s">
        <v>30</v>
      </c>
      <c r="E31" s="35">
        <v>45747</v>
      </c>
      <c r="F31" s="33">
        <v>67</v>
      </c>
      <c r="G31" s="33">
        <v>60</v>
      </c>
      <c r="H31" s="33"/>
      <c r="I31" s="3"/>
      <c r="J31" s="27"/>
      <c r="K31" s="7"/>
      <c r="L31" s="7"/>
      <c r="M31" s="7"/>
      <c r="N31" s="27"/>
      <c r="O31" s="27"/>
      <c r="P31" s="27"/>
      <c r="Q31" s="27"/>
    </row>
    <row r="32" spans="1:17">
      <c r="A32" s="27"/>
      <c r="B32" s="32" t="s">
        <v>130</v>
      </c>
      <c r="C32" s="3" t="s">
        <v>96</v>
      </c>
      <c r="D32" s="3" t="s">
        <v>27</v>
      </c>
      <c r="E32" s="35">
        <v>45690</v>
      </c>
      <c r="F32" s="33">
        <v>35</v>
      </c>
      <c r="G32" s="33">
        <v>69</v>
      </c>
      <c r="H32" s="33"/>
      <c r="I32" s="3"/>
      <c r="J32" s="27"/>
      <c r="K32" s="7"/>
      <c r="L32" s="7"/>
      <c r="M32" s="7"/>
      <c r="N32" s="27"/>
      <c r="O32" s="27"/>
      <c r="P32" s="27"/>
      <c r="Q32" s="27"/>
    </row>
    <row r="33" spans="1:17">
      <c r="A33" s="27"/>
      <c r="B33" s="32" t="s">
        <v>131</v>
      </c>
      <c r="C33" s="3" t="s">
        <v>99</v>
      </c>
      <c r="D33" s="3" t="s">
        <v>29</v>
      </c>
      <c r="E33" s="35">
        <v>45322</v>
      </c>
      <c r="F33" s="33">
        <v>69</v>
      </c>
      <c r="G33" s="33">
        <v>63</v>
      </c>
      <c r="H33" s="33"/>
      <c r="I33" s="3"/>
      <c r="J33" s="27"/>
      <c r="K33" s="7"/>
      <c r="L33" s="7"/>
      <c r="M33" s="7"/>
      <c r="N33" s="27"/>
      <c r="O33" s="27"/>
      <c r="P33" s="27"/>
      <c r="Q33" s="27"/>
    </row>
    <row r="34" spans="1:17">
      <c r="A34" s="27"/>
      <c r="B34" s="41"/>
      <c r="C34" s="7"/>
      <c r="D34" s="7"/>
      <c r="E34" s="7"/>
      <c r="F34" s="41"/>
      <c r="G34" s="41"/>
      <c r="H34" s="41"/>
      <c r="I34" s="7"/>
      <c r="J34" s="27"/>
      <c r="K34" s="7"/>
      <c r="L34" s="7"/>
      <c r="M34" s="7"/>
      <c r="N34" s="27"/>
      <c r="O34" s="27"/>
      <c r="P34" s="27"/>
      <c r="Q34" s="27"/>
    </row>
    <row r="35" spans="1:17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7"/>
      <c r="L35" s="7"/>
      <c r="M35" s="7"/>
      <c r="N35" s="27"/>
      <c r="O35" s="27"/>
      <c r="P35" s="27"/>
      <c r="Q35" s="27"/>
    </row>
    <row r="36" spans="1:17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7"/>
      <c r="L36" s="7"/>
      <c r="M36" s="7"/>
      <c r="N36" s="27"/>
      <c r="O36" s="27"/>
      <c r="P36" s="27"/>
      <c r="Q36" s="27"/>
    </row>
    <row r="37" spans="1:17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7"/>
      <c r="L37" s="7"/>
      <c r="M37" s="7"/>
      <c r="N37" s="27"/>
      <c r="O37" s="27"/>
      <c r="P37" s="27"/>
      <c r="Q37" s="27"/>
    </row>
    <row r="38" spans="1:17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7"/>
      <c r="L38" s="7"/>
      <c r="M38" s="7"/>
      <c r="N38" s="27"/>
      <c r="O38" s="27"/>
      <c r="P38" s="27"/>
      <c r="Q38" s="27"/>
    </row>
    <row r="39" spans="1:17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7"/>
      <c r="L39" s="7"/>
      <c r="M39" s="7"/>
      <c r="N39" s="27"/>
      <c r="O39" s="27"/>
      <c r="P39" s="27"/>
      <c r="Q39" s="27"/>
    </row>
    <row r="40" spans="1:17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7"/>
      <c r="L40" s="7"/>
      <c r="M40" s="7"/>
      <c r="N40" s="27"/>
      <c r="O40" s="27"/>
      <c r="P40" s="27"/>
      <c r="Q40" s="27"/>
    </row>
    <row r="41" spans="1:17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7"/>
      <c r="L41" s="7"/>
      <c r="M41" s="7"/>
      <c r="N41" s="27"/>
      <c r="O41" s="27"/>
      <c r="P41" s="27"/>
      <c r="Q41" s="27"/>
    </row>
    <row r="42" spans="1:17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7"/>
      <c r="L42" s="7"/>
      <c r="M42" s="7"/>
      <c r="N42" s="27"/>
      <c r="O42" s="27"/>
      <c r="P42" s="27"/>
      <c r="Q42" s="27"/>
    </row>
    <row r="43" spans="1:17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7"/>
      <c r="L43" s="7"/>
      <c r="M43" s="7"/>
      <c r="N43" s="27"/>
      <c r="O43" s="27"/>
      <c r="P43" s="27"/>
      <c r="Q43" s="2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F31"/>
  <sheetViews>
    <sheetView workbookViewId="0"/>
  </sheetViews>
  <sheetFormatPr defaultRowHeight="17"/>
  <sheetData>
    <row r="1" spans="1:6">
      <c r="A1" s="21" t="s">
        <v>34</v>
      </c>
      <c r="B1" s="21" t="s">
        <v>35</v>
      </c>
      <c r="C1" s="21" t="s">
        <v>36</v>
      </c>
      <c r="D1" s="21" t="s">
        <v>37</v>
      </c>
      <c r="E1" s="21" t="s">
        <v>38</v>
      </c>
      <c r="F1" s="21" t="s">
        <v>39</v>
      </c>
    </row>
    <row r="2" spans="1:6">
      <c r="A2" s="22" t="s">
        <v>40</v>
      </c>
      <c r="B2" s="22" t="s">
        <v>9</v>
      </c>
      <c r="C2" s="22">
        <v>10</v>
      </c>
      <c r="D2" s="22">
        <v>10</v>
      </c>
      <c r="E2" s="22">
        <v>500</v>
      </c>
      <c r="F2" s="22">
        <v>5</v>
      </c>
    </row>
    <row r="3" spans="1:6">
      <c r="A3" s="22" t="s">
        <v>40</v>
      </c>
      <c r="B3" s="23" t="s">
        <v>12</v>
      </c>
      <c r="C3" s="22">
        <v>10</v>
      </c>
      <c r="D3" s="22">
        <v>10</v>
      </c>
      <c r="E3" s="22">
        <v>200</v>
      </c>
      <c r="F3" s="22">
        <v>2</v>
      </c>
    </row>
    <row r="4" spans="1:6">
      <c r="A4" s="22" t="s">
        <v>40</v>
      </c>
      <c r="B4" s="22" t="s">
        <v>12</v>
      </c>
      <c r="C4" s="22">
        <v>10</v>
      </c>
      <c r="D4" s="22">
        <v>10</v>
      </c>
      <c r="E4" s="22">
        <v>100</v>
      </c>
      <c r="F4" s="22">
        <v>1</v>
      </c>
    </row>
    <row r="5" spans="1:6">
      <c r="A5" s="22" t="s">
        <v>41</v>
      </c>
      <c r="B5" s="22" t="s">
        <v>75</v>
      </c>
      <c r="C5" s="22">
        <v>50</v>
      </c>
      <c r="D5" s="22">
        <v>50</v>
      </c>
      <c r="E5" s="22">
        <v>1000</v>
      </c>
      <c r="F5" s="22">
        <v>10</v>
      </c>
    </row>
    <row r="6" spans="1:6">
      <c r="A6" s="22" t="s">
        <v>41</v>
      </c>
      <c r="B6" s="22" t="s">
        <v>9</v>
      </c>
      <c r="C6" s="22">
        <v>100</v>
      </c>
      <c r="D6" s="22">
        <v>100</v>
      </c>
      <c r="E6" s="22">
        <v>10000</v>
      </c>
      <c r="F6" s="22">
        <v>100</v>
      </c>
    </row>
    <row r="7" spans="1:6">
      <c r="A7" s="22" t="s">
        <v>41</v>
      </c>
      <c r="B7" s="22" t="s">
        <v>12</v>
      </c>
      <c r="C7" s="22">
        <v>10</v>
      </c>
      <c r="D7" s="22">
        <v>10</v>
      </c>
      <c r="E7" s="22">
        <v>2000</v>
      </c>
      <c r="F7" s="22">
        <v>20</v>
      </c>
    </row>
    <row r="8" spans="1:6">
      <c r="A8" s="22" t="s">
        <v>41</v>
      </c>
      <c r="B8" s="22" t="s">
        <v>75</v>
      </c>
      <c r="C8" s="22">
        <v>50</v>
      </c>
      <c r="D8" s="22">
        <v>50</v>
      </c>
      <c r="E8" s="22">
        <v>1500</v>
      </c>
      <c r="F8" s="22">
        <v>15</v>
      </c>
    </row>
    <row r="9" spans="1:6">
      <c r="A9" s="22" t="s">
        <v>41</v>
      </c>
      <c r="B9" s="24" t="s">
        <v>12</v>
      </c>
      <c r="C9" s="22">
        <v>50</v>
      </c>
      <c r="D9" s="22">
        <v>50</v>
      </c>
      <c r="E9" s="22">
        <v>2000</v>
      </c>
      <c r="F9" s="22">
        <v>20</v>
      </c>
    </row>
    <row r="10" spans="1:6">
      <c r="A10" s="22" t="s">
        <v>40</v>
      </c>
      <c r="B10" s="22" t="s">
        <v>12</v>
      </c>
      <c r="C10" s="22">
        <v>10</v>
      </c>
      <c r="D10" s="22">
        <v>10</v>
      </c>
      <c r="E10" s="22">
        <v>600</v>
      </c>
      <c r="F10" s="22">
        <v>6</v>
      </c>
    </row>
    <row r="11" spans="1:6">
      <c r="A11" s="22" t="s">
        <v>40</v>
      </c>
      <c r="B11" s="22" t="s">
        <v>12</v>
      </c>
      <c r="C11" s="22">
        <v>10</v>
      </c>
      <c r="D11" s="22">
        <v>10</v>
      </c>
      <c r="E11" s="22">
        <v>50</v>
      </c>
      <c r="F11" s="22">
        <v>5</v>
      </c>
    </row>
    <row r="12" spans="1:6">
      <c r="A12" s="22" t="s">
        <v>40</v>
      </c>
      <c r="B12" s="22" t="s">
        <v>75</v>
      </c>
      <c r="C12" s="22">
        <v>10</v>
      </c>
      <c r="D12" s="22">
        <v>0</v>
      </c>
      <c r="E12" s="22">
        <v>0</v>
      </c>
      <c r="F12" s="22">
        <v>0</v>
      </c>
    </row>
    <row r="13" spans="1:6">
      <c r="A13" s="22" t="s">
        <v>40</v>
      </c>
      <c r="B13" s="22" t="s">
        <v>12</v>
      </c>
      <c r="C13" s="22">
        <v>10</v>
      </c>
      <c r="D13" s="22">
        <v>20</v>
      </c>
      <c r="E13" s="22">
        <v>30</v>
      </c>
      <c r="F13" s="22">
        <v>3</v>
      </c>
    </row>
    <row r="14" spans="1:6">
      <c r="A14" s="22" t="s">
        <v>40</v>
      </c>
      <c r="B14" s="22" t="s">
        <v>12</v>
      </c>
      <c r="C14" s="22">
        <v>50</v>
      </c>
      <c r="D14" s="22">
        <v>5</v>
      </c>
      <c r="E14" s="22">
        <v>1000</v>
      </c>
      <c r="F14" s="22">
        <v>10</v>
      </c>
    </row>
    <row r="15" spans="1:6">
      <c r="A15" s="22" t="s">
        <v>41</v>
      </c>
      <c r="B15" s="23" t="s">
        <v>75</v>
      </c>
      <c r="C15" s="22">
        <v>50</v>
      </c>
      <c r="D15" s="22">
        <v>50</v>
      </c>
      <c r="E15" s="22">
        <v>0</v>
      </c>
      <c r="F15" s="22">
        <v>0</v>
      </c>
    </row>
    <row r="16" spans="1:6">
      <c r="A16" s="22" t="s">
        <v>41</v>
      </c>
      <c r="B16" s="22" t="s">
        <v>12</v>
      </c>
      <c r="C16" s="22">
        <v>10</v>
      </c>
      <c r="D16" s="22">
        <v>10</v>
      </c>
      <c r="E16" s="22">
        <v>20000</v>
      </c>
      <c r="F16" s="22">
        <v>20</v>
      </c>
    </row>
    <row r="17" spans="1:6">
      <c r="A17" s="22" t="s">
        <v>41</v>
      </c>
      <c r="B17" s="22" t="s">
        <v>12</v>
      </c>
      <c r="C17" s="22">
        <v>10</v>
      </c>
      <c r="D17" s="22">
        <v>10</v>
      </c>
      <c r="E17" s="22">
        <v>40000</v>
      </c>
      <c r="F17" s="22">
        <v>40</v>
      </c>
    </row>
    <row r="18" spans="1:6">
      <c r="A18" s="22" t="s">
        <v>41</v>
      </c>
      <c r="B18" s="22" t="s">
        <v>9</v>
      </c>
      <c r="C18" s="22">
        <v>50</v>
      </c>
      <c r="D18" s="22">
        <v>5</v>
      </c>
      <c r="E18" s="22">
        <v>30000</v>
      </c>
      <c r="F18" s="22">
        <v>30</v>
      </c>
    </row>
    <row r="19" spans="1:6">
      <c r="A19" s="22" t="s">
        <v>41</v>
      </c>
      <c r="B19" s="22" t="s">
        <v>12</v>
      </c>
      <c r="C19" s="22">
        <v>10</v>
      </c>
      <c r="D19" s="22">
        <v>10</v>
      </c>
      <c r="E19" s="22">
        <v>10000</v>
      </c>
      <c r="F19" s="22">
        <v>0</v>
      </c>
    </row>
    <row r="20" spans="1:6">
      <c r="A20" s="22" t="s">
        <v>40</v>
      </c>
      <c r="B20" s="22" t="s">
        <v>75</v>
      </c>
      <c r="C20" s="22">
        <v>50</v>
      </c>
      <c r="D20" s="22">
        <v>35</v>
      </c>
      <c r="E20" s="22">
        <v>10000</v>
      </c>
      <c r="F20" s="22">
        <v>10</v>
      </c>
    </row>
    <row r="21" spans="1:6">
      <c r="A21" s="22" t="s">
        <v>40</v>
      </c>
      <c r="B21" s="22" t="s">
        <v>9</v>
      </c>
      <c r="C21" s="22">
        <v>10</v>
      </c>
      <c r="D21" s="22">
        <v>10</v>
      </c>
      <c r="E21" s="22">
        <v>10000</v>
      </c>
      <c r="F21" s="22">
        <v>10</v>
      </c>
    </row>
    <row r="22" spans="1:6">
      <c r="A22" s="22" t="s">
        <v>40</v>
      </c>
      <c r="B22" s="24" t="s">
        <v>9</v>
      </c>
      <c r="C22" s="22">
        <v>20</v>
      </c>
      <c r="D22" s="22">
        <v>20</v>
      </c>
      <c r="E22" s="22">
        <v>40000</v>
      </c>
      <c r="F22" s="22">
        <v>40</v>
      </c>
    </row>
    <row r="23" spans="1:6">
      <c r="A23" s="22" t="s">
        <v>41</v>
      </c>
      <c r="B23" s="22" t="s">
        <v>75</v>
      </c>
      <c r="C23" s="22">
        <v>15</v>
      </c>
      <c r="D23" s="22">
        <v>15</v>
      </c>
      <c r="E23" s="22">
        <v>60000</v>
      </c>
      <c r="F23" s="22">
        <v>60</v>
      </c>
    </row>
    <row r="24" spans="1:6">
      <c r="A24" s="22" t="s">
        <v>41</v>
      </c>
      <c r="B24" s="22" t="s">
        <v>12</v>
      </c>
      <c r="C24" s="22">
        <v>15</v>
      </c>
      <c r="D24" s="22">
        <v>10</v>
      </c>
      <c r="E24" s="22">
        <v>200</v>
      </c>
      <c r="F24" s="22">
        <v>2</v>
      </c>
    </row>
    <row r="25" spans="1:6">
      <c r="A25" s="22" t="s">
        <v>41</v>
      </c>
      <c r="B25" s="22" t="s">
        <v>12</v>
      </c>
      <c r="C25" s="22">
        <v>15</v>
      </c>
      <c r="D25" s="22">
        <v>10</v>
      </c>
      <c r="E25" s="22">
        <v>10000</v>
      </c>
      <c r="F25" s="22">
        <v>10</v>
      </c>
    </row>
    <row r="26" spans="1:6">
      <c r="A26" s="22" t="s">
        <v>40</v>
      </c>
      <c r="B26" s="22" t="s">
        <v>12</v>
      </c>
      <c r="C26" s="22">
        <v>15</v>
      </c>
      <c r="D26" s="22">
        <v>10</v>
      </c>
      <c r="E26" s="22">
        <v>10000</v>
      </c>
      <c r="F26" s="22">
        <v>10</v>
      </c>
    </row>
    <row r="27" spans="1:6">
      <c r="A27" s="22" t="s">
        <v>40</v>
      </c>
      <c r="B27" s="24" t="s">
        <v>75</v>
      </c>
      <c r="C27" s="22">
        <v>10</v>
      </c>
      <c r="D27" s="22">
        <v>10</v>
      </c>
      <c r="E27" s="22">
        <v>100</v>
      </c>
      <c r="F27" s="22">
        <v>1</v>
      </c>
    </row>
    <row r="28" spans="1:6">
      <c r="A28" s="22" t="s">
        <v>40</v>
      </c>
      <c r="B28" s="22" t="s">
        <v>12</v>
      </c>
      <c r="C28" s="22">
        <v>10</v>
      </c>
      <c r="D28" s="22">
        <v>10</v>
      </c>
      <c r="E28" s="22">
        <v>600</v>
      </c>
      <c r="F28" s="22">
        <v>6</v>
      </c>
    </row>
    <row r="29" spans="1:6">
      <c r="A29" s="22" t="s">
        <v>40</v>
      </c>
      <c r="B29" s="23" t="s">
        <v>9</v>
      </c>
      <c r="C29" s="22">
        <v>40</v>
      </c>
      <c r="D29" s="22">
        <v>40</v>
      </c>
      <c r="E29" s="22">
        <v>8000</v>
      </c>
      <c r="F29" s="22">
        <v>80</v>
      </c>
    </row>
    <row r="30" spans="1:6">
      <c r="A30" s="22" t="s">
        <v>40</v>
      </c>
      <c r="B30" s="22" t="s">
        <v>12</v>
      </c>
      <c r="C30" s="22">
        <v>50</v>
      </c>
      <c r="D30" s="22">
        <v>50</v>
      </c>
      <c r="E30" s="22">
        <v>2000</v>
      </c>
      <c r="F30" s="22">
        <v>20</v>
      </c>
    </row>
    <row r="31" spans="1:6">
      <c r="A31" s="22" t="s">
        <v>41</v>
      </c>
      <c r="B31" s="22" t="s">
        <v>12</v>
      </c>
      <c r="C31" s="22">
        <v>10</v>
      </c>
      <c r="D31" s="22">
        <v>5</v>
      </c>
      <c r="E31" s="22">
        <v>0</v>
      </c>
      <c r="F31" s="22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N9"/>
  <sheetViews>
    <sheetView workbookViewId="0"/>
  </sheetViews>
  <sheetFormatPr defaultRowHeight="17"/>
  <sheetData>
    <row r="2" spans="2:14" ht="23">
      <c r="B2" s="25" t="s">
        <v>51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2:14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2:14">
      <c r="B4" s="11" t="s">
        <v>52</v>
      </c>
      <c r="C4" s="11" t="s">
        <v>53</v>
      </c>
      <c r="D4" s="11" t="s">
        <v>54</v>
      </c>
      <c r="E4" s="11" t="s">
        <v>55</v>
      </c>
      <c r="F4" s="11" t="s">
        <v>56</v>
      </c>
      <c r="G4" s="11" t="s">
        <v>57</v>
      </c>
      <c r="H4" s="11" t="s">
        <v>58</v>
      </c>
      <c r="I4" s="11" t="s">
        <v>59</v>
      </c>
      <c r="J4" s="11" t="s">
        <v>60</v>
      </c>
      <c r="K4" s="11" t="s">
        <v>61</v>
      </c>
      <c r="L4" s="11" t="s">
        <v>62</v>
      </c>
      <c r="M4" s="11" t="s">
        <v>63</v>
      </c>
      <c r="N4" s="11" t="s">
        <v>64</v>
      </c>
    </row>
    <row r="5" spans="2:14">
      <c r="B5" s="11" t="s">
        <v>74</v>
      </c>
      <c r="C5" s="11">
        <v>9</v>
      </c>
      <c r="D5" s="11">
        <v>32</v>
      </c>
      <c r="E5" s="11">
        <v>14</v>
      </c>
      <c r="F5" s="11">
        <v>4</v>
      </c>
      <c r="G5" s="11">
        <v>12</v>
      </c>
      <c r="H5" s="11">
        <v>13</v>
      </c>
      <c r="I5" s="11">
        <v>-7</v>
      </c>
      <c r="J5" s="12">
        <v>12</v>
      </c>
      <c r="K5" s="12">
        <v>10</v>
      </c>
      <c r="L5" s="12">
        <v>4</v>
      </c>
      <c r="M5" s="12">
        <v>-2</v>
      </c>
      <c r="N5" s="12">
        <v>6</v>
      </c>
    </row>
    <row r="6" spans="2:14">
      <c r="B6" s="11" t="s">
        <v>65</v>
      </c>
      <c r="C6" s="11">
        <v>17</v>
      </c>
      <c r="D6" s="11">
        <v>31</v>
      </c>
      <c r="E6" s="11">
        <v>5</v>
      </c>
      <c r="F6" s="11">
        <v>-8</v>
      </c>
      <c r="G6" s="11">
        <v>6</v>
      </c>
      <c r="H6" s="11">
        <v>11</v>
      </c>
      <c r="I6" s="11">
        <v>-10</v>
      </c>
      <c r="J6" s="11">
        <v>6</v>
      </c>
      <c r="K6" s="12">
        <v>14</v>
      </c>
      <c r="L6" s="12">
        <v>10</v>
      </c>
      <c r="M6" s="12">
        <v>-12</v>
      </c>
      <c r="N6" s="12">
        <v>-1</v>
      </c>
    </row>
    <row r="7" spans="2:14">
      <c r="B7" s="11" t="s">
        <v>66</v>
      </c>
      <c r="C7" s="11">
        <v>24</v>
      </c>
      <c r="D7" s="11">
        <v>40</v>
      </c>
      <c r="E7" s="11">
        <v>16</v>
      </c>
      <c r="F7" s="11">
        <v>-1</v>
      </c>
      <c r="G7" s="11">
        <v>5</v>
      </c>
      <c r="H7" s="11">
        <v>5</v>
      </c>
      <c r="I7" s="11">
        <v>-8</v>
      </c>
      <c r="J7" s="11">
        <v>25</v>
      </c>
      <c r="K7" s="12">
        <v>22</v>
      </c>
      <c r="L7" s="12">
        <v>9</v>
      </c>
      <c r="M7" s="12">
        <v>-1</v>
      </c>
      <c r="N7" s="12">
        <v>9</v>
      </c>
    </row>
    <row r="8" spans="2:14">
      <c r="B8" s="11" t="s">
        <v>67</v>
      </c>
      <c r="C8" s="11">
        <v>21</v>
      </c>
      <c r="D8" s="11">
        <v>33</v>
      </c>
      <c r="E8" s="11">
        <v>7</v>
      </c>
      <c r="F8" s="11">
        <v>-7</v>
      </c>
      <c r="G8" s="11">
        <v>8</v>
      </c>
      <c r="H8" s="11">
        <v>8</v>
      </c>
      <c r="I8" s="11">
        <v>-6</v>
      </c>
      <c r="J8" s="11">
        <v>10</v>
      </c>
      <c r="K8" s="12">
        <v>15</v>
      </c>
      <c r="L8" s="12">
        <v>11</v>
      </c>
      <c r="M8" s="12">
        <v>-4</v>
      </c>
      <c r="N8" s="12">
        <v>8</v>
      </c>
    </row>
    <row r="9" spans="2:14">
      <c r="B9" s="11" t="s">
        <v>68</v>
      </c>
      <c r="C9" s="11">
        <v>25</v>
      </c>
      <c r="D9" s="11">
        <v>41</v>
      </c>
      <c r="E9" s="11">
        <v>11</v>
      </c>
      <c r="F9" s="11">
        <v>-4</v>
      </c>
      <c r="G9" s="11">
        <v>7</v>
      </c>
      <c r="H9" s="11">
        <v>9</v>
      </c>
      <c r="I9" s="11">
        <v>-14</v>
      </c>
      <c r="J9" s="11">
        <v>20</v>
      </c>
      <c r="K9" s="12">
        <v>7</v>
      </c>
      <c r="L9" s="12">
        <v>5</v>
      </c>
      <c r="M9" s="12">
        <v>1</v>
      </c>
      <c r="N9" s="12">
        <v>11</v>
      </c>
    </row>
  </sheetData>
  <mergeCells count="1">
    <mergeCell ref="B2:N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G16"/>
  <sheetViews>
    <sheetView workbookViewId="0"/>
  </sheetViews>
  <sheetFormatPr defaultRowHeight="17"/>
  <cols>
    <col min="1" max="1" width="9.58203125" customWidth="1"/>
    <col min="2" max="2" width="10.75" bestFit="1" customWidth="1"/>
    <col min="3" max="7" width="9.58203125" customWidth="1"/>
  </cols>
  <sheetData>
    <row r="1" spans="2:7" ht="23">
      <c r="B1" s="26" t="s">
        <v>42</v>
      </c>
      <c r="C1" s="26"/>
      <c r="D1" s="26"/>
      <c r="E1" s="26"/>
      <c r="F1" s="26"/>
      <c r="G1" s="26"/>
    </row>
    <row r="2" spans="2:7">
      <c r="B2" s="6"/>
      <c r="C2" s="7"/>
      <c r="D2" s="6"/>
      <c r="E2" s="6"/>
      <c r="F2" s="6"/>
      <c r="G2" s="6"/>
    </row>
    <row r="3" spans="2:7">
      <c r="B3" s="1" t="s">
        <v>43</v>
      </c>
      <c r="C3" s="9" t="s">
        <v>44</v>
      </c>
      <c r="D3" s="9" t="s">
        <v>36</v>
      </c>
      <c r="E3" s="9" t="s">
        <v>45</v>
      </c>
      <c r="F3" s="9" t="s">
        <v>46</v>
      </c>
      <c r="G3" s="9" t="s">
        <v>47</v>
      </c>
    </row>
    <row r="4" spans="2:7">
      <c r="B4" s="19">
        <v>45662</v>
      </c>
      <c r="C4" s="17" t="s">
        <v>48</v>
      </c>
      <c r="D4" s="20">
        <v>6</v>
      </c>
      <c r="E4" s="20">
        <v>24</v>
      </c>
      <c r="F4" s="20">
        <f>(D4*E4)+4</f>
        <v>148</v>
      </c>
      <c r="G4" s="20">
        <f>INT(F4*0.1)</f>
        <v>14</v>
      </c>
    </row>
    <row r="5" spans="2:7">
      <c r="B5" s="19">
        <v>45663</v>
      </c>
      <c r="C5" s="17" t="s">
        <v>49</v>
      </c>
      <c r="D5" s="20">
        <v>11</v>
      </c>
      <c r="E5" s="20">
        <v>64</v>
      </c>
      <c r="F5" s="20">
        <f t="shared" ref="F5:F16" si="0">(D5*E5)+4</f>
        <v>708</v>
      </c>
      <c r="G5" s="20">
        <f t="shared" ref="G5:G16" si="1">INT(F5*0.1)</f>
        <v>70</v>
      </c>
    </row>
    <row r="6" spans="2:7">
      <c r="B6" s="19">
        <v>45664</v>
      </c>
      <c r="C6" s="17" t="s">
        <v>49</v>
      </c>
      <c r="D6" s="20">
        <v>6</v>
      </c>
      <c r="E6" s="20">
        <v>54</v>
      </c>
      <c r="F6" s="20">
        <f t="shared" si="0"/>
        <v>328</v>
      </c>
      <c r="G6" s="20">
        <f t="shared" si="1"/>
        <v>32</v>
      </c>
    </row>
    <row r="7" spans="2:7">
      <c r="B7" s="19">
        <v>45665</v>
      </c>
      <c r="C7" s="17" t="s">
        <v>50</v>
      </c>
      <c r="D7" s="20">
        <v>9</v>
      </c>
      <c r="E7" s="20">
        <v>204</v>
      </c>
      <c r="F7" s="20">
        <f t="shared" si="0"/>
        <v>1840</v>
      </c>
      <c r="G7" s="20">
        <f t="shared" si="1"/>
        <v>184</v>
      </c>
    </row>
    <row r="8" spans="2:7">
      <c r="B8" s="19">
        <v>45666</v>
      </c>
      <c r="C8" s="17" t="s">
        <v>49</v>
      </c>
      <c r="D8" s="20">
        <v>14</v>
      </c>
      <c r="E8" s="20">
        <v>104</v>
      </c>
      <c r="F8" s="20">
        <f t="shared" si="0"/>
        <v>1460</v>
      </c>
      <c r="G8" s="20">
        <f t="shared" si="1"/>
        <v>146</v>
      </c>
    </row>
    <row r="9" spans="2:7">
      <c r="B9" s="19">
        <v>45667</v>
      </c>
      <c r="C9" s="17" t="s">
        <v>49</v>
      </c>
      <c r="D9" s="20">
        <v>8</v>
      </c>
      <c r="E9" s="20">
        <v>204</v>
      </c>
      <c r="F9" s="20">
        <f t="shared" si="0"/>
        <v>1636</v>
      </c>
      <c r="G9" s="20">
        <f t="shared" si="1"/>
        <v>163</v>
      </c>
    </row>
    <row r="10" spans="2:7">
      <c r="B10" s="19">
        <v>45668</v>
      </c>
      <c r="C10" s="17" t="s">
        <v>50</v>
      </c>
      <c r="D10" s="20">
        <v>9</v>
      </c>
      <c r="E10" s="20">
        <v>304</v>
      </c>
      <c r="F10" s="20">
        <f t="shared" si="0"/>
        <v>2740</v>
      </c>
      <c r="G10" s="20">
        <f t="shared" si="1"/>
        <v>274</v>
      </c>
    </row>
    <row r="11" spans="2:7">
      <c r="B11" s="19">
        <v>45669</v>
      </c>
      <c r="C11" s="17" t="s">
        <v>48</v>
      </c>
      <c r="D11" s="20">
        <v>10</v>
      </c>
      <c r="E11" s="20">
        <v>404</v>
      </c>
      <c r="F11" s="20">
        <f t="shared" si="0"/>
        <v>4044</v>
      </c>
      <c r="G11" s="20">
        <f t="shared" si="1"/>
        <v>404</v>
      </c>
    </row>
    <row r="12" spans="2:7">
      <c r="B12" s="19">
        <v>45670</v>
      </c>
      <c r="C12" s="17" t="s">
        <v>48</v>
      </c>
      <c r="D12" s="20">
        <v>5</v>
      </c>
      <c r="E12" s="20">
        <v>604</v>
      </c>
      <c r="F12" s="20">
        <f t="shared" si="0"/>
        <v>3024</v>
      </c>
      <c r="G12" s="20">
        <f t="shared" si="1"/>
        <v>302</v>
      </c>
    </row>
    <row r="13" spans="2:7">
      <c r="B13" s="19">
        <v>45671</v>
      </c>
      <c r="C13" s="17" t="s">
        <v>50</v>
      </c>
      <c r="D13" s="20">
        <v>6</v>
      </c>
      <c r="E13" s="20">
        <v>29</v>
      </c>
      <c r="F13" s="20">
        <f t="shared" si="0"/>
        <v>178</v>
      </c>
      <c r="G13" s="20">
        <f t="shared" si="1"/>
        <v>17</v>
      </c>
    </row>
    <row r="14" spans="2:7">
      <c r="B14" s="19">
        <v>45672</v>
      </c>
      <c r="C14" s="17" t="s">
        <v>48</v>
      </c>
      <c r="D14" s="20">
        <v>12</v>
      </c>
      <c r="E14" s="20">
        <v>24</v>
      </c>
      <c r="F14" s="20">
        <f t="shared" si="0"/>
        <v>292</v>
      </c>
      <c r="G14" s="20">
        <f t="shared" si="1"/>
        <v>29</v>
      </c>
    </row>
    <row r="15" spans="2:7">
      <c r="B15" s="19">
        <v>45673</v>
      </c>
      <c r="C15" s="17" t="s">
        <v>48</v>
      </c>
      <c r="D15" s="20">
        <v>4</v>
      </c>
      <c r="E15" s="20">
        <v>34</v>
      </c>
      <c r="F15" s="20">
        <f t="shared" si="0"/>
        <v>140</v>
      </c>
      <c r="G15" s="20">
        <f t="shared" si="1"/>
        <v>14</v>
      </c>
    </row>
    <row r="16" spans="2:7">
      <c r="B16" s="19">
        <v>45674</v>
      </c>
      <c r="C16" s="17" t="s">
        <v>50</v>
      </c>
      <c r="D16" s="20">
        <v>9</v>
      </c>
      <c r="E16" s="20">
        <v>204</v>
      </c>
      <c r="F16" s="20">
        <f t="shared" si="0"/>
        <v>1840</v>
      </c>
      <c r="G16" s="20">
        <f t="shared" si="1"/>
        <v>184</v>
      </c>
    </row>
  </sheetData>
  <mergeCells count="1">
    <mergeCell ref="B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L11"/>
  <sheetViews>
    <sheetView workbookViewId="0"/>
  </sheetViews>
  <sheetFormatPr defaultRowHeight="17"/>
  <cols>
    <col min="2" max="4" width="12.1640625" customWidth="1"/>
    <col min="5" max="6" width="14.58203125" customWidth="1"/>
    <col min="11" max="11" width="15" bestFit="1" customWidth="1"/>
    <col min="12" max="12" width="11.6640625" bestFit="1" customWidth="1"/>
  </cols>
  <sheetData>
    <row r="2" spans="1:12">
      <c r="A2" s="6" t="s">
        <v>69</v>
      </c>
      <c r="B2" s="13"/>
      <c r="C2" s="14"/>
      <c r="D2" s="13"/>
      <c r="E2" s="13"/>
      <c r="F2" s="13"/>
    </row>
    <row r="3" spans="1:12">
      <c r="A3" s="6"/>
      <c r="B3" s="15" t="s">
        <v>70</v>
      </c>
      <c r="C3" s="16" t="s">
        <v>76</v>
      </c>
      <c r="D3" s="15" t="s">
        <v>72</v>
      </c>
      <c r="E3" s="15" t="s">
        <v>71</v>
      </c>
      <c r="F3" s="15" t="s">
        <v>73</v>
      </c>
      <c r="K3" s="1" t="s">
        <v>70</v>
      </c>
      <c r="L3" s="1" t="s">
        <v>72</v>
      </c>
    </row>
    <row r="4" spans="1:12">
      <c r="A4" s="6"/>
      <c r="B4" s="10"/>
      <c r="C4" s="17"/>
      <c r="D4" s="10"/>
      <c r="E4" s="10"/>
      <c r="F4" s="10"/>
      <c r="K4" s="20" t="s">
        <v>77</v>
      </c>
      <c r="L4" s="18">
        <v>5500000</v>
      </c>
    </row>
    <row r="5" spans="1:12">
      <c r="A5" s="6"/>
      <c r="B5" s="10"/>
      <c r="C5" s="17"/>
      <c r="D5" s="10"/>
      <c r="E5" s="10"/>
      <c r="F5" s="10"/>
      <c r="K5" s="20" t="s">
        <v>78</v>
      </c>
      <c r="L5" s="18">
        <v>14000000</v>
      </c>
    </row>
    <row r="6" spans="1:12">
      <c r="A6" s="6"/>
      <c r="B6" s="10"/>
      <c r="C6" s="17"/>
      <c r="D6" s="10"/>
      <c r="E6" s="10"/>
      <c r="F6" s="10"/>
      <c r="K6" s="20" t="s">
        <v>79</v>
      </c>
      <c r="L6" s="18">
        <v>17690000</v>
      </c>
    </row>
    <row r="7" spans="1:12">
      <c r="A7" s="6"/>
      <c r="B7" s="10"/>
      <c r="C7" s="17"/>
      <c r="D7" s="10"/>
      <c r="E7" s="10"/>
      <c r="F7" s="10"/>
      <c r="K7" s="20" t="s">
        <v>80</v>
      </c>
      <c r="L7" s="18">
        <v>26500000</v>
      </c>
    </row>
    <row r="8" spans="1:12">
      <c r="A8" s="6"/>
      <c r="B8" s="10"/>
      <c r="C8" s="17"/>
      <c r="D8" s="10"/>
      <c r="E8" s="10"/>
      <c r="F8" s="10"/>
      <c r="K8" s="20" t="s">
        <v>81</v>
      </c>
      <c r="L8" s="18">
        <v>64900000</v>
      </c>
    </row>
    <row r="9" spans="1:12">
      <c r="A9" s="6"/>
      <c r="B9" s="10"/>
      <c r="C9" s="17"/>
      <c r="D9" s="10"/>
      <c r="E9" s="10"/>
      <c r="F9" s="10"/>
    </row>
    <row r="10" spans="1:12">
      <c r="A10" s="6"/>
      <c r="B10" s="10"/>
      <c r="C10" s="17"/>
      <c r="D10" s="10"/>
      <c r="E10" s="10"/>
      <c r="F10" s="10"/>
    </row>
    <row r="11" spans="1:12">
      <c r="A11" s="6"/>
      <c r="B11" s="10"/>
      <c r="C11" s="17"/>
      <c r="D11" s="10"/>
      <c r="E11" s="10"/>
      <c r="F11" s="10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렌트입력">
          <controlPr defaultSize="0" autoLine="0" autoPict="0" r:id="rId4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</xdr:colOff>
                <xdr:row>4</xdr:row>
                <xdr:rowOff>88900</xdr:rowOff>
              </to>
            </anchor>
          </controlPr>
        </control>
      </mc:Choice>
      <mc:Fallback>
        <control shapeId="7169" r:id="rId3" name="Cmd렌트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차트작업</vt:lpstr>
      <vt:lpstr>매크로</vt:lpstr>
      <vt:lpstr>렌트입력</vt:lpstr>
      <vt:lpstr>'기본작업-1'!MS_Access_Database_Query_2</vt:lpstr>
      <vt:lpstr>'기본작업-2'!MS_Access_Database_Query_2</vt:lpstr>
      <vt:lpstr>매크로!MS_Access_Database_Query_2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2023-04-23T06:35:44Z</dcterms:modified>
</cp:coreProperties>
</file>