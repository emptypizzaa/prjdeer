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4년1급실기\1권_스프레드시트\기출변형문제\"/>
    </mc:Choice>
  </mc:AlternateContent>
  <xr:revisionPtr revIDLastSave="0" documentId="13_ncr:1_{C661B29E-299F-491F-813E-F8D2E574AC07}" xr6:coauthVersionLast="47" xr6:coauthVersionMax="47" xr10:uidLastSave="{00000000-0000-0000-0000-000000000000}"/>
  <bookViews>
    <workbookView xWindow="1200" yWindow="850" windowWidth="19880" windowHeight="16660" tabRatio="958" xr2:uid="{00000000-000D-0000-FFFF-FFFF00000000}"/>
  </bookViews>
  <sheets>
    <sheet name="기본작업-1" sheetId="2" r:id="rId1"/>
    <sheet name="기본작업-2" sheetId="9" r:id="rId2"/>
    <sheet name="계산작업-1" sheetId="3" r:id="rId3"/>
    <sheet name="계산작업-2" sheetId="14" r:id="rId4"/>
    <sheet name="분석작업-1" sheetId="5" r:id="rId5"/>
    <sheet name="상반기" sheetId="6" r:id="rId6"/>
    <sheet name="하반기" sheetId="13" r:id="rId7"/>
    <sheet name="기타작업-1" sheetId="7" r:id="rId8"/>
    <sheet name="기타작업-2" sheetId="11" r:id="rId9"/>
    <sheet name="기타작업-3" sheetId="8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7" l="1"/>
  <c r="D8" i="7"/>
  <c r="C8" i="7"/>
</calcChain>
</file>

<file path=xl/sharedStrings.xml><?xml version="1.0" encoding="utf-8"?>
<sst xmlns="http://schemas.openxmlformats.org/spreadsheetml/2006/main" count="515" uniqueCount="198">
  <si>
    <t>[표1] 자격증 취득현황</t>
    <phoneticPr fontId="4" type="noConversion"/>
  </si>
  <si>
    <t>학번</t>
  </si>
  <si>
    <t>성명</t>
  </si>
  <si>
    <t>학과</t>
    <phoneticPr fontId="5" type="noConversion"/>
  </si>
  <si>
    <t>자격증명</t>
  </si>
  <si>
    <t>시행청</t>
  </si>
  <si>
    <t>취득일자</t>
  </si>
  <si>
    <t>김미분</t>
  </si>
  <si>
    <t>경영학과</t>
    <phoneticPr fontId="4" type="noConversion"/>
  </si>
  <si>
    <t>컴퓨터활용능력 2급</t>
  </si>
  <si>
    <t>대한상공회의소</t>
  </si>
  <si>
    <t>워드프로세서 1급</t>
  </si>
  <si>
    <t>박용훈</t>
  </si>
  <si>
    <t>사무자동화산업기사</t>
  </si>
  <si>
    <t>한국산업인력공단</t>
  </si>
  <si>
    <t>최유리</t>
  </si>
  <si>
    <t>정보처리산업기사</t>
  </si>
  <si>
    <t>이은영</t>
  </si>
  <si>
    <t>이은지</t>
  </si>
  <si>
    <t>홍은지</t>
  </si>
  <si>
    <t>김영철</t>
    <phoneticPr fontId="4" type="noConversion"/>
  </si>
  <si>
    <t>회계학과</t>
    <phoneticPr fontId="4" type="noConversion"/>
  </si>
  <si>
    <t>정보기기운용기능사</t>
  </si>
  <si>
    <t>정보처리기능사</t>
  </si>
  <si>
    <t>전산회계 2급</t>
  </si>
  <si>
    <t>한국세무사회</t>
  </si>
  <si>
    <t>김민혜</t>
  </si>
  <si>
    <t>전산회계운용사 1급</t>
  </si>
  <si>
    <t>이근영</t>
  </si>
  <si>
    <t>김은정</t>
  </si>
  <si>
    <t>최종두</t>
  </si>
  <si>
    <t>이영주</t>
    <phoneticPr fontId="4" type="noConversion"/>
  </si>
  <si>
    <t>교육학과</t>
    <phoneticPr fontId="4" type="noConversion"/>
  </si>
  <si>
    <t>전산회계운용사 2급</t>
  </si>
  <si>
    <t>비서 2급</t>
  </si>
  <si>
    <t>김진아</t>
    <phoneticPr fontId="4" type="noConversion"/>
  </si>
  <si>
    <t>김주영</t>
    <phoneticPr fontId="4" type="noConversion"/>
  </si>
  <si>
    <t>비서 1급</t>
  </si>
  <si>
    <t>[표1] 시행청별 자격증 취득 현황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</si>
  <si>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</t>
    </r>
    <r>
      <rPr>
        <sz val="11"/>
        <rFont val="맑은 고딕"/>
        <family val="3"/>
        <charset val="129"/>
        <scheme val="minor"/>
      </rPr>
      <t>]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자격증명별 취득 현황</t>
    </r>
    <phoneticPr fontId="4" type="noConversion"/>
  </si>
  <si>
    <t>학과명</t>
    <phoneticPr fontId="4" type="noConversion"/>
  </si>
  <si>
    <t>대한상공회의소</t>
    <phoneticPr fontId="4" type="noConversion"/>
  </si>
  <si>
    <t>한국산업인력공단</t>
    <phoneticPr fontId="4" type="noConversion"/>
  </si>
  <si>
    <t>자격증</t>
    <phoneticPr fontId="4" type="noConversion"/>
  </si>
  <si>
    <t>취득명수</t>
    <phoneticPr fontId="4" type="noConversion"/>
  </si>
  <si>
    <t>경영학과</t>
    <phoneticPr fontId="4" type="noConversion"/>
  </si>
  <si>
    <t>컴퓨터활용</t>
    <phoneticPr fontId="4" type="noConversion"/>
  </si>
  <si>
    <t>경제학과</t>
    <phoneticPr fontId="4" type="noConversion"/>
  </si>
  <si>
    <t>비서</t>
    <phoneticPr fontId="4" type="noConversion"/>
  </si>
  <si>
    <t>비서학과</t>
    <phoneticPr fontId="4" type="noConversion"/>
  </si>
  <si>
    <t>워드</t>
    <phoneticPr fontId="4" type="noConversion"/>
  </si>
  <si>
    <t>전자상거래</t>
    <phoneticPr fontId="4" type="noConversion"/>
  </si>
  <si>
    <t>전산회계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</si>
  <si>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3</t>
    </r>
    <r>
      <rPr>
        <sz val="11"/>
        <rFont val="맑은 고딕"/>
        <family val="3"/>
        <charset val="129"/>
        <scheme val="minor"/>
      </rPr>
      <t>] 자격증 취득현황</t>
    </r>
    <phoneticPr fontId="4" type="noConversion"/>
  </si>
  <si>
    <t>학과</t>
    <phoneticPr fontId="5" type="noConversion"/>
  </si>
  <si>
    <t>자격증 장학금</t>
    <phoneticPr fontId="4" type="noConversion"/>
  </si>
  <si>
    <t>김주영</t>
    <phoneticPr fontId="4" type="noConversion"/>
  </si>
  <si>
    <t>비서학과</t>
    <phoneticPr fontId="4" type="noConversion"/>
  </si>
  <si>
    <t>김영철</t>
    <phoneticPr fontId="4" type="noConversion"/>
  </si>
  <si>
    <t>경제학과</t>
    <phoneticPr fontId="4" type="noConversion"/>
  </si>
  <si>
    <t>경제학과</t>
    <phoneticPr fontId="4" type="noConversion"/>
  </si>
  <si>
    <t>김진아</t>
    <phoneticPr fontId="4" type="noConversion"/>
  </si>
  <si>
    <t>비서학과</t>
    <phoneticPr fontId="4" type="noConversion"/>
  </si>
  <si>
    <t>김영철</t>
    <phoneticPr fontId="4" type="noConversion"/>
  </si>
  <si>
    <t>전자상거래운용사</t>
  </si>
  <si>
    <t>이영주</t>
    <phoneticPr fontId="4" type="noConversion"/>
  </si>
  <si>
    <t>김주영</t>
    <phoneticPr fontId="4" type="noConversion"/>
  </si>
  <si>
    <t>비서 3급</t>
  </si>
  <si>
    <t>김주영</t>
    <phoneticPr fontId="4" type="noConversion"/>
  </si>
  <si>
    <t>워드프로세서 2급</t>
  </si>
  <si>
    <t>최일우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</si>
  <si>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4] 자격증별 장학금</t>
    </r>
    <phoneticPr fontId="4" type="noConversion"/>
  </si>
  <si>
    <t>금액</t>
    <phoneticPr fontId="4" type="noConversion"/>
  </si>
  <si>
    <t>[표1] 담배판매량</t>
    <phoneticPr fontId="4" type="noConversion"/>
  </si>
  <si>
    <t>구분</t>
    <phoneticPr fontId="4" type="noConversion"/>
  </si>
  <si>
    <t>A사</t>
    <phoneticPr fontId="4" type="noConversion"/>
  </si>
  <si>
    <t>B사</t>
    <phoneticPr fontId="4" type="noConversion"/>
  </si>
  <si>
    <t>C사</t>
    <phoneticPr fontId="4" type="noConversion"/>
  </si>
  <si>
    <t>D사</t>
    <phoneticPr fontId="4" type="noConversion"/>
  </si>
  <si>
    <t>합계</t>
    <phoneticPr fontId="4" type="noConversion"/>
  </si>
  <si>
    <t>은행명</t>
    <phoneticPr fontId="4" type="noConversion"/>
  </si>
  <si>
    <t>계좌번호</t>
    <phoneticPr fontId="4" type="noConversion"/>
  </si>
  <si>
    <t>예금주</t>
    <phoneticPr fontId="4" type="noConversion"/>
  </si>
  <si>
    <t>하나은행</t>
    <phoneticPr fontId="4" type="noConversion"/>
  </si>
  <si>
    <t>924-01234-333</t>
    <phoneticPr fontId="4" type="noConversion"/>
  </si>
  <si>
    <t>주)대한상</t>
    <phoneticPr fontId="4" type="noConversion"/>
  </si>
  <si>
    <t>국민은행</t>
    <phoneticPr fontId="4" type="noConversion"/>
  </si>
  <si>
    <t>137-18340-251</t>
    <phoneticPr fontId="4" type="noConversion"/>
  </si>
  <si>
    <t>신한은행</t>
    <phoneticPr fontId="4" type="noConversion"/>
  </si>
  <si>
    <t>016-24891-555</t>
    <phoneticPr fontId="4" type="noConversion"/>
  </si>
  <si>
    <t>주)대한상</t>
    <phoneticPr fontId="4" type="noConversion"/>
  </si>
  <si>
    <t>카드명</t>
    <phoneticPr fontId="4" type="noConversion"/>
  </si>
  <si>
    <t>국민카드</t>
    <phoneticPr fontId="4" type="noConversion"/>
  </si>
  <si>
    <t>비씨카드</t>
    <phoneticPr fontId="4" type="noConversion"/>
  </si>
  <si>
    <t>신한카드</t>
    <phoneticPr fontId="4" type="noConversion"/>
  </si>
  <si>
    <t>외환카드</t>
    <phoneticPr fontId="4" type="noConversion"/>
  </si>
  <si>
    <t>[표1] 결제내역</t>
    <phoneticPr fontId="4" type="noConversion"/>
  </si>
  <si>
    <t/>
  </si>
  <si>
    <t>결제종류</t>
    <phoneticPr fontId="4" type="noConversion"/>
  </si>
  <si>
    <t>카드/은행명</t>
    <phoneticPr fontId="4" type="noConversion"/>
  </si>
  <si>
    <t>금액</t>
    <phoneticPr fontId="4" type="noConversion"/>
  </si>
  <si>
    <t>접수번호,성명,주민등록번호,주소,대출지점,대출일,대출금액,대출기간</t>
    <phoneticPr fontId="2" type="noConversion"/>
  </si>
  <si>
    <t>001,김진석,710618-1******,대전시 유성구 온천동,충청,2017/12/15,5000000,12</t>
    <phoneticPr fontId="2" type="noConversion"/>
  </si>
  <si>
    <t>002,구준식,820909-1******,서울시 종로구 팔판동,서울,2019/6/12,5000000,30</t>
    <phoneticPr fontId="2" type="noConversion"/>
  </si>
  <si>
    <t>003,이진태,900217-1******,경기도 안양시 동안구,경기,2016/11/27,3000000,24</t>
    <phoneticPr fontId="2" type="noConversion"/>
  </si>
  <si>
    <t>004,이재철,721125-1******,경기도 안양시 동안구,경기,2020/10/24,2500000,12</t>
    <phoneticPr fontId="2" type="noConversion"/>
  </si>
  <si>
    <t>005,박세희,740519-2******,서울시 서대문구 역촌동,서울,2015/8/17,8000000,30</t>
    <phoneticPr fontId="2" type="noConversion"/>
  </si>
  <si>
    <t>005,박순영,921129-2******,부산시 중구 대창동,부산,2020/12/20,10000000,36</t>
    <phoneticPr fontId="2" type="noConversion"/>
  </si>
  <si>
    <t>006,이성재,830517-1******,경기도 부천시 원미구,경기,2018/2/13,7000000,73</t>
    <phoneticPr fontId="2" type="noConversion"/>
  </si>
  <si>
    <t>007,설진구,730925-1******,부산시 중구 대창동,부산,2015/6/15,2000000,60</t>
    <phoneticPr fontId="2" type="noConversion"/>
  </si>
  <si>
    <t>008,이영민,670418-1******,경기도 시흥시 은행동,경기,2017/3/25,5000000,30</t>
    <phoneticPr fontId="2" type="noConversion"/>
  </si>
  <si>
    <t>009,도희철,770722-1******,서울시 강남구 역삼동,서울,2018/6/24,3000000,36</t>
    <phoneticPr fontId="2" type="noConversion"/>
  </si>
  <si>
    <t>010,우진우,720819-2******,대전시 유성구 어은동,충청,2018/6/7,5000000,78</t>
    <phoneticPr fontId="2" type="noConversion"/>
  </si>
  <si>
    <t>011,민애라,760215-2******,부산시 동구 범일동,부산,2019/12/18,12000000,60</t>
    <phoneticPr fontId="2" type="noConversion"/>
  </si>
  <si>
    <t>012,민승렬,830225-1******,부산시 부산진구 동평동,부산,2017/10/9,15000000,60</t>
    <phoneticPr fontId="2" type="noConversion"/>
  </si>
  <si>
    <t>013,최만용,721105-1******,서울시 중구 필동,서울,2019/4/5,8000000,45</t>
    <phoneticPr fontId="2" type="noConversion"/>
  </si>
  <si>
    <t>014,오태열,531227-1******,서울시 양천구 목동,서울,2019/9/2,7000000,24</t>
    <phoneticPr fontId="2" type="noConversion"/>
  </si>
  <si>
    <t>015,장우석,792817-1******,대전시 서구 둔산동,충청,2020/8/31,3000000,36</t>
    <phoneticPr fontId="2" type="noConversion"/>
  </si>
  <si>
    <t>016,형연주,730205-2******,경기도 수원시 장안구,경기,2020/8/21,1000000,48</t>
    <phoneticPr fontId="2" type="noConversion"/>
  </si>
  <si>
    <t>017,이민주,800629-2******,경기도 성남시 분당구,경기,2019/1/20,27000000,48</t>
    <phoneticPr fontId="2" type="noConversion"/>
  </si>
  <si>
    <t>018,이진태,900217-1******,경기도 안양시 동안구,경기,2016/11/27,3000000,24</t>
    <phoneticPr fontId="2" type="noConversion"/>
  </si>
  <si>
    <t>019,설진구,730925-1******,부산시중구대창동,부산,2015/6/15,2000000,60</t>
    <phoneticPr fontId="2" type="noConversion"/>
  </si>
  <si>
    <t>[표2]</t>
    <phoneticPr fontId="2" type="noConversion"/>
  </si>
  <si>
    <t>대출지점</t>
    <phoneticPr fontId="2" type="noConversion"/>
  </si>
  <si>
    <t>대출금액</t>
    <phoneticPr fontId="2" type="noConversion"/>
  </si>
  <si>
    <t>대출기간</t>
    <phoneticPr fontId="2" type="noConversion"/>
  </si>
  <si>
    <t>[표1]</t>
    <phoneticPr fontId="2" type="noConversion"/>
  </si>
  <si>
    <t>펀드명</t>
    <phoneticPr fontId="4" type="noConversion"/>
  </si>
  <si>
    <t>운용사</t>
    <phoneticPr fontId="4" type="noConversion"/>
  </si>
  <si>
    <t>수익률</t>
    <phoneticPr fontId="2" type="noConversion"/>
  </si>
  <si>
    <t>베스트공모주10 증권투자</t>
    <phoneticPr fontId="4" type="noConversion"/>
  </si>
  <si>
    <t>신한금융</t>
    <phoneticPr fontId="4" type="noConversion"/>
  </si>
  <si>
    <t>마이다스 책임투자증권투자</t>
    <phoneticPr fontId="4" type="noConversion"/>
  </si>
  <si>
    <t>삼성</t>
    <phoneticPr fontId="4" type="noConversion"/>
  </si>
  <si>
    <t>코스닥벤처증권투자</t>
    <phoneticPr fontId="4" type="noConversion"/>
  </si>
  <si>
    <t>한국투자</t>
    <phoneticPr fontId="4" type="noConversion"/>
  </si>
  <si>
    <t>베트남레버리지증권투자</t>
    <phoneticPr fontId="4" type="noConversion"/>
  </si>
  <si>
    <t>NH</t>
    <phoneticPr fontId="4" type="noConversion"/>
  </si>
  <si>
    <t>성장유망중소형주증권투자</t>
    <phoneticPr fontId="4" type="noConversion"/>
  </si>
  <si>
    <t>미래에셋</t>
    <phoneticPr fontId="4" type="noConversion"/>
  </si>
  <si>
    <t>하나USB 인베스트연금 주식S</t>
    <phoneticPr fontId="4" type="noConversion"/>
  </si>
  <si>
    <t>하나투자</t>
    <phoneticPr fontId="4" type="noConversion"/>
  </si>
  <si>
    <t>미래에셋 라이프사이클2030</t>
    <phoneticPr fontId="4" type="noConversion"/>
  </si>
  <si>
    <t>한국골드플랜 연금주식1</t>
    <phoneticPr fontId="4" type="noConversion"/>
  </si>
  <si>
    <t>키움</t>
    <phoneticPr fontId="4" type="noConversion"/>
  </si>
  <si>
    <t>한국밸류 10년투자연금주식</t>
    <phoneticPr fontId="4" type="noConversion"/>
  </si>
  <si>
    <t>대신</t>
    <phoneticPr fontId="4" type="noConversion"/>
  </si>
  <si>
    <t>부동산투자신탁</t>
    <phoneticPr fontId="4" type="noConversion"/>
  </si>
  <si>
    <t>삼성</t>
    <phoneticPr fontId="4" type="noConversion"/>
  </si>
  <si>
    <t>코리아몰캡증권투자</t>
    <phoneticPr fontId="2" type="noConversion"/>
  </si>
  <si>
    <t>메리츠</t>
    <phoneticPr fontId="2" type="noConversion"/>
  </si>
  <si>
    <t>미국배당프리미엄</t>
    <phoneticPr fontId="2" type="noConversion"/>
  </si>
  <si>
    <t>차이나증권투자</t>
    <phoneticPr fontId="2" type="noConversion"/>
  </si>
  <si>
    <t>메리츠</t>
    <phoneticPr fontId="2" type="noConversion"/>
  </si>
  <si>
    <t>학번</t>
    <phoneticPr fontId="2" type="noConversion"/>
  </si>
  <si>
    <t>2023년</t>
    <phoneticPr fontId="2" type="noConversion"/>
  </si>
  <si>
    <t>2024년</t>
    <phoneticPr fontId="2" type="noConversion"/>
  </si>
  <si>
    <t>2025년</t>
  </si>
  <si>
    <t>접수번호</t>
  </si>
  <si>
    <t>주소</t>
  </si>
  <si>
    <t>대출지점</t>
  </si>
  <si>
    <t>대출금액</t>
  </si>
  <si>
    <t>대출기간</t>
  </si>
  <si>
    <t>서울시 용산구 원효로</t>
    <phoneticPr fontId="2" type="noConversion"/>
  </si>
  <si>
    <t>서울</t>
    <phoneticPr fontId="2" type="noConversion"/>
  </si>
  <si>
    <t>경기도 수원시 망포동</t>
    <phoneticPr fontId="2" type="noConversion"/>
  </si>
  <si>
    <t>경기</t>
    <phoneticPr fontId="2" type="noConversion"/>
  </si>
  <si>
    <t>부산시 영동구 절영로</t>
    <phoneticPr fontId="2" type="noConversion"/>
  </si>
  <si>
    <t>부산</t>
    <phoneticPr fontId="2" type="noConversion"/>
  </si>
  <si>
    <t>서울시 노원구 월계동</t>
    <phoneticPr fontId="2" type="noConversion"/>
  </si>
  <si>
    <t>대전시 유성구 한우물로</t>
    <phoneticPr fontId="2" type="noConversion"/>
  </si>
  <si>
    <t>충청</t>
    <phoneticPr fontId="2" type="noConversion"/>
  </si>
  <si>
    <t>부산시 사상구 백양대로</t>
    <phoneticPr fontId="2" type="noConversion"/>
  </si>
  <si>
    <t>서울시 마포구 합정동</t>
    <phoneticPr fontId="2" type="noConversion"/>
  </si>
  <si>
    <t>경기도 화성시 향남읍</t>
    <phoneticPr fontId="2" type="noConversion"/>
  </si>
  <si>
    <t>서울시 금천구 시흥동</t>
    <phoneticPr fontId="2" type="noConversion"/>
  </si>
  <si>
    <t>경기도 김포시 김포한강</t>
    <phoneticPr fontId="2" type="noConversion"/>
  </si>
  <si>
    <t>[표1]</t>
    <phoneticPr fontId="4" type="noConversion"/>
  </si>
  <si>
    <t>기준일</t>
    <phoneticPr fontId="4" type="noConversion"/>
  </si>
  <si>
    <t>[표2]</t>
    <phoneticPr fontId="4" type="noConversion"/>
  </si>
  <si>
    <t>잔액</t>
    <phoneticPr fontId="4" type="noConversion"/>
  </si>
  <si>
    <t>개설일자</t>
    <phoneticPr fontId="4" type="noConversion"/>
  </si>
  <si>
    <t>이자</t>
    <phoneticPr fontId="4" type="noConversion"/>
  </si>
  <si>
    <t>비고</t>
    <phoneticPr fontId="4" type="noConversion"/>
  </si>
  <si>
    <t>99-35-623</t>
    <phoneticPr fontId="4" type="noConversion"/>
  </si>
  <si>
    <t xml:space="preserve">                       잔액
개월</t>
    <phoneticPr fontId="4" type="noConversion"/>
  </si>
  <si>
    <t>88-25-123</t>
    <phoneticPr fontId="4" type="noConversion"/>
  </si>
  <si>
    <t>77-45-632</t>
    <phoneticPr fontId="4" type="noConversion"/>
  </si>
  <si>
    <t>66-25-258</t>
    <phoneticPr fontId="4" type="noConversion"/>
  </si>
  <si>
    <t>55-35-789</t>
    <phoneticPr fontId="4" type="noConversion"/>
  </si>
  <si>
    <t>44-25-456</t>
    <phoneticPr fontId="4" type="noConversion"/>
  </si>
  <si>
    <t>33-55-251</t>
    <phoneticPr fontId="4" type="noConversion"/>
  </si>
  <si>
    <t>22-45-693</t>
    <phoneticPr fontId="4" type="noConversion"/>
  </si>
  <si>
    <t>11-35-250</t>
    <phoneticPr fontId="4" type="noConversion"/>
  </si>
  <si>
    <t>91-55-620</t>
    <phoneticPr fontId="4" type="noConversion"/>
  </si>
  <si>
    <t>96-25-360</t>
    <phoneticPr fontId="4" type="noConversion"/>
  </si>
  <si>
    <t>19-45-520</t>
    <phoneticPr fontId="4" type="noConversion"/>
  </si>
  <si>
    <t>45-25-129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</si>
</sst>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[$-F800]dddd\,\ mmmm\ dd\,\ yyyy"/>
    <numFmt numFmtId="177" formatCode="0&quot;열&quot;"/>
    <numFmt numFmtId="178" formatCode="#,##0&quot;이&quot;&quot;상&quot;"/>
    <numFmt numFmtId="179" formatCode="#,##0&quot;미&quot;&quot;만&quot;"/>
    <numFmt numFmtId="180" formatCode="###0&quot;이&quot;&quot;상&quot;"/>
    <numFmt numFmtId="181" formatCode="0&quot;개&quot;&quot;월&quot;&quot;이&quot;&quot;상&quot;"/>
    <numFmt numFmtId="182" formatCode="0&quot;개&quot;&quot;월&quot;&quot;미&quot;&quot;만&quot;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7" fillId="0" borderId="0">
      <alignment vertical="center"/>
    </xf>
  </cellStyleXfs>
  <cellXfs count="55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76" fontId="3" fillId="0" borderId="4" xfId="0" applyNumberFormat="1" applyFont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vertical="center"/>
    </xf>
    <xf numFmtId="0" fontId="3" fillId="0" borderId="0" xfId="2" applyFont="1" applyAlignment="1">
      <alignment vertical="center"/>
    </xf>
    <xf numFmtId="0" fontId="8" fillId="0" borderId="5" xfId="0" applyFont="1" applyBorder="1" applyAlignment="1">
      <alignment horizontal="center" vertical="center"/>
    </xf>
    <xf numFmtId="0" fontId="8" fillId="0" borderId="5" xfId="2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3" fillId="0" borderId="5" xfId="2" applyFont="1" applyBorder="1" applyAlignment="1">
      <alignment vertical="center"/>
    </xf>
    <xf numFmtId="0" fontId="3" fillId="0" borderId="5" xfId="2" applyFont="1" applyFill="1" applyBorder="1" applyAlignment="1">
      <alignment vertical="center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6" fillId="0" borderId="5" xfId="0" applyFont="1" applyBorder="1" applyAlignment="1">
      <alignment vertical="center"/>
    </xf>
    <xf numFmtId="0" fontId="8" fillId="0" borderId="6" xfId="0" applyFont="1" applyFill="1" applyBorder="1" applyAlignment="1" applyProtection="1">
      <alignment horizontal="center" vertical="center"/>
      <protection locked="0"/>
    </xf>
    <xf numFmtId="0" fontId="8" fillId="0" borderId="7" xfId="0" applyFont="1" applyFill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6" fillId="0" borderId="11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5" xfId="2" applyFont="1" applyFill="1" applyBorder="1" applyAlignment="1">
      <alignment horizontal="center" vertical="center"/>
    </xf>
    <xf numFmtId="0" fontId="8" fillId="3" borderId="5" xfId="0" applyFont="1" applyFill="1" applyBorder="1" applyAlignment="1" applyProtection="1">
      <alignment horizontal="center" vertical="center"/>
      <protection locked="0"/>
    </xf>
    <xf numFmtId="0" fontId="6" fillId="0" borderId="5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41" fontId="6" fillId="0" borderId="5" xfId="1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5" xfId="0" applyNumberFormat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5" xfId="0" applyNumberFormat="1" applyBorder="1">
      <alignment vertical="center"/>
    </xf>
    <xf numFmtId="0" fontId="0" fillId="0" borderId="5" xfId="0" applyNumberFormat="1" applyFill="1" applyBorder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78" fontId="0" fillId="0" borderId="5" xfId="0" applyNumberFormat="1" applyBorder="1">
      <alignment vertical="center"/>
    </xf>
    <xf numFmtId="179" fontId="0" fillId="0" borderId="5" xfId="0" applyNumberFormat="1" applyBorder="1">
      <alignment vertical="center"/>
    </xf>
    <xf numFmtId="180" fontId="0" fillId="0" borderId="5" xfId="0" applyNumberFormat="1" applyBorder="1">
      <alignment vertical="center"/>
    </xf>
    <xf numFmtId="181" fontId="0" fillId="0" borderId="5" xfId="0" applyNumberFormat="1" applyBorder="1" applyAlignment="1">
      <alignment horizontal="center" vertical="center"/>
    </xf>
    <xf numFmtId="182" fontId="0" fillId="0" borderId="5" xfId="0" applyNumberFormat="1" applyBorder="1" applyAlignment="1">
      <alignment horizontal="center" vertical="center"/>
    </xf>
    <xf numFmtId="10" fontId="0" fillId="0" borderId="5" xfId="0" applyNumberFormat="1" applyBorder="1">
      <alignment vertical="center"/>
    </xf>
    <xf numFmtId="41" fontId="0" fillId="0" borderId="5" xfId="1" applyFont="1" applyBorder="1" applyAlignment="1">
      <alignment vertical="center"/>
    </xf>
    <xf numFmtId="0" fontId="0" fillId="0" borderId="15" xfId="0" applyBorder="1" applyAlignment="1">
      <alignment horizontal="left" vertical="center" wrapText="1"/>
    </xf>
    <xf numFmtId="0" fontId="0" fillId="0" borderId="16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</cellXfs>
  <cellStyles count="3">
    <cellStyle name="쉼표 [0]" xfId="1" builtinId="6"/>
    <cellStyle name="표준" xfId="0" builtinId="0"/>
    <cellStyle name="표준_계산작업-1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'기타작업-1'!$B$4</c:f>
              <c:strCache>
                <c:ptCount val="1"/>
                <c:pt idx="0">
                  <c:v>A사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'기타작업-1'!$C$3:$E$3</c:f>
              <c:strCache>
                <c:ptCount val="3"/>
                <c:pt idx="0">
                  <c:v>2023년</c:v>
                </c:pt>
                <c:pt idx="1">
                  <c:v>2024년</c:v>
                </c:pt>
                <c:pt idx="2">
                  <c:v>2025년</c:v>
                </c:pt>
              </c:strCache>
            </c:strRef>
          </c:cat>
          <c:val>
            <c:numRef>
              <c:f>'기타작업-1'!$C$4:$E$4</c:f>
              <c:numCache>
                <c:formatCode>General</c:formatCode>
                <c:ptCount val="3"/>
                <c:pt idx="0">
                  <c:v>600</c:v>
                </c:pt>
                <c:pt idx="1">
                  <c:v>625</c:v>
                </c:pt>
                <c:pt idx="2">
                  <c:v>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4-40FC-9590-1B7389E038C8}"/>
            </c:ext>
          </c:extLst>
        </c:ser>
        <c:ser>
          <c:idx val="1"/>
          <c:order val="1"/>
          <c:tx>
            <c:strRef>
              <c:f>'기타작업-1'!$B$5</c:f>
              <c:strCache>
                <c:ptCount val="1"/>
                <c:pt idx="0">
                  <c:v>B사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'기타작업-1'!$C$3:$E$3</c:f>
              <c:strCache>
                <c:ptCount val="3"/>
                <c:pt idx="0">
                  <c:v>2023년</c:v>
                </c:pt>
                <c:pt idx="1">
                  <c:v>2024년</c:v>
                </c:pt>
                <c:pt idx="2">
                  <c:v>2025년</c:v>
                </c:pt>
              </c:strCache>
            </c:strRef>
          </c:cat>
          <c:val>
            <c:numRef>
              <c:f>'기타작업-1'!$C$5:$E$5</c:f>
              <c:numCache>
                <c:formatCode>General</c:formatCode>
                <c:ptCount val="3"/>
                <c:pt idx="0">
                  <c:v>129</c:v>
                </c:pt>
                <c:pt idx="1">
                  <c:v>147</c:v>
                </c:pt>
                <c:pt idx="2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34-40FC-9590-1B7389E038C8}"/>
            </c:ext>
          </c:extLst>
        </c:ser>
        <c:ser>
          <c:idx val="2"/>
          <c:order val="2"/>
          <c:tx>
            <c:strRef>
              <c:f>'기타작업-1'!$B$6</c:f>
              <c:strCache>
                <c:ptCount val="1"/>
                <c:pt idx="0">
                  <c:v>C사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'기타작업-1'!$C$3:$E$3</c:f>
              <c:strCache>
                <c:ptCount val="3"/>
                <c:pt idx="0">
                  <c:v>2023년</c:v>
                </c:pt>
                <c:pt idx="1">
                  <c:v>2024년</c:v>
                </c:pt>
                <c:pt idx="2">
                  <c:v>2025년</c:v>
                </c:pt>
              </c:strCache>
            </c:strRef>
          </c:cat>
          <c:val>
            <c:numRef>
              <c:f>'기타작업-1'!$C$6:$E$6</c:f>
              <c:numCache>
                <c:formatCode>General</c:formatCode>
                <c:ptCount val="3"/>
                <c:pt idx="0">
                  <c:v>69</c:v>
                </c:pt>
                <c:pt idx="1">
                  <c:v>75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34-40FC-9590-1B7389E038C8}"/>
            </c:ext>
          </c:extLst>
        </c:ser>
        <c:ser>
          <c:idx val="3"/>
          <c:order val="3"/>
          <c:tx>
            <c:strRef>
              <c:f>'기타작업-1'!$B$7</c:f>
              <c:strCache>
                <c:ptCount val="1"/>
                <c:pt idx="0">
                  <c:v>D사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'기타작업-1'!$C$3:$E$3</c:f>
              <c:strCache>
                <c:ptCount val="3"/>
                <c:pt idx="0">
                  <c:v>2023년</c:v>
                </c:pt>
                <c:pt idx="1">
                  <c:v>2024년</c:v>
                </c:pt>
                <c:pt idx="2">
                  <c:v>2025년</c:v>
                </c:pt>
              </c:strCache>
            </c:strRef>
          </c:cat>
          <c:val>
            <c:numRef>
              <c:f>'기타작업-1'!$C$7:$E$7</c:f>
              <c:numCache>
                <c:formatCode>General</c:formatCode>
                <c:ptCount val="3"/>
                <c:pt idx="0">
                  <c:v>26</c:v>
                </c:pt>
                <c:pt idx="1">
                  <c:v>29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34-40FC-9590-1B7389E038C8}"/>
            </c:ext>
          </c:extLst>
        </c:ser>
        <c:ser>
          <c:idx val="4"/>
          <c:order val="4"/>
          <c:tx>
            <c:strRef>
              <c:f>'기타작업-1'!$B$8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'기타작업-1'!$C$3:$E$3</c:f>
              <c:strCache>
                <c:ptCount val="3"/>
                <c:pt idx="0">
                  <c:v>2023년</c:v>
                </c:pt>
                <c:pt idx="1">
                  <c:v>2024년</c:v>
                </c:pt>
                <c:pt idx="2">
                  <c:v>2025년</c:v>
                </c:pt>
              </c:strCache>
            </c:strRef>
          </c:cat>
          <c:val>
            <c:numRef>
              <c:f>'기타작업-1'!$C$8:$E$8</c:f>
              <c:numCache>
                <c:formatCode>General</c:formatCode>
                <c:ptCount val="3"/>
                <c:pt idx="0">
                  <c:v>824</c:v>
                </c:pt>
                <c:pt idx="1">
                  <c:v>876</c:v>
                </c:pt>
                <c:pt idx="2">
                  <c:v>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34-40FC-9590-1B7389E03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10900687"/>
        <c:axId val="1510903599"/>
      </c:barChart>
      <c:catAx>
        <c:axId val="1510900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903599"/>
        <c:crosses val="autoZero"/>
        <c:auto val="1"/>
        <c:lblAlgn val="ctr"/>
        <c:lblOffset val="100"/>
        <c:noMultiLvlLbl val="0"/>
      </c:catAx>
      <c:valAx>
        <c:axId val="1510903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900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7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073" name="Btn결제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externalLinkPath" Target="&#51221;&#45813;/&#44592;&#52636;&#48320;&#54805;&#47928;&#51228;6&#54924;(&#51221;&#45813;).xlsm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F28"/>
  <sheetViews>
    <sheetView tabSelected="1" workbookViewId="0"/>
  </sheetViews>
  <sheetFormatPr defaultRowHeight="17"/>
  <cols>
    <col min="1" max="1" width="12.1640625" customWidth="1"/>
    <col min="2" max="2" width="10.5" customWidth="1"/>
    <col min="3" max="3" width="10.33203125" customWidth="1"/>
    <col min="4" max="4" width="18.25" bestFit="1" customWidth="1"/>
    <col min="5" max="5" width="16.25" bestFit="1" customWidth="1"/>
    <col min="6" max="6" width="23.08203125" bestFit="1" customWidth="1"/>
  </cols>
  <sheetData>
    <row r="1" spans="1:6">
      <c r="A1" s="1" t="s">
        <v>0</v>
      </c>
      <c r="B1" s="1"/>
      <c r="C1" s="1"/>
      <c r="D1" s="1"/>
      <c r="E1" s="1"/>
      <c r="F1" s="1"/>
    </row>
    <row r="2" spans="1:6">
      <c r="A2" s="5" t="s">
        <v>154</v>
      </c>
      <c r="B2" s="6" t="s">
        <v>2</v>
      </c>
      <c r="C2" s="6" t="s">
        <v>3</v>
      </c>
      <c r="D2" s="6" t="s">
        <v>4</v>
      </c>
      <c r="E2" s="6" t="s">
        <v>5</v>
      </c>
      <c r="F2" s="6" t="s">
        <v>6</v>
      </c>
    </row>
    <row r="3" spans="1:6">
      <c r="A3" s="2">
        <v>202512024</v>
      </c>
      <c r="B3" s="3" t="s">
        <v>7</v>
      </c>
      <c r="C3" s="3" t="s">
        <v>8</v>
      </c>
      <c r="D3" s="3" t="s">
        <v>9</v>
      </c>
      <c r="E3" s="3" t="s">
        <v>10</v>
      </c>
      <c r="F3" s="4">
        <v>45704</v>
      </c>
    </row>
    <row r="4" spans="1:6">
      <c r="A4" s="2">
        <v>202512024</v>
      </c>
      <c r="B4" s="3" t="s">
        <v>7</v>
      </c>
      <c r="C4" s="3" t="s">
        <v>8</v>
      </c>
      <c r="D4" s="3" t="s">
        <v>11</v>
      </c>
      <c r="E4" s="3" t="s">
        <v>10</v>
      </c>
      <c r="F4" s="4">
        <v>45661</v>
      </c>
    </row>
    <row r="5" spans="1:6">
      <c r="A5" s="2">
        <v>202512049</v>
      </c>
      <c r="B5" s="3" t="s">
        <v>12</v>
      </c>
      <c r="C5" s="3" t="s">
        <v>8</v>
      </c>
      <c r="D5" s="3" t="s">
        <v>13</v>
      </c>
      <c r="E5" s="3" t="s">
        <v>14</v>
      </c>
      <c r="F5" s="4">
        <v>45971</v>
      </c>
    </row>
    <row r="6" spans="1:6">
      <c r="A6" s="2">
        <v>202512053</v>
      </c>
      <c r="B6" s="3" t="s">
        <v>15</v>
      </c>
      <c r="C6" s="3" t="s">
        <v>8</v>
      </c>
      <c r="D6" s="3" t="s">
        <v>16</v>
      </c>
      <c r="E6" s="3" t="s">
        <v>14</v>
      </c>
      <c r="F6" s="4">
        <v>45810</v>
      </c>
    </row>
    <row r="7" spans="1:6">
      <c r="A7" s="2">
        <v>202512053</v>
      </c>
      <c r="B7" s="3" t="s">
        <v>15</v>
      </c>
      <c r="C7" s="3" t="s">
        <v>8</v>
      </c>
      <c r="D7" s="3" t="s">
        <v>13</v>
      </c>
      <c r="E7" s="3" t="s">
        <v>14</v>
      </c>
      <c r="F7" s="4">
        <v>45972</v>
      </c>
    </row>
    <row r="8" spans="1:6">
      <c r="A8" s="2">
        <v>202512056</v>
      </c>
      <c r="B8" s="3" t="s">
        <v>17</v>
      </c>
      <c r="C8" s="3" t="s">
        <v>8</v>
      </c>
      <c r="D8" s="3" t="s">
        <v>13</v>
      </c>
      <c r="E8" s="3" t="s">
        <v>14</v>
      </c>
      <c r="F8" s="4">
        <v>45971</v>
      </c>
    </row>
    <row r="9" spans="1:6">
      <c r="A9" s="2">
        <v>202512057</v>
      </c>
      <c r="B9" s="3" t="s">
        <v>18</v>
      </c>
      <c r="C9" s="3" t="s">
        <v>8</v>
      </c>
      <c r="D9" s="3" t="s">
        <v>9</v>
      </c>
      <c r="E9" s="3" t="s">
        <v>10</v>
      </c>
      <c r="F9" s="4">
        <v>45772</v>
      </c>
    </row>
    <row r="10" spans="1:6">
      <c r="A10" s="2">
        <v>202512058</v>
      </c>
      <c r="B10" s="3" t="s">
        <v>19</v>
      </c>
      <c r="C10" s="3" t="s">
        <v>8</v>
      </c>
      <c r="D10" s="3" t="s">
        <v>11</v>
      </c>
      <c r="E10" s="3" t="s">
        <v>10</v>
      </c>
      <c r="F10" s="4">
        <v>45744</v>
      </c>
    </row>
    <row r="11" spans="1:6">
      <c r="A11" s="2">
        <v>202006154</v>
      </c>
      <c r="B11" s="3" t="s">
        <v>20</v>
      </c>
      <c r="C11" s="3" t="s">
        <v>21</v>
      </c>
      <c r="D11" s="3" t="s">
        <v>22</v>
      </c>
      <c r="E11" s="3" t="s">
        <v>14</v>
      </c>
      <c r="F11" s="4">
        <v>45899</v>
      </c>
    </row>
    <row r="12" spans="1:6">
      <c r="A12" s="2">
        <v>202006154</v>
      </c>
      <c r="B12" s="3" t="s">
        <v>20</v>
      </c>
      <c r="C12" s="3" t="s">
        <v>21</v>
      </c>
      <c r="D12" s="3" t="s">
        <v>23</v>
      </c>
      <c r="E12" s="3" t="s">
        <v>14</v>
      </c>
      <c r="F12" s="4">
        <v>45658</v>
      </c>
    </row>
    <row r="13" spans="1:6">
      <c r="A13" s="2">
        <v>202006154</v>
      </c>
      <c r="B13" s="3" t="s">
        <v>20</v>
      </c>
      <c r="C13" s="3" t="s">
        <v>21</v>
      </c>
      <c r="D13" s="3" t="s">
        <v>13</v>
      </c>
      <c r="E13" s="3" t="s">
        <v>14</v>
      </c>
      <c r="F13" s="4">
        <v>45887</v>
      </c>
    </row>
    <row r="14" spans="1:6">
      <c r="A14" s="2">
        <v>202006154</v>
      </c>
      <c r="B14" s="3" t="s">
        <v>20</v>
      </c>
      <c r="C14" s="3" t="s">
        <v>21</v>
      </c>
      <c r="D14" s="3" t="s">
        <v>24</v>
      </c>
      <c r="E14" s="3" t="s">
        <v>25</v>
      </c>
      <c r="F14" s="4">
        <v>45778</v>
      </c>
    </row>
    <row r="15" spans="1:6">
      <c r="A15" s="2">
        <v>202106028</v>
      </c>
      <c r="B15" s="3" t="s">
        <v>26</v>
      </c>
      <c r="C15" s="3" t="s">
        <v>21</v>
      </c>
      <c r="D15" s="3" t="s">
        <v>27</v>
      </c>
      <c r="E15" s="3" t="s">
        <v>10</v>
      </c>
      <c r="F15" s="4">
        <v>45960</v>
      </c>
    </row>
    <row r="16" spans="1:6">
      <c r="A16" s="2">
        <v>202106028</v>
      </c>
      <c r="B16" s="3" t="s">
        <v>26</v>
      </c>
      <c r="C16" s="3" t="s">
        <v>21</v>
      </c>
      <c r="D16" s="3" t="s">
        <v>9</v>
      </c>
      <c r="E16" s="3" t="s">
        <v>10</v>
      </c>
      <c r="F16" s="4">
        <v>45658</v>
      </c>
    </row>
    <row r="17" spans="1:6">
      <c r="A17" s="2">
        <v>202506012</v>
      </c>
      <c r="B17" s="3" t="s">
        <v>28</v>
      </c>
      <c r="C17" s="3" t="s">
        <v>21</v>
      </c>
      <c r="D17" s="3" t="s">
        <v>24</v>
      </c>
      <c r="E17" s="3" t="s">
        <v>25</v>
      </c>
      <c r="F17" s="4">
        <v>45658</v>
      </c>
    </row>
    <row r="18" spans="1:6">
      <c r="A18" s="2">
        <v>202506056</v>
      </c>
      <c r="B18" s="3" t="s">
        <v>29</v>
      </c>
      <c r="C18" s="3" t="s">
        <v>21</v>
      </c>
      <c r="D18" s="3" t="s">
        <v>9</v>
      </c>
      <c r="E18" s="3" t="s">
        <v>10</v>
      </c>
      <c r="F18" s="4">
        <v>45997</v>
      </c>
    </row>
    <row r="19" spans="1:6">
      <c r="A19" s="2">
        <v>202506073</v>
      </c>
      <c r="B19" s="3" t="s">
        <v>30</v>
      </c>
      <c r="C19" s="3" t="s">
        <v>21</v>
      </c>
      <c r="D19" s="3" t="s">
        <v>9</v>
      </c>
      <c r="E19" s="3" t="s">
        <v>10</v>
      </c>
      <c r="F19" s="4">
        <v>45926</v>
      </c>
    </row>
    <row r="20" spans="1:6">
      <c r="A20" s="2">
        <v>202528014</v>
      </c>
      <c r="B20" s="3" t="s">
        <v>31</v>
      </c>
      <c r="C20" s="3" t="s">
        <v>32</v>
      </c>
      <c r="D20" s="3" t="s">
        <v>33</v>
      </c>
      <c r="E20" s="3" t="s">
        <v>10</v>
      </c>
      <c r="F20" s="4">
        <v>45834</v>
      </c>
    </row>
    <row r="21" spans="1:6">
      <c r="A21" s="2">
        <v>202528014</v>
      </c>
      <c r="B21" s="3" t="s">
        <v>31</v>
      </c>
      <c r="C21" s="3" t="s">
        <v>32</v>
      </c>
      <c r="D21" s="3" t="s">
        <v>9</v>
      </c>
      <c r="E21" s="3" t="s">
        <v>10</v>
      </c>
      <c r="F21" s="4">
        <v>45835</v>
      </c>
    </row>
    <row r="22" spans="1:6">
      <c r="A22" s="2">
        <v>202528014</v>
      </c>
      <c r="B22" s="3" t="s">
        <v>31</v>
      </c>
      <c r="C22" s="3" t="s">
        <v>32</v>
      </c>
      <c r="D22" s="3" t="s">
        <v>34</v>
      </c>
      <c r="E22" s="3" t="s">
        <v>10</v>
      </c>
      <c r="F22" s="4">
        <v>45979</v>
      </c>
    </row>
    <row r="23" spans="1:6">
      <c r="A23" s="2">
        <v>202528027</v>
      </c>
      <c r="B23" s="3" t="s">
        <v>35</v>
      </c>
      <c r="C23" s="3" t="s">
        <v>32</v>
      </c>
      <c r="D23" s="3" t="s">
        <v>34</v>
      </c>
      <c r="E23" s="3" t="s">
        <v>10</v>
      </c>
      <c r="F23" s="4">
        <v>45754</v>
      </c>
    </row>
    <row r="24" spans="1:6">
      <c r="A24" s="2">
        <v>202528027</v>
      </c>
      <c r="B24" s="3" t="s">
        <v>35</v>
      </c>
      <c r="C24" s="3" t="s">
        <v>32</v>
      </c>
      <c r="D24" s="3" t="s">
        <v>24</v>
      </c>
      <c r="E24" s="3" t="s">
        <v>25</v>
      </c>
      <c r="F24" s="4">
        <v>45834</v>
      </c>
    </row>
    <row r="25" spans="1:6">
      <c r="A25" s="2">
        <v>202528052</v>
      </c>
      <c r="B25" s="3" t="s">
        <v>36</v>
      </c>
      <c r="C25" s="3" t="s">
        <v>32</v>
      </c>
      <c r="D25" s="3" t="s">
        <v>9</v>
      </c>
      <c r="E25" s="3" t="s">
        <v>10</v>
      </c>
      <c r="F25" s="4">
        <v>45807</v>
      </c>
    </row>
    <row r="26" spans="1:6">
      <c r="A26" s="2">
        <v>202528052</v>
      </c>
      <c r="B26" s="3" t="s">
        <v>36</v>
      </c>
      <c r="C26" s="3" t="s">
        <v>32</v>
      </c>
      <c r="D26" s="3" t="s">
        <v>37</v>
      </c>
      <c r="E26" s="3" t="s">
        <v>10</v>
      </c>
      <c r="F26" s="4">
        <v>45972</v>
      </c>
    </row>
    <row r="27" spans="1:6">
      <c r="A27" s="2">
        <v>202528052</v>
      </c>
      <c r="B27" s="3" t="s">
        <v>36</v>
      </c>
      <c r="C27" s="3" t="s">
        <v>32</v>
      </c>
      <c r="D27" s="3" t="s">
        <v>34</v>
      </c>
      <c r="E27" s="3" t="s">
        <v>10</v>
      </c>
      <c r="F27" s="4">
        <v>45972</v>
      </c>
    </row>
    <row r="28" spans="1:6">
      <c r="A28" s="2">
        <v>202528052</v>
      </c>
      <c r="B28" s="3" t="s">
        <v>36</v>
      </c>
      <c r="C28" s="3" t="s">
        <v>32</v>
      </c>
      <c r="D28" s="3" t="s">
        <v>24</v>
      </c>
      <c r="E28" s="3" t="s">
        <v>25</v>
      </c>
      <c r="F28" s="4">
        <v>45956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F28"/>
  <sheetViews>
    <sheetView workbookViewId="0"/>
  </sheetViews>
  <sheetFormatPr defaultRowHeight="17"/>
  <cols>
    <col min="1" max="1" width="12.1640625" customWidth="1"/>
    <col min="2" max="2" width="10.5" customWidth="1"/>
    <col min="3" max="3" width="10.33203125" customWidth="1"/>
    <col min="4" max="4" width="18.25" bestFit="1" customWidth="1"/>
    <col min="5" max="5" width="16.25" bestFit="1" customWidth="1"/>
    <col min="6" max="6" width="23.08203125" bestFit="1" customWidth="1"/>
  </cols>
  <sheetData>
    <row r="1" spans="1:6">
      <c r="A1" s="1" t="s">
        <v>0</v>
      </c>
      <c r="B1" s="1"/>
      <c r="C1" s="1"/>
      <c r="D1" s="1"/>
      <c r="E1" s="1"/>
      <c r="F1" s="1"/>
    </row>
    <row r="2" spans="1:6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6" t="s">
        <v>6</v>
      </c>
    </row>
    <row r="3" spans="1:6">
      <c r="A3" s="2">
        <v>202512024</v>
      </c>
      <c r="B3" s="3" t="s">
        <v>7</v>
      </c>
      <c r="C3" s="3" t="s">
        <v>8</v>
      </c>
      <c r="D3" s="3" t="s">
        <v>9</v>
      </c>
      <c r="E3" s="3" t="s">
        <v>10</v>
      </c>
      <c r="F3" s="4">
        <v>45704</v>
      </c>
    </row>
    <row r="4" spans="1:6">
      <c r="A4" s="2">
        <v>202512024</v>
      </c>
      <c r="B4" s="3" t="s">
        <v>7</v>
      </c>
      <c r="C4" s="3" t="s">
        <v>8</v>
      </c>
      <c r="D4" s="3" t="s">
        <v>11</v>
      </c>
      <c r="E4" s="3" t="s">
        <v>10</v>
      </c>
      <c r="F4" s="4">
        <v>45661</v>
      </c>
    </row>
    <row r="5" spans="1:6">
      <c r="A5" s="2">
        <v>202512049</v>
      </c>
      <c r="B5" s="3" t="s">
        <v>12</v>
      </c>
      <c r="C5" s="3" t="s">
        <v>8</v>
      </c>
      <c r="D5" s="3" t="s">
        <v>13</v>
      </c>
      <c r="E5" s="3" t="s">
        <v>14</v>
      </c>
      <c r="F5" s="4">
        <v>45971</v>
      </c>
    </row>
    <row r="6" spans="1:6">
      <c r="A6" s="2">
        <v>202512053</v>
      </c>
      <c r="B6" s="3" t="s">
        <v>15</v>
      </c>
      <c r="C6" s="3" t="s">
        <v>8</v>
      </c>
      <c r="D6" s="3" t="s">
        <v>16</v>
      </c>
      <c r="E6" s="3" t="s">
        <v>14</v>
      </c>
      <c r="F6" s="4">
        <v>45810</v>
      </c>
    </row>
    <row r="7" spans="1:6">
      <c r="A7" s="2">
        <v>202512053</v>
      </c>
      <c r="B7" s="3" t="s">
        <v>15</v>
      </c>
      <c r="C7" s="3" t="s">
        <v>8</v>
      </c>
      <c r="D7" s="3" t="s">
        <v>13</v>
      </c>
      <c r="E7" s="3" t="s">
        <v>14</v>
      </c>
      <c r="F7" s="4">
        <v>45972</v>
      </c>
    </row>
    <row r="8" spans="1:6">
      <c r="A8" s="2">
        <v>202512056</v>
      </c>
      <c r="B8" s="3" t="s">
        <v>17</v>
      </c>
      <c r="C8" s="3" t="s">
        <v>8</v>
      </c>
      <c r="D8" s="3" t="s">
        <v>13</v>
      </c>
      <c r="E8" s="3" t="s">
        <v>14</v>
      </c>
      <c r="F8" s="4">
        <v>45971</v>
      </c>
    </row>
    <row r="9" spans="1:6">
      <c r="A9" s="2">
        <v>202512057</v>
      </c>
      <c r="B9" s="3" t="s">
        <v>18</v>
      </c>
      <c r="C9" s="3" t="s">
        <v>8</v>
      </c>
      <c r="D9" s="3" t="s">
        <v>9</v>
      </c>
      <c r="E9" s="3" t="s">
        <v>10</v>
      </c>
      <c r="F9" s="4">
        <v>45772</v>
      </c>
    </row>
    <row r="10" spans="1:6">
      <c r="A10" s="2">
        <v>202512058</v>
      </c>
      <c r="B10" s="3" t="s">
        <v>19</v>
      </c>
      <c r="C10" s="3" t="s">
        <v>8</v>
      </c>
      <c r="D10" s="3" t="s">
        <v>11</v>
      </c>
      <c r="E10" s="3" t="s">
        <v>10</v>
      </c>
      <c r="F10" s="4">
        <v>45744</v>
      </c>
    </row>
    <row r="11" spans="1:6">
      <c r="A11" s="2">
        <v>202006154</v>
      </c>
      <c r="B11" s="3" t="s">
        <v>20</v>
      </c>
      <c r="C11" s="3" t="s">
        <v>21</v>
      </c>
      <c r="D11" s="3" t="s">
        <v>22</v>
      </c>
      <c r="E11" s="3" t="s">
        <v>14</v>
      </c>
      <c r="F11" s="4">
        <v>45899</v>
      </c>
    </row>
    <row r="12" spans="1:6">
      <c r="A12" s="2">
        <v>202006154</v>
      </c>
      <c r="B12" s="3" t="s">
        <v>20</v>
      </c>
      <c r="C12" s="3" t="s">
        <v>21</v>
      </c>
      <c r="D12" s="3" t="s">
        <v>23</v>
      </c>
      <c r="E12" s="3" t="s">
        <v>14</v>
      </c>
      <c r="F12" s="4">
        <v>45658</v>
      </c>
    </row>
    <row r="13" spans="1:6">
      <c r="A13" s="2">
        <v>202006154</v>
      </c>
      <c r="B13" s="3" t="s">
        <v>20</v>
      </c>
      <c r="C13" s="3" t="s">
        <v>21</v>
      </c>
      <c r="D13" s="3" t="s">
        <v>13</v>
      </c>
      <c r="E13" s="3" t="s">
        <v>14</v>
      </c>
      <c r="F13" s="4">
        <v>45887</v>
      </c>
    </row>
    <row r="14" spans="1:6">
      <c r="A14" s="2">
        <v>202006154</v>
      </c>
      <c r="B14" s="3" t="s">
        <v>20</v>
      </c>
      <c r="C14" s="3" t="s">
        <v>21</v>
      </c>
      <c r="D14" s="3" t="s">
        <v>24</v>
      </c>
      <c r="E14" s="3" t="s">
        <v>25</v>
      </c>
      <c r="F14" s="4">
        <v>45778</v>
      </c>
    </row>
    <row r="15" spans="1:6">
      <c r="A15" s="2">
        <v>202106028</v>
      </c>
      <c r="B15" s="3" t="s">
        <v>26</v>
      </c>
      <c r="C15" s="3" t="s">
        <v>21</v>
      </c>
      <c r="D15" s="3" t="s">
        <v>27</v>
      </c>
      <c r="E15" s="3" t="s">
        <v>10</v>
      </c>
      <c r="F15" s="4">
        <v>45960</v>
      </c>
    </row>
    <row r="16" spans="1:6">
      <c r="A16" s="2">
        <v>202106028</v>
      </c>
      <c r="B16" s="3" t="s">
        <v>26</v>
      </c>
      <c r="C16" s="3" t="s">
        <v>21</v>
      </c>
      <c r="D16" s="3" t="s">
        <v>9</v>
      </c>
      <c r="E16" s="3" t="s">
        <v>10</v>
      </c>
      <c r="F16" s="4">
        <v>45658</v>
      </c>
    </row>
    <row r="17" spans="1:6">
      <c r="A17" s="2">
        <v>202506012</v>
      </c>
      <c r="B17" s="3" t="s">
        <v>28</v>
      </c>
      <c r="C17" s="3" t="s">
        <v>21</v>
      </c>
      <c r="D17" s="3" t="s">
        <v>24</v>
      </c>
      <c r="E17" s="3" t="s">
        <v>25</v>
      </c>
      <c r="F17" s="4">
        <v>45658</v>
      </c>
    </row>
    <row r="18" spans="1:6">
      <c r="A18" s="2">
        <v>202506056</v>
      </c>
      <c r="B18" s="3" t="s">
        <v>29</v>
      </c>
      <c r="C18" s="3" t="s">
        <v>21</v>
      </c>
      <c r="D18" s="3" t="s">
        <v>9</v>
      </c>
      <c r="E18" s="3" t="s">
        <v>10</v>
      </c>
      <c r="F18" s="4">
        <v>45997</v>
      </c>
    </row>
    <row r="19" spans="1:6">
      <c r="A19" s="2">
        <v>202506073</v>
      </c>
      <c r="B19" s="3" t="s">
        <v>30</v>
      </c>
      <c r="C19" s="3" t="s">
        <v>21</v>
      </c>
      <c r="D19" s="3" t="s">
        <v>9</v>
      </c>
      <c r="E19" s="3" t="s">
        <v>10</v>
      </c>
      <c r="F19" s="4">
        <v>45926</v>
      </c>
    </row>
    <row r="20" spans="1:6">
      <c r="A20" s="2">
        <v>202528014</v>
      </c>
      <c r="B20" s="3" t="s">
        <v>31</v>
      </c>
      <c r="C20" s="3" t="s">
        <v>32</v>
      </c>
      <c r="D20" s="3" t="s">
        <v>33</v>
      </c>
      <c r="E20" s="3" t="s">
        <v>10</v>
      </c>
      <c r="F20" s="4">
        <v>45834</v>
      </c>
    </row>
    <row r="21" spans="1:6">
      <c r="A21" s="2">
        <v>202528014</v>
      </c>
      <c r="B21" s="3" t="s">
        <v>31</v>
      </c>
      <c r="C21" s="3" t="s">
        <v>32</v>
      </c>
      <c r="D21" s="3" t="s">
        <v>9</v>
      </c>
      <c r="E21" s="3" t="s">
        <v>10</v>
      </c>
      <c r="F21" s="4">
        <v>45835</v>
      </c>
    </row>
    <row r="22" spans="1:6">
      <c r="A22" s="2">
        <v>202528014</v>
      </c>
      <c r="B22" s="3" t="s">
        <v>31</v>
      </c>
      <c r="C22" s="3" t="s">
        <v>32</v>
      </c>
      <c r="D22" s="3" t="s">
        <v>34</v>
      </c>
      <c r="E22" s="3" t="s">
        <v>10</v>
      </c>
      <c r="F22" s="4">
        <v>45979</v>
      </c>
    </row>
    <row r="23" spans="1:6">
      <c r="A23" s="2">
        <v>202528027</v>
      </c>
      <c r="B23" s="3" t="s">
        <v>35</v>
      </c>
      <c r="C23" s="3" t="s">
        <v>32</v>
      </c>
      <c r="D23" s="3" t="s">
        <v>34</v>
      </c>
      <c r="E23" s="3" t="s">
        <v>10</v>
      </c>
      <c r="F23" s="4">
        <v>45754</v>
      </c>
    </row>
    <row r="24" spans="1:6">
      <c r="A24" s="2">
        <v>202528027</v>
      </c>
      <c r="B24" s="3" t="s">
        <v>35</v>
      </c>
      <c r="C24" s="3" t="s">
        <v>32</v>
      </c>
      <c r="D24" s="3" t="s">
        <v>24</v>
      </c>
      <c r="E24" s="3" t="s">
        <v>25</v>
      </c>
      <c r="F24" s="4">
        <v>45834</v>
      </c>
    </row>
    <row r="25" spans="1:6">
      <c r="A25" s="2">
        <v>202528052</v>
      </c>
      <c r="B25" s="3" t="s">
        <v>36</v>
      </c>
      <c r="C25" s="3" t="s">
        <v>32</v>
      </c>
      <c r="D25" s="3" t="s">
        <v>9</v>
      </c>
      <c r="E25" s="3" t="s">
        <v>10</v>
      </c>
      <c r="F25" s="4">
        <v>45807</v>
      </c>
    </row>
    <row r="26" spans="1:6">
      <c r="A26" s="2">
        <v>202528052</v>
      </c>
      <c r="B26" s="3" t="s">
        <v>36</v>
      </c>
      <c r="C26" s="3" t="s">
        <v>32</v>
      </c>
      <c r="D26" s="3" t="s">
        <v>37</v>
      </c>
      <c r="E26" s="3" t="s">
        <v>10</v>
      </c>
      <c r="F26" s="4">
        <v>45972</v>
      </c>
    </row>
    <row r="27" spans="1:6">
      <c r="A27" s="2">
        <v>202528052</v>
      </c>
      <c r="B27" s="3" t="s">
        <v>36</v>
      </c>
      <c r="C27" s="3" t="s">
        <v>32</v>
      </c>
      <c r="D27" s="3" t="s">
        <v>34</v>
      </c>
      <c r="E27" s="3" t="s">
        <v>10</v>
      </c>
      <c r="F27" s="4">
        <v>45972</v>
      </c>
    </row>
    <row r="28" spans="1:6">
      <c r="A28" s="2">
        <v>202528052</v>
      </c>
      <c r="B28" s="3" t="s">
        <v>36</v>
      </c>
      <c r="C28" s="3" t="s">
        <v>32</v>
      </c>
      <c r="D28" s="3" t="s">
        <v>24</v>
      </c>
      <c r="E28" s="3" t="s">
        <v>25</v>
      </c>
      <c r="F28" s="4">
        <v>45956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65"/>
  <sheetViews>
    <sheetView workbookViewId="0"/>
  </sheetViews>
  <sheetFormatPr defaultRowHeight="17"/>
  <cols>
    <col min="1" max="1" width="11.1640625" customWidth="1"/>
    <col min="2" max="2" width="20" bestFit="1" customWidth="1"/>
    <col min="3" max="3" width="16.4140625" bestFit="1" customWidth="1"/>
    <col min="4" max="4" width="18.25" bestFit="1" customWidth="1"/>
    <col min="5" max="5" width="20" customWidth="1"/>
    <col min="6" max="6" width="15.5" customWidth="1"/>
  </cols>
  <sheetData>
    <row r="1" spans="1:7">
      <c r="A1" s="1" t="s">
        <v>38</v>
      </c>
      <c r="B1" s="1"/>
      <c r="C1" s="1"/>
      <c r="D1" s="7"/>
      <c r="E1" s="8" t="s">
        <v>39</v>
      </c>
      <c r="F1" s="8"/>
      <c r="G1" s="7"/>
    </row>
    <row r="2" spans="1:7">
      <c r="A2" s="9" t="s">
        <v>40</v>
      </c>
      <c r="B2" s="26" t="s">
        <v>41</v>
      </c>
      <c r="C2" s="26" t="s">
        <v>42</v>
      </c>
      <c r="D2" s="7"/>
      <c r="E2" s="10" t="s">
        <v>43</v>
      </c>
      <c r="F2" s="27" t="s">
        <v>44</v>
      </c>
      <c r="G2" s="7"/>
    </row>
    <row r="3" spans="1:7">
      <c r="A3" s="11" t="s">
        <v>45</v>
      </c>
      <c r="B3" s="12"/>
      <c r="C3" s="12"/>
      <c r="D3" s="7"/>
      <c r="E3" s="13" t="s">
        <v>46</v>
      </c>
      <c r="F3" s="13"/>
      <c r="G3" s="7"/>
    </row>
    <row r="4" spans="1:7">
      <c r="A4" s="11" t="s">
        <v>47</v>
      </c>
      <c r="B4" s="12"/>
      <c r="C4" s="12"/>
      <c r="D4" s="7"/>
      <c r="E4" s="13" t="s">
        <v>48</v>
      </c>
      <c r="F4" s="13"/>
      <c r="G4" s="7"/>
    </row>
    <row r="5" spans="1:7">
      <c r="A5" s="11" t="s">
        <v>49</v>
      </c>
      <c r="B5" s="12"/>
      <c r="C5" s="12"/>
      <c r="D5" s="7"/>
      <c r="E5" s="13" t="s">
        <v>50</v>
      </c>
      <c r="F5" s="13"/>
      <c r="G5" s="7"/>
    </row>
    <row r="6" spans="1:7">
      <c r="A6" s="1"/>
      <c r="B6" s="1"/>
      <c r="C6" s="1"/>
      <c r="D6" s="7"/>
      <c r="E6" s="14" t="s">
        <v>51</v>
      </c>
      <c r="F6" s="13"/>
      <c r="G6" s="7"/>
    </row>
    <row r="7" spans="1:7">
      <c r="A7" s="1"/>
      <c r="B7" s="1"/>
      <c r="C7" s="1"/>
      <c r="D7" s="7"/>
      <c r="E7" s="14" t="s">
        <v>52</v>
      </c>
      <c r="F7" s="13"/>
      <c r="G7" s="7"/>
    </row>
    <row r="8" spans="1:7">
      <c r="A8" s="1" t="s">
        <v>53</v>
      </c>
      <c r="B8" s="1"/>
      <c r="C8" s="1"/>
      <c r="D8" s="1"/>
      <c r="E8" s="1"/>
      <c r="F8" s="7"/>
      <c r="G8" s="7"/>
    </row>
    <row r="9" spans="1:7">
      <c r="A9" s="15" t="s">
        <v>1</v>
      </c>
      <c r="B9" s="15" t="s">
        <v>2</v>
      </c>
      <c r="C9" s="15" t="s">
        <v>54</v>
      </c>
      <c r="D9" s="15" t="s">
        <v>4</v>
      </c>
      <c r="E9" s="15" t="s">
        <v>5</v>
      </c>
      <c r="F9" s="28" t="s">
        <v>55</v>
      </c>
      <c r="G9" s="7"/>
    </row>
    <row r="10" spans="1:7">
      <c r="A10" s="11">
        <v>202528052</v>
      </c>
      <c r="B10" s="11" t="s">
        <v>56</v>
      </c>
      <c r="C10" s="11" t="s">
        <v>57</v>
      </c>
      <c r="D10" s="11" t="s">
        <v>34</v>
      </c>
      <c r="E10" s="11" t="s">
        <v>10</v>
      </c>
      <c r="F10" s="16"/>
      <c r="G10" s="7"/>
    </row>
    <row r="11" spans="1:7">
      <c r="A11" s="11">
        <v>202512049</v>
      </c>
      <c r="B11" s="11" t="s">
        <v>12</v>
      </c>
      <c r="C11" s="11" t="s">
        <v>45</v>
      </c>
      <c r="D11" s="11" t="s">
        <v>13</v>
      </c>
      <c r="E11" s="11" t="s">
        <v>14</v>
      </c>
      <c r="F11" s="16"/>
      <c r="G11" s="7"/>
    </row>
    <row r="12" spans="1:7">
      <c r="A12" s="11">
        <v>202512024</v>
      </c>
      <c r="B12" s="11" t="s">
        <v>7</v>
      </c>
      <c r="C12" s="11" t="s">
        <v>45</v>
      </c>
      <c r="D12" s="11" t="s">
        <v>9</v>
      </c>
      <c r="E12" s="11" t="s">
        <v>10</v>
      </c>
      <c r="F12" s="16"/>
      <c r="G12" s="7"/>
    </row>
    <row r="13" spans="1:7">
      <c r="A13" s="11">
        <v>202512024</v>
      </c>
      <c r="B13" s="11" t="s">
        <v>7</v>
      </c>
      <c r="C13" s="11" t="s">
        <v>45</v>
      </c>
      <c r="D13" s="11" t="s">
        <v>11</v>
      </c>
      <c r="E13" s="11" t="s">
        <v>10</v>
      </c>
      <c r="F13" s="16"/>
      <c r="G13" s="7"/>
    </row>
    <row r="14" spans="1:7">
      <c r="A14" s="11">
        <v>202406154</v>
      </c>
      <c r="B14" s="11" t="s">
        <v>58</v>
      </c>
      <c r="C14" s="11" t="s">
        <v>59</v>
      </c>
      <c r="D14" s="11" t="s">
        <v>9</v>
      </c>
      <c r="E14" s="11" t="s">
        <v>10</v>
      </c>
      <c r="F14" s="16"/>
      <c r="G14" s="7"/>
    </row>
    <row r="15" spans="1:7">
      <c r="A15" s="11">
        <v>202512053</v>
      </c>
      <c r="B15" s="11" t="s">
        <v>15</v>
      </c>
      <c r="C15" s="11" t="s">
        <v>8</v>
      </c>
      <c r="D15" s="11" t="s">
        <v>16</v>
      </c>
      <c r="E15" s="11" t="s">
        <v>14</v>
      </c>
      <c r="F15" s="16"/>
      <c r="G15" s="7"/>
    </row>
    <row r="16" spans="1:7">
      <c r="A16" s="11">
        <v>202506056</v>
      </c>
      <c r="B16" s="11" t="s">
        <v>29</v>
      </c>
      <c r="C16" s="11" t="s">
        <v>60</v>
      </c>
      <c r="D16" s="11" t="s">
        <v>9</v>
      </c>
      <c r="E16" s="11" t="s">
        <v>10</v>
      </c>
      <c r="F16" s="16"/>
      <c r="G16" s="7"/>
    </row>
    <row r="17" spans="1:7">
      <c r="A17" s="11">
        <v>202406154</v>
      </c>
      <c r="B17" s="11" t="s">
        <v>58</v>
      </c>
      <c r="C17" s="11" t="s">
        <v>47</v>
      </c>
      <c r="D17" s="11" t="s">
        <v>23</v>
      </c>
      <c r="E17" s="11" t="s">
        <v>14</v>
      </c>
      <c r="F17" s="16"/>
      <c r="G17" s="7"/>
    </row>
    <row r="18" spans="1:7">
      <c r="A18" s="11">
        <v>202528027</v>
      </c>
      <c r="B18" s="11" t="s">
        <v>61</v>
      </c>
      <c r="C18" s="11" t="s">
        <v>57</v>
      </c>
      <c r="D18" s="11" t="s">
        <v>34</v>
      </c>
      <c r="E18" s="11" t="s">
        <v>10</v>
      </c>
      <c r="F18" s="16"/>
      <c r="G18" s="7"/>
    </row>
    <row r="19" spans="1:7">
      <c r="A19" s="11">
        <v>202528052</v>
      </c>
      <c r="B19" s="11" t="s">
        <v>56</v>
      </c>
      <c r="C19" s="11" t="s">
        <v>62</v>
      </c>
      <c r="D19" s="11" t="s">
        <v>9</v>
      </c>
      <c r="E19" s="11" t="s">
        <v>10</v>
      </c>
      <c r="F19" s="16"/>
      <c r="G19" s="7"/>
    </row>
    <row r="20" spans="1:7">
      <c r="A20" s="11">
        <v>202406154</v>
      </c>
      <c r="B20" s="11" t="s">
        <v>63</v>
      </c>
      <c r="C20" s="11" t="s">
        <v>47</v>
      </c>
      <c r="D20" s="11" t="s">
        <v>64</v>
      </c>
      <c r="E20" s="11" t="s">
        <v>10</v>
      </c>
      <c r="F20" s="16"/>
      <c r="G20" s="7"/>
    </row>
    <row r="21" spans="1:7">
      <c r="A21" s="11">
        <v>202406154</v>
      </c>
      <c r="B21" s="11" t="s">
        <v>58</v>
      </c>
      <c r="C21" s="11" t="s">
        <v>47</v>
      </c>
      <c r="D21" s="11" t="s">
        <v>13</v>
      </c>
      <c r="E21" s="11" t="s">
        <v>14</v>
      </c>
      <c r="F21" s="16"/>
      <c r="G21" s="7"/>
    </row>
    <row r="22" spans="1:7">
      <c r="A22" s="11">
        <v>202528014</v>
      </c>
      <c r="B22" s="11" t="s">
        <v>65</v>
      </c>
      <c r="C22" s="11" t="s">
        <v>57</v>
      </c>
      <c r="D22" s="11" t="s">
        <v>34</v>
      </c>
      <c r="E22" s="11" t="s">
        <v>10</v>
      </c>
      <c r="F22" s="16"/>
      <c r="G22" s="7"/>
    </row>
    <row r="23" spans="1:7">
      <c r="A23" s="11">
        <v>202512053</v>
      </c>
      <c r="B23" s="11" t="s">
        <v>15</v>
      </c>
      <c r="C23" s="11" t="s">
        <v>45</v>
      </c>
      <c r="D23" s="11" t="s">
        <v>13</v>
      </c>
      <c r="E23" s="11" t="s">
        <v>14</v>
      </c>
      <c r="F23" s="16"/>
      <c r="G23" s="7"/>
    </row>
    <row r="24" spans="1:7">
      <c r="A24" s="11">
        <v>202512056</v>
      </c>
      <c r="B24" s="11" t="s">
        <v>17</v>
      </c>
      <c r="C24" s="11" t="s">
        <v>8</v>
      </c>
      <c r="D24" s="11" t="s">
        <v>13</v>
      </c>
      <c r="E24" s="11" t="s">
        <v>14</v>
      </c>
      <c r="F24" s="16"/>
      <c r="G24" s="7"/>
    </row>
    <row r="25" spans="1:7">
      <c r="A25" s="11">
        <v>202406154</v>
      </c>
      <c r="B25" s="11" t="s">
        <v>58</v>
      </c>
      <c r="C25" s="11" t="s">
        <v>59</v>
      </c>
      <c r="D25" s="11" t="s">
        <v>22</v>
      </c>
      <c r="E25" s="11" t="s">
        <v>14</v>
      </c>
      <c r="F25" s="16"/>
      <c r="G25" s="7"/>
    </row>
    <row r="26" spans="1:7">
      <c r="A26" s="11">
        <v>202406154</v>
      </c>
      <c r="B26" s="11" t="s">
        <v>58</v>
      </c>
      <c r="C26" s="11" t="s">
        <v>47</v>
      </c>
      <c r="D26" s="11" t="s">
        <v>11</v>
      </c>
      <c r="E26" s="11" t="s">
        <v>10</v>
      </c>
      <c r="F26" s="16"/>
      <c r="G26" s="7"/>
    </row>
    <row r="27" spans="1:7">
      <c r="A27" s="11">
        <v>202528052</v>
      </c>
      <c r="B27" s="11" t="s">
        <v>66</v>
      </c>
      <c r="C27" s="11" t="s">
        <v>57</v>
      </c>
      <c r="D27" s="11" t="s">
        <v>67</v>
      </c>
      <c r="E27" s="11" t="s">
        <v>10</v>
      </c>
      <c r="F27" s="16"/>
      <c r="G27" s="7"/>
    </row>
    <row r="28" spans="1:7">
      <c r="A28" s="11">
        <v>202528052</v>
      </c>
      <c r="B28" s="11" t="s">
        <v>68</v>
      </c>
      <c r="C28" s="11" t="s">
        <v>62</v>
      </c>
      <c r="D28" s="11" t="s">
        <v>37</v>
      </c>
      <c r="E28" s="11" t="s">
        <v>10</v>
      </c>
      <c r="F28" s="16"/>
      <c r="G28" s="7"/>
    </row>
    <row r="29" spans="1:7">
      <c r="A29" s="11">
        <v>202528014</v>
      </c>
      <c r="B29" s="11" t="s">
        <v>65</v>
      </c>
      <c r="C29" s="11" t="s">
        <v>57</v>
      </c>
      <c r="D29" s="11" t="s">
        <v>9</v>
      </c>
      <c r="E29" s="11" t="s">
        <v>10</v>
      </c>
      <c r="F29" s="16"/>
      <c r="G29" s="7"/>
    </row>
    <row r="30" spans="1:7">
      <c r="A30" s="11">
        <v>202512058</v>
      </c>
      <c r="B30" s="11" t="s">
        <v>19</v>
      </c>
      <c r="C30" s="11" t="s">
        <v>45</v>
      </c>
      <c r="D30" s="11" t="s">
        <v>11</v>
      </c>
      <c r="E30" s="11" t="s">
        <v>10</v>
      </c>
      <c r="F30" s="16"/>
      <c r="G30" s="7"/>
    </row>
    <row r="31" spans="1:7">
      <c r="A31" s="11">
        <v>202106028</v>
      </c>
      <c r="B31" s="11" t="s">
        <v>26</v>
      </c>
      <c r="C31" s="11" t="s">
        <v>47</v>
      </c>
      <c r="D31" s="11" t="s">
        <v>9</v>
      </c>
      <c r="E31" s="11" t="s">
        <v>10</v>
      </c>
      <c r="F31" s="16"/>
      <c r="G31" s="7"/>
    </row>
    <row r="32" spans="1:7">
      <c r="A32" s="11">
        <v>202406154</v>
      </c>
      <c r="B32" s="11" t="s">
        <v>63</v>
      </c>
      <c r="C32" s="11" t="s">
        <v>47</v>
      </c>
      <c r="D32" s="11" t="s">
        <v>69</v>
      </c>
      <c r="E32" s="11" t="s">
        <v>10</v>
      </c>
      <c r="F32" s="16"/>
      <c r="G32" s="7"/>
    </row>
    <row r="33" spans="1:7">
      <c r="A33" s="11">
        <v>202406014</v>
      </c>
      <c r="B33" s="11" t="s">
        <v>70</v>
      </c>
      <c r="C33" s="11" t="s">
        <v>47</v>
      </c>
      <c r="D33" s="11" t="s">
        <v>9</v>
      </c>
      <c r="E33" s="11" t="s">
        <v>10</v>
      </c>
      <c r="F33" s="16"/>
      <c r="G33" s="7"/>
    </row>
    <row r="34" spans="1:7">
      <c r="A34" s="11">
        <v>202506073</v>
      </c>
      <c r="B34" s="11" t="s">
        <v>30</v>
      </c>
      <c r="C34" s="11" t="s">
        <v>47</v>
      </c>
      <c r="D34" s="11" t="s">
        <v>9</v>
      </c>
      <c r="E34" s="11" t="s">
        <v>10</v>
      </c>
      <c r="F34" s="16"/>
      <c r="G34" s="7"/>
    </row>
    <row r="35" spans="1:7">
      <c r="A35" s="11">
        <v>202512058</v>
      </c>
      <c r="B35" s="11" t="s">
        <v>19</v>
      </c>
      <c r="C35" s="11" t="s">
        <v>8</v>
      </c>
      <c r="D35" s="11" t="s">
        <v>13</v>
      </c>
      <c r="E35" s="11" t="s">
        <v>14</v>
      </c>
      <c r="F35" s="16"/>
      <c r="G35" s="7"/>
    </row>
    <row r="36" spans="1:7">
      <c r="A36" s="11">
        <v>202512057</v>
      </c>
      <c r="B36" s="11" t="s">
        <v>18</v>
      </c>
      <c r="C36" s="11" t="s">
        <v>45</v>
      </c>
      <c r="D36" s="11" t="s">
        <v>9</v>
      </c>
      <c r="E36" s="11" t="s">
        <v>10</v>
      </c>
      <c r="F36" s="16"/>
      <c r="G36" s="7"/>
    </row>
    <row r="37" spans="1:7">
      <c r="A37" s="11">
        <v>202528014</v>
      </c>
      <c r="B37" s="11" t="s">
        <v>65</v>
      </c>
      <c r="C37" s="11" t="s">
        <v>57</v>
      </c>
      <c r="D37" s="11" t="s">
        <v>33</v>
      </c>
      <c r="E37" s="11" t="s">
        <v>10</v>
      </c>
      <c r="F37" s="16"/>
      <c r="G37" s="7"/>
    </row>
    <row r="38" spans="1:7">
      <c r="A38" s="7"/>
      <c r="B38" s="7"/>
      <c r="C38" s="7"/>
      <c r="D38" s="7"/>
      <c r="E38" s="7"/>
      <c r="F38" s="7"/>
      <c r="G38" s="7"/>
    </row>
    <row r="39" spans="1:7">
      <c r="A39" s="7"/>
      <c r="B39" s="7"/>
      <c r="C39" s="7"/>
      <c r="D39" s="7"/>
      <c r="E39" s="7"/>
      <c r="F39" s="7"/>
      <c r="G39" s="7"/>
    </row>
    <row r="40" spans="1:7">
      <c r="A40" s="7"/>
      <c r="B40" s="1" t="s">
        <v>71</v>
      </c>
      <c r="C40" s="7"/>
      <c r="D40" s="7"/>
      <c r="E40" s="7"/>
      <c r="F40" s="7"/>
      <c r="G40" s="7"/>
    </row>
    <row r="41" spans="1:7">
      <c r="A41" s="7"/>
      <c r="B41" s="17" t="s">
        <v>4</v>
      </c>
      <c r="C41" s="18" t="s">
        <v>72</v>
      </c>
      <c r="D41" s="7"/>
      <c r="E41" s="7"/>
      <c r="F41" s="7"/>
      <c r="G41" s="7"/>
    </row>
    <row r="42" spans="1:7">
      <c r="A42" s="7"/>
      <c r="B42" s="19" t="s">
        <v>37</v>
      </c>
      <c r="C42" s="20">
        <v>300000</v>
      </c>
      <c r="D42" s="7"/>
      <c r="E42" s="7"/>
      <c r="F42" s="7"/>
      <c r="G42" s="7"/>
    </row>
    <row r="43" spans="1:7">
      <c r="A43" s="7"/>
      <c r="B43" s="2" t="s">
        <v>34</v>
      </c>
      <c r="C43" s="21">
        <v>200000</v>
      </c>
      <c r="D43" s="7"/>
      <c r="E43" s="7"/>
      <c r="F43" s="7"/>
      <c r="G43" s="7"/>
    </row>
    <row r="44" spans="1:7">
      <c r="A44" s="7"/>
      <c r="B44" s="2" t="s">
        <v>67</v>
      </c>
      <c r="C44" s="21">
        <v>100000</v>
      </c>
      <c r="D44" s="7"/>
      <c r="E44" s="7"/>
      <c r="F44" s="7"/>
      <c r="G44" s="7"/>
    </row>
    <row r="45" spans="1:7">
      <c r="A45" s="7"/>
      <c r="B45" s="2" t="s">
        <v>13</v>
      </c>
      <c r="C45" s="21">
        <v>400000</v>
      </c>
      <c r="D45" s="7"/>
      <c r="E45" s="7"/>
      <c r="F45" s="7"/>
      <c r="G45" s="7"/>
    </row>
    <row r="46" spans="1:7">
      <c r="A46" s="7"/>
      <c r="B46" s="2" t="s">
        <v>11</v>
      </c>
      <c r="C46" s="21">
        <v>200000</v>
      </c>
      <c r="D46" s="7"/>
      <c r="E46" s="7"/>
      <c r="F46" s="7"/>
      <c r="G46" s="7"/>
    </row>
    <row r="47" spans="1:7">
      <c r="A47" s="7"/>
      <c r="B47" s="2" t="s">
        <v>69</v>
      </c>
      <c r="C47" s="21">
        <v>100000</v>
      </c>
      <c r="D47" s="7"/>
      <c r="E47" s="7"/>
      <c r="F47" s="7"/>
      <c r="G47" s="7"/>
    </row>
    <row r="48" spans="1:7">
      <c r="A48" s="7"/>
      <c r="B48" s="2" t="s">
        <v>33</v>
      </c>
      <c r="C48" s="22">
        <v>200000</v>
      </c>
      <c r="D48" s="7"/>
      <c r="E48" s="7"/>
      <c r="F48" s="7"/>
      <c r="G48" s="7"/>
    </row>
    <row r="49" spans="1:7">
      <c r="A49" s="7"/>
      <c r="B49" s="2" t="s">
        <v>64</v>
      </c>
      <c r="C49" s="23">
        <v>300000</v>
      </c>
      <c r="D49" s="7"/>
      <c r="E49" s="7"/>
      <c r="F49" s="7"/>
      <c r="G49" s="7"/>
    </row>
    <row r="50" spans="1:7">
      <c r="A50" s="7"/>
      <c r="B50" s="2" t="s">
        <v>16</v>
      </c>
      <c r="C50" s="21">
        <v>400000</v>
      </c>
      <c r="D50" s="7"/>
      <c r="E50" s="7"/>
      <c r="F50" s="7"/>
      <c r="G50" s="7"/>
    </row>
    <row r="51" spans="1:7">
      <c r="A51" s="7"/>
      <c r="B51" s="24" t="s">
        <v>9</v>
      </c>
      <c r="C51" s="25">
        <v>200000</v>
      </c>
      <c r="D51" s="7"/>
      <c r="E51" s="7"/>
      <c r="F51" s="7"/>
      <c r="G51" s="7"/>
    </row>
    <row r="52" spans="1:7">
      <c r="A52" s="7"/>
      <c r="B52" s="7"/>
      <c r="C52" s="7"/>
      <c r="D52" s="7"/>
      <c r="E52" s="7"/>
      <c r="F52" s="7"/>
      <c r="G52" s="7"/>
    </row>
    <row r="53" spans="1:7">
      <c r="A53" s="7"/>
      <c r="B53" s="7"/>
      <c r="C53" s="7"/>
      <c r="D53" s="7"/>
      <c r="E53" s="7"/>
      <c r="F53" s="7"/>
      <c r="G53" s="7"/>
    </row>
    <row r="54" spans="1:7">
      <c r="A54" s="7"/>
      <c r="B54" s="7"/>
      <c r="C54" s="7"/>
      <c r="D54" s="7"/>
      <c r="E54" s="7"/>
      <c r="F54" s="7"/>
      <c r="G54" s="7"/>
    </row>
    <row r="55" spans="1:7">
      <c r="A55" s="7"/>
      <c r="B55" s="7"/>
      <c r="C55" s="7"/>
      <c r="D55" s="7"/>
      <c r="E55" s="7"/>
      <c r="F55" s="7"/>
      <c r="G55" s="7"/>
    </row>
    <row r="56" spans="1:7">
      <c r="A56" s="7"/>
      <c r="B56" s="7"/>
      <c r="C56" s="7"/>
      <c r="D56" s="7"/>
      <c r="E56" s="7"/>
      <c r="F56" s="7"/>
      <c r="G56" s="7"/>
    </row>
    <row r="57" spans="1:7">
      <c r="A57" s="7"/>
      <c r="B57" s="7"/>
      <c r="C57" s="7"/>
      <c r="D57" s="7"/>
      <c r="E57" s="7"/>
      <c r="F57" s="7"/>
      <c r="G57" s="7"/>
    </row>
    <row r="58" spans="1:7">
      <c r="A58" s="7"/>
      <c r="B58" s="7"/>
      <c r="C58" s="7"/>
      <c r="D58" s="7"/>
      <c r="E58" s="7"/>
      <c r="F58" s="7"/>
      <c r="G58" s="7"/>
    </row>
    <row r="59" spans="1:7">
      <c r="A59" s="7"/>
      <c r="B59" s="7"/>
      <c r="C59" s="7"/>
      <c r="D59" s="7"/>
      <c r="E59" s="7"/>
      <c r="F59" s="7"/>
      <c r="G59" s="7"/>
    </row>
    <row r="60" spans="1:7">
      <c r="A60" s="7"/>
      <c r="B60" s="7"/>
      <c r="C60" s="7"/>
      <c r="D60" s="7"/>
      <c r="E60" s="7"/>
      <c r="F60" s="7"/>
      <c r="G60" s="7"/>
    </row>
    <row r="61" spans="1:7">
      <c r="A61" s="7"/>
      <c r="B61" s="7"/>
      <c r="C61" s="7"/>
      <c r="D61" s="7"/>
      <c r="E61" s="7"/>
      <c r="F61" s="7"/>
      <c r="G61" s="7"/>
    </row>
    <row r="62" spans="1:7">
      <c r="A62" s="7"/>
      <c r="B62" s="7"/>
      <c r="C62" s="7"/>
      <c r="D62" s="7"/>
      <c r="E62" s="7"/>
      <c r="F62" s="7"/>
      <c r="G62" s="7"/>
    </row>
    <row r="63" spans="1:7">
      <c r="A63" s="7"/>
      <c r="B63" s="7"/>
      <c r="C63" s="7"/>
      <c r="D63" s="7"/>
      <c r="E63" s="7"/>
      <c r="F63" s="7"/>
      <c r="G63" s="7"/>
    </row>
    <row r="64" spans="1:7">
      <c r="A64" s="7"/>
      <c r="B64" s="7"/>
      <c r="C64" s="7"/>
      <c r="D64" s="7"/>
      <c r="E64" s="7"/>
      <c r="F64" s="7"/>
      <c r="G64" s="7"/>
    </row>
    <row r="65" spans="1:7">
      <c r="A65" s="7"/>
      <c r="B65" s="7"/>
      <c r="C65" s="7"/>
      <c r="D65" s="7"/>
      <c r="E65" s="7"/>
      <c r="F65" s="7"/>
      <c r="G65" s="7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F8BEA-E0EE-490E-A880-4690FB863BB5}">
  <sheetPr codeName="Sheet5"/>
  <dimension ref="A1:K15"/>
  <sheetViews>
    <sheetView workbookViewId="0"/>
  </sheetViews>
  <sheetFormatPr defaultRowHeight="17"/>
  <cols>
    <col min="1" max="1" width="9.6640625" bestFit="1" customWidth="1"/>
    <col min="2" max="2" width="10.58203125" bestFit="1" customWidth="1"/>
    <col min="3" max="3" width="10.75" bestFit="1" customWidth="1"/>
    <col min="4" max="4" width="11" customWidth="1"/>
    <col min="5" max="5" width="10.75" bestFit="1" customWidth="1"/>
    <col min="6" max="6" width="2.58203125" customWidth="1"/>
    <col min="7" max="8" width="11.6640625" bestFit="1" customWidth="1"/>
    <col min="9" max="11" width="12.9140625" bestFit="1" customWidth="1"/>
  </cols>
  <sheetData>
    <row r="1" spans="1:11">
      <c r="A1" t="s">
        <v>177</v>
      </c>
      <c r="D1" s="38" t="s">
        <v>178</v>
      </c>
      <c r="E1" s="39">
        <v>45996</v>
      </c>
      <c r="G1" t="s">
        <v>179</v>
      </c>
    </row>
    <row r="2" spans="1:11">
      <c r="A2" s="32" t="s">
        <v>81</v>
      </c>
      <c r="B2" s="32" t="s">
        <v>180</v>
      </c>
      <c r="C2" s="32" t="s">
        <v>181</v>
      </c>
      <c r="D2" s="40" t="s">
        <v>182</v>
      </c>
      <c r="E2" s="40" t="s">
        <v>183</v>
      </c>
      <c r="G2" s="41">
        <v>1</v>
      </c>
      <c r="H2" s="41">
        <v>2</v>
      </c>
      <c r="I2" s="41">
        <v>3</v>
      </c>
      <c r="J2" s="41">
        <v>4</v>
      </c>
      <c r="K2" s="41">
        <v>5</v>
      </c>
    </row>
    <row r="3" spans="1:11">
      <c r="A3" s="32" t="s">
        <v>184</v>
      </c>
      <c r="B3" s="42">
        <v>7654700</v>
      </c>
      <c r="C3" s="43">
        <v>43953</v>
      </c>
      <c r="D3" s="42"/>
      <c r="E3" s="32"/>
      <c r="G3" s="51" t="s">
        <v>185</v>
      </c>
      <c r="H3" s="52"/>
      <c r="I3" s="44">
        <v>0</v>
      </c>
      <c r="J3" s="44">
        <v>1000000</v>
      </c>
      <c r="K3" s="44">
        <v>2000000</v>
      </c>
    </row>
    <row r="4" spans="1:11">
      <c r="A4" s="32" t="s">
        <v>186</v>
      </c>
      <c r="B4" s="42">
        <v>1573000</v>
      </c>
      <c r="C4" s="43">
        <v>44716</v>
      </c>
      <c r="D4" s="42"/>
      <c r="E4" s="32"/>
      <c r="G4" s="53"/>
      <c r="H4" s="54"/>
      <c r="I4" s="45">
        <v>1000000</v>
      </c>
      <c r="J4" s="45">
        <v>2000000</v>
      </c>
      <c r="K4" s="46"/>
    </row>
    <row r="5" spans="1:11">
      <c r="A5" s="32" t="s">
        <v>187</v>
      </c>
      <c r="B5" s="42">
        <v>2136570</v>
      </c>
      <c r="C5" s="43">
        <v>45355</v>
      </c>
      <c r="D5" s="42"/>
      <c r="E5" s="32"/>
      <c r="G5" s="47">
        <v>0</v>
      </c>
      <c r="H5" s="48">
        <v>24</v>
      </c>
      <c r="I5" s="49">
        <v>0.03</v>
      </c>
      <c r="J5" s="49">
        <v>2.7E-2</v>
      </c>
      <c r="K5" s="49">
        <v>2.5000000000000001E-2</v>
      </c>
    </row>
    <row r="6" spans="1:11">
      <c r="A6" s="32" t="s">
        <v>188</v>
      </c>
      <c r="B6" s="42">
        <v>4756000</v>
      </c>
      <c r="C6" s="43">
        <v>44351</v>
      </c>
      <c r="D6" s="42"/>
      <c r="E6" s="32"/>
      <c r="G6" s="47">
        <v>24</v>
      </c>
      <c r="H6" s="48">
        <v>60</v>
      </c>
      <c r="I6" s="49">
        <v>2.8000000000000001E-2</v>
      </c>
      <c r="J6" s="49">
        <v>2.5999999999999999E-2</v>
      </c>
      <c r="K6" s="49">
        <v>2.4E-2</v>
      </c>
    </row>
    <row r="7" spans="1:11">
      <c r="A7" s="32" t="s">
        <v>189</v>
      </c>
      <c r="B7" s="42">
        <v>873000</v>
      </c>
      <c r="C7" s="43">
        <v>45418</v>
      </c>
      <c r="D7" s="42"/>
      <c r="E7" s="32"/>
      <c r="G7" s="47">
        <v>60</v>
      </c>
      <c r="H7" s="48">
        <v>120</v>
      </c>
      <c r="I7" s="49">
        <v>2.7E-2</v>
      </c>
      <c r="J7" s="49">
        <v>2.5000000000000001E-2</v>
      </c>
      <c r="K7" s="49">
        <v>2.3E-2</v>
      </c>
    </row>
    <row r="8" spans="1:11">
      <c r="A8" s="32" t="s">
        <v>190</v>
      </c>
      <c r="B8" s="42">
        <v>5750000</v>
      </c>
      <c r="C8" s="43">
        <v>43865</v>
      </c>
      <c r="D8" s="42"/>
      <c r="E8" s="32"/>
      <c r="G8" s="47">
        <v>120</v>
      </c>
      <c r="H8" s="48"/>
      <c r="I8" s="49">
        <v>2.4E-2</v>
      </c>
      <c r="J8" s="49">
        <v>2.1999999999999999E-2</v>
      </c>
      <c r="K8" s="49">
        <v>0.02</v>
      </c>
    </row>
    <row r="9" spans="1:11">
      <c r="A9" s="32" t="s">
        <v>191</v>
      </c>
      <c r="B9" s="42">
        <v>975000</v>
      </c>
      <c r="C9" s="43">
        <v>44747</v>
      </c>
      <c r="D9" s="42"/>
      <c r="E9" s="32"/>
    </row>
    <row r="10" spans="1:11">
      <c r="A10" s="32" t="s">
        <v>192</v>
      </c>
      <c r="B10" s="42">
        <v>-710000</v>
      </c>
      <c r="C10" s="43">
        <v>44260</v>
      </c>
      <c r="D10" s="42"/>
      <c r="E10" s="32"/>
    </row>
    <row r="11" spans="1:11">
      <c r="A11" s="32" t="s">
        <v>193</v>
      </c>
      <c r="B11" s="42">
        <v>143570</v>
      </c>
      <c r="C11" s="43">
        <v>44550</v>
      </c>
      <c r="D11" s="42"/>
      <c r="E11" s="32"/>
    </row>
    <row r="12" spans="1:11">
      <c r="A12" s="32" t="s">
        <v>194</v>
      </c>
      <c r="B12" s="50">
        <v>-1246500</v>
      </c>
      <c r="C12" s="43">
        <v>44233</v>
      </c>
      <c r="D12" s="42"/>
      <c r="E12" s="32"/>
    </row>
    <row r="13" spans="1:11">
      <c r="A13" s="32" t="s">
        <v>195</v>
      </c>
      <c r="B13" s="50">
        <v>2367000</v>
      </c>
      <c r="C13" s="43">
        <v>44236</v>
      </c>
      <c r="D13" s="42"/>
      <c r="E13" s="32"/>
    </row>
    <row r="14" spans="1:11">
      <c r="A14" s="32" t="s">
        <v>196</v>
      </c>
      <c r="B14" s="50">
        <v>856000</v>
      </c>
      <c r="C14" s="43">
        <v>44259</v>
      </c>
      <c r="D14" s="42"/>
      <c r="E14" s="32"/>
    </row>
    <row r="15" spans="1:11">
      <c r="A15" s="32" t="s">
        <v>197</v>
      </c>
      <c r="B15" s="50">
        <v>4356000</v>
      </c>
      <c r="C15" s="43">
        <v>45086</v>
      </c>
      <c r="D15" s="42"/>
      <c r="E15" s="32"/>
    </row>
  </sheetData>
  <mergeCells count="1">
    <mergeCell ref="G3:H4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workbookViewId="0"/>
  </sheetViews>
  <sheetFormatPr defaultRowHeight="17"/>
  <sheetData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K22"/>
  <sheetViews>
    <sheetView workbookViewId="0"/>
  </sheetViews>
  <sheetFormatPr defaultRowHeight="17"/>
  <cols>
    <col min="1" max="1" width="1.6640625" customWidth="1"/>
  </cols>
  <sheetData>
    <row r="1" spans="2:11">
      <c r="B1" t="s">
        <v>126</v>
      </c>
      <c r="I1" t="s">
        <v>122</v>
      </c>
    </row>
    <row r="2" spans="2:11">
      <c r="B2" t="s">
        <v>101</v>
      </c>
      <c r="I2" t="s">
        <v>123</v>
      </c>
      <c r="J2" t="s">
        <v>124</v>
      </c>
      <c r="K2" t="s">
        <v>125</v>
      </c>
    </row>
    <row r="3" spans="2:11">
      <c r="B3" t="s">
        <v>102</v>
      </c>
    </row>
    <row r="4" spans="2:11">
      <c r="B4" t="s">
        <v>103</v>
      </c>
    </row>
    <row r="5" spans="2:11">
      <c r="B5" t="s">
        <v>104</v>
      </c>
    </row>
    <row r="6" spans="2:11">
      <c r="B6" t="s">
        <v>105</v>
      </c>
    </row>
    <row r="7" spans="2:11">
      <c r="B7" t="s">
        <v>106</v>
      </c>
    </row>
    <row r="8" spans="2:11">
      <c r="B8" t="s">
        <v>107</v>
      </c>
    </row>
    <row r="9" spans="2:11">
      <c r="B9" t="s">
        <v>108</v>
      </c>
    </row>
    <row r="10" spans="2:11">
      <c r="B10" t="s">
        <v>109</v>
      </c>
    </row>
    <row r="11" spans="2:11">
      <c r="B11" t="s">
        <v>110</v>
      </c>
    </row>
    <row r="12" spans="2:11">
      <c r="B12" t="s">
        <v>111</v>
      </c>
    </row>
    <row r="13" spans="2:11">
      <c r="B13" t="s">
        <v>112</v>
      </c>
    </row>
    <row r="14" spans="2:11">
      <c r="B14" t="s">
        <v>113</v>
      </c>
    </row>
    <row r="15" spans="2:11">
      <c r="B15" t="s">
        <v>114</v>
      </c>
    </row>
    <row r="16" spans="2:11">
      <c r="B16" t="s">
        <v>115</v>
      </c>
    </row>
    <row r="17" spans="2:2">
      <c r="B17" t="s">
        <v>116</v>
      </c>
    </row>
    <row r="18" spans="2:2">
      <c r="B18" t="s">
        <v>117</v>
      </c>
    </row>
    <row r="19" spans="2:2">
      <c r="B19" t="s">
        <v>118</v>
      </c>
    </row>
    <row r="20" spans="2:2">
      <c r="B20" t="s">
        <v>119</v>
      </c>
    </row>
    <row r="21" spans="2:2">
      <c r="B21" t="s">
        <v>120</v>
      </c>
    </row>
    <row r="22" spans="2:2">
      <c r="B22" t="s">
        <v>121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D5D2D-4214-48E7-BC36-826C8CB06B98}">
  <sheetPr codeName="Sheet10"/>
  <dimension ref="B1:G12"/>
  <sheetViews>
    <sheetView workbookViewId="0"/>
  </sheetViews>
  <sheetFormatPr defaultRowHeight="17"/>
  <cols>
    <col min="1" max="1" width="1.6640625" customWidth="1"/>
    <col min="4" max="4" width="21.75" bestFit="1" customWidth="1"/>
  </cols>
  <sheetData>
    <row r="1" spans="2:7">
      <c r="B1" t="s">
        <v>126</v>
      </c>
    </row>
    <row r="2" spans="2:7">
      <c r="B2" t="s">
        <v>158</v>
      </c>
      <c r="C2" t="s">
        <v>2</v>
      </c>
      <c r="D2" t="s">
        <v>159</v>
      </c>
      <c r="E2" t="s">
        <v>160</v>
      </c>
      <c r="F2" t="s">
        <v>161</v>
      </c>
      <c r="G2" t="s">
        <v>162</v>
      </c>
    </row>
    <row r="3" spans="2:7">
      <c r="B3">
        <v>1</v>
      </c>
      <c r="C3" t="s">
        <v>30</v>
      </c>
      <c r="D3" t="s">
        <v>163</v>
      </c>
      <c r="E3" t="s">
        <v>164</v>
      </c>
      <c r="F3">
        <v>4000000</v>
      </c>
      <c r="G3">
        <v>18</v>
      </c>
    </row>
    <row r="4" spans="2:7">
      <c r="B4">
        <v>2</v>
      </c>
      <c r="C4" t="s">
        <v>31</v>
      </c>
      <c r="D4" t="s">
        <v>165</v>
      </c>
      <c r="E4" t="s">
        <v>166</v>
      </c>
      <c r="F4">
        <v>4000000</v>
      </c>
      <c r="G4">
        <v>24</v>
      </c>
    </row>
    <row r="5" spans="2:7">
      <c r="B5">
        <v>3</v>
      </c>
      <c r="C5" t="s">
        <v>35</v>
      </c>
      <c r="D5" t="s">
        <v>167</v>
      </c>
      <c r="E5" t="s">
        <v>168</v>
      </c>
      <c r="F5">
        <v>2000000</v>
      </c>
      <c r="G5">
        <v>36</v>
      </c>
    </row>
    <row r="6" spans="2:7">
      <c r="B6">
        <v>4</v>
      </c>
      <c r="C6" t="s">
        <v>36</v>
      </c>
      <c r="D6" t="s">
        <v>169</v>
      </c>
      <c r="E6" t="s">
        <v>164</v>
      </c>
      <c r="F6">
        <v>2400000</v>
      </c>
      <c r="G6">
        <v>16</v>
      </c>
    </row>
    <row r="7" spans="2:7">
      <c r="B7">
        <v>5</v>
      </c>
      <c r="C7" t="s">
        <v>18</v>
      </c>
      <c r="D7" t="s">
        <v>170</v>
      </c>
      <c r="E7" t="s">
        <v>171</v>
      </c>
      <c r="F7">
        <v>6000000</v>
      </c>
      <c r="G7">
        <v>28</v>
      </c>
    </row>
    <row r="8" spans="2:7">
      <c r="B8">
        <v>6</v>
      </c>
      <c r="C8" t="s">
        <v>19</v>
      </c>
      <c r="D8" t="s">
        <v>172</v>
      </c>
      <c r="E8" t="s">
        <v>168</v>
      </c>
      <c r="F8">
        <v>9000000</v>
      </c>
      <c r="G8">
        <v>30</v>
      </c>
    </row>
    <row r="9" spans="2:7">
      <c r="B9">
        <v>7</v>
      </c>
      <c r="C9" t="s">
        <v>20</v>
      </c>
      <c r="D9" t="s">
        <v>173</v>
      </c>
      <c r="E9" t="s">
        <v>164</v>
      </c>
      <c r="F9">
        <v>8000000</v>
      </c>
      <c r="G9">
        <v>36</v>
      </c>
    </row>
    <row r="10" spans="2:7">
      <c r="B10">
        <v>8</v>
      </c>
      <c r="C10" t="s">
        <v>26</v>
      </c>
      <c r="D10" t="s">
        <v>174</v>
      </c>
      <c r="E10" t="s">
        <v>166</v>
      </c>
      <c r="F10">
        <v>2000000</v>
      </c>
      <c r="G10">
        <v>70</v>
      </c>
    </row>
    <row r="11" spans="2:7">
      <c r="B11">
        <v>9</v>
      </c>
      <c r="C11" t="s">
        <v>28</v>
      </c>
      <c r="D11" t="s">
        <v>175</v>
      </c>
      <c r="E11" t="s">
        <v>164</v>
      </c>
      <c r="F11">
        <v>4000000</v>
      </c>
      <c r="G11">
        <v>35</v>
      </c>
    </row>
    <row r="12" spans="2:7">
      <c r="B12">
        <v>10</v>
      </c>
      <c r="C12" t="s">
        <v>29</v>
      </c>
      <c r="D12" t="s">
        <v>176</v>
      </c>
      <c r="E12" t="s">
        <v>166</v>
      </c>
      <c r="F12">
        <v>2000000</v>
      </c>
      <c r="G12">
        <v>48</v>
      </c>
    </row>
  </sheetData>
  <dataConsolidate function="average" topLabels="1">
    <dataRefs count="1">
      <dataRef ref="E2:G22" sheet="상반기" r:id="rId1"/>
    </dataRefs>
  </dataConsolidate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9"/>
  <sheetViews>
    <sheetView workbookViewId="0"/>
  </sheetViews>
  <sheetFormatPr defaultRowHeight="17"/>
  <cols>
    <col min="2" max="5" width="11.58203125" customWidth="1"/>
  </cols>
  <sheetData>
    <row r="1" spans="1:6">
      <c r="A1" s="7"/>
      <c r="B1" s="7"/>
      <c r="C1" s="7"/>
      <c r="D1" s="7"/>
      <c r="E1" s="7"/>
      <c r="F1" s="7"/>
    </row>
    <row r="2" spans="1:6">
      <c r="A2" s="7"/>
      <c r="B2" s="1" t="s">
        <v>73</v>
      </c>
      <c r="C2" s="1"/>
      <c r="D2" s="1"/>
      <c r="E2" s="1"/>
      <c r="F2" s="7"/>
    </row>
    <row r="3" spans="1:6">
      <c r="A3" s="7"/>
      <c r="B3" s="11" t="s">
        <v>74</v>
      </c>
      <c r="C3" s="11" t="s">
        <v>155</v>
      </c>
      <c r="D3" s="11" t="s">
        <v>156</v>
      </c>
      <c r="E3" s="11" t="s">
        <v>157</v>
      </c>
      <c r="F3" s="7"/>
    </row>
    <row r="4" spans="1:6">
      <c r="A4" s="7"/>
      <c r="B4" s="11" t="s">
        <v>75</v>
      </c>
      <c r="C4" s="11">
        <v>600</v>
      </c>
      <c r="D4" s="11">
        <v>625</v>
      </c>
      <c r="E4" s="11">
        <v>636</v>
      </c>
      <c r="F4" s="7"/>
    </row>
    <row r="5" spans="1:6">
      <c r="A5" s="7"/>
      <c r="B5" s="11" t="s">
        <v>76</v>
      </c>
      <c r="C5" s="11">
        <v>129</v>
      </c>
      <c r="D5" s="11">
        <v>147</v>
      </c>
      <c r="E5" s="11">
        <v>156</v>
      </c>
      <c r="F5" s="7"/>
    </row>
    <row r="6" spans="1:6">
      <c r="A6" s="7"/>
      <c r="B6" s="11" t="s">
        <v>77</v>
      </c>
      <c r="C6" s="11">
        <v>69</v>
      </c>
      <c r="D6" s="11">
        <v>75</v>
      </c>
      <c r="E6" s="11">
        <v>90</v>
      </c>
      <c r="F6" s="7"/>
    </row>
    <row r="7" spans="1:6">
      <c r="A7" s="7"/>
      <c r="B7" s="11" t="s">
        <v>78</v>
      </c>
      <c r="C7" s="11">
        <v>26</v>
      </c>
      <c r="D7" s="11">
        <v>29</v>
      </c>
      <c r="E7" s="11">
        <v>36</v>
      </c>
      <c r="F7" s="7"/>
    </row>
    <row r="8" spans="1:6">
      <c r="A8" s="7"/>
      <c r="B8" s="11" t="s">
        <v>79</v>
      </c>
      <c r="C8" s="11">
        <f>SUM(C4:C7)</f>
        <v>824</v>
      </c>
      <c r="D8" s="11">
        <f>SUM(D4:D7)</f>
        <v>876</v>
      </c>
      <c r="E8" s="11">
        <f>SUM(E4:E7)</f>
        <v>918</v>
      </c>
      <c r="F8" s="7"/>
    </row>
    <row r="9" spans="1:6">
      <c r="A9" s="7"/>
      <c r="B9" s="7"/>
      <c r="C9" s="7"/>
      <c r="D9" s="7"/>
      <c r="E9" s="7"/>
      <c r="F9" s="7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B2:D15"/>
  <sheetViews>
    <sheetView workbookViewId="0"/>
  </sheetViews>
  <sheetFormatPr defaultRowHeight="17"/>
  <cols>
    <col min="1" max="1" width="2.6640625" customWidth="1"/>
    <col min="2" max="2" width="27.6640625" customWidth="1"/>
    <col min="3" max="3" width="12.4140625" customWidth="1"/>
  </cols>
  <sheetData>
    <row r="2" spans="2:4">
      <c r="B2" s="32" t="s">
        <v>127</v>
      </c>
      <c r="C2" s="32" t="s">
        <v>128</v>
      </c>
      <c r="D2" s="32" t="s">
        <v>129</v>
      </c>
    </row>
    <row r="3" spans="2:4">
      <c r="B3" s="33" t="s">
        <v>130</v>
      </c>
      <c r="C3" s="33" t="s">
        <v>131</v>
      </c>
      <c r="D3" s="34">
        <v>0.03</v>
      </c>
    </row>
    <row r="4" spans="2:4">
      <c r="B4" s="33" t="s">
        <v>132</v>
      </c>
      <c r="C4" s="33" t="s">
        <v>133</v>
      </c>
      <c r="D4" s="34">
        <v>0.85</v>
      </c>
    </row>
    <row r="5" spans="2:4">
      <c r="B5" s="33" t="s">
        <v>134</v>
      </c>
      <c r="C5" s="33" t="s">
        <v>135</v>
      </c>
      <c r="D5" s="34">
        <v>0.59</v>
      </c>
    </row>
    <row r="6" spans="2:4">
      <c r="B6" s="33" t="s">
        <v>136</v>
      </c>
      <c r="C6" s="33" t="s">
        <v>137</v>
      </c>
      <c r="D6" s="34">
        <v>0.2</v>
      </c>
    </row>
    <row r="7" spans="2:4">
      <c r="B7" s="33" t="s">
        <v>138</v>
      </c>
      <c r="C7" s="33" t="s">
        <v>139</v>
      </c>
      <c r="D7" s="34">
        <v>0.15</v>
      </c>
    </row>
    <row r="8" spans="2:4">
      <c r="B8" s="33" t="s">
        <v>140</v>
      </c>
      <c r="C8" s="33" t="s">
        <v>141</v>
      </c>
      <c r="D8" s="34">
        <v>0.2</v>
      </c>
    </row>
    <row r="9" spans="2:4">
      <c r="B9" s="33" t="s">
        <v>142</v>
      </c>
      <c r="C9" s="33" t="s">
        <v>139</v>
      </c>
      <c r="D9" s="34">
        <v>0</v>
      </c>
    </row>
    <row r="10" spans="2:4">
      <c r="B10" s="33" t="s">
        <v>143</v>
      </c>
      <c r="C10" s="33" t="s">
        <v>144</v>
      </c>
      <c r="D10" s="34">
        <v>-0.2</v>
      </c>
    </row>
    <row r="11" spans="2:4">
      <c r="B11" s="33" t="s">
        <v>145</v>
      </c>
      <c r="C11" s="33" t="s">
        <v>146</v>
      </c>
      <c r="D11" s="34">
        <v>0.04</v>
      </c>
    </row>
    <row r="12" spans="2:4">
      <c r="B12" s="33" t="s">
        <v>147</v>
      </c>
      <c r="C12" s="33" t="s">
        <v>148</v>
      </c>
      <c r="D12" s="34">
        <v>-0.3</v>
      </c>
    </row>
    <row r="13" spans="2:4">
      <c r="B13" s="35" t="s">
        <v>149</v>
      </c>
      <c r="C13" s="35" t="s">
        <v>150</v>
      </c>
      <c r="D13" s="36">
        <v>0.4</v>
      </c>
    </row>
    <row r="14" spans="2:4">
      <c r="B14" s="35" t="s">
        <v>151</v>
      </c>
      <c r="C14" s="35" t="s">
        <v>139</v>
      </c>
      <c r="D14" s="37">
        <v>0.24</v>
      </c>
    </row>
    <row r="15" spans="2:4">
      <c r="B15" s="35" t="s">
        <v>152</v>
      </c>
      <c r="C15" s="35" t="s">
        <v>153</v>
      </c>
      <c r="D15" s="37">
        <v>0.67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C30"/>
  <sheetViews>
    <sheetView workbookViewId="0"/>
  </sheetViews>
  <sheetFormatPr defaultRowHeight="17"/>
  <cols>
    <col min="1" max="1" width="14.5" customWidth="1"/>
    <col min="2" max="2" width="15.33203125" customWidth="1"/>
    <col min="3" max="3" width="13.5" customWidth="1"/>
  </cols>
  <sheetData>
    <row r="1" spans="1:3">
      <c r="A1" s="7"/>
      <c r="B1" s="7"/>
      <c r="C1" s="7"/>
    </row>
    <row r="2" spans="1:3">
      <c r="A2" s="7"/>
      <c r="B2" s="7"/>
      <c r="C2" s="7"/>
    </row>
    <row r="3" spans="1:3">
      <c r="A3" s="29" t="s">
        <v>80</v>
      </c>
      <c r="B3" s="29" t="s">
        <v>81</v>
      </c>
      <c r="C3" s="29" t="s">
        <v>82</v>
      </c>
    </row>
    <row r="4" spans="1:3">
      <c r="A4" s="16" t="s">
        <v>83</v>
      </c>
      <c r="B4" s="16" t="s">
        <v>84</v>
      </c>
      <c r="C4" s="16" t="s">
        <v>85</v>
      </c>
    </row>
    <row r="5" spans="1:3">
      <c r="A5" s="16" t="s">
        <v>86</v>
      </c>
      <c r="B5" s="16" t="s">
        <v>87</v>
      </c>
      <c r="C5" s="16" t="s">
        <v>85</v>
      </c>
    </row>
    <row r="6" spans="1:3">
      <c r="A6" s="16" t="s">
        <v>88</v>
      </c>
      <c r="B6" s="16" t="s">
        <v>89</v>
      </c>
      <c r="C6" s="16" t="s">
        <v>90</v>
      </c>
    </row>
    <row r="7" spans="1:3">
      <c r="A7" s="7"/>
      <c r="B7" s="7"/>
      <c r="C7" s="7"/>
    </row>
    <row r="8" spans="1:3">
      <c r="A8" s="16" t="s">
        <v>91</v>
      </c>
      <c r="B8" s="7"/>
      <c r="C8" s="7"/>
    </row>
    <row r="9" spans="1:3">
      <c r="A9" s="16" t="s">
        <v>92</v>
      </c>
      <c r="B9" s="7"/>
      <c r="C9" s="7"/>
    </row>
    <row r="10" spans="1:3">
      <c r="A10" s="16" t="s">
        <v>93</v>
      </c>
      <c r="B10" s="7"/>
      <c r="C10" s="7"/>
    </row>
    <row r="11" spans="1:3">
      <c r="A11" s="16" t="s">
        <v>94</v>
      </c>
      <c r="B11" s="7"/>
      <c r="C11" s="7"/>
    </row>
    <row r="12" spans="1:3">
      <c r="A12" s="16" t="s">
        <v>95</v>
      </c>
      <c r="B12" s="7"/>
      <c r="C12" s="7"/>
    </row>
    <row r="13" spans="1:3">
      <c r="A13" s="7"/>
      <c r="B13" s="7"/>
      <c r="C13" s="7"/>
    </row>
    <row r="14" spans="1:3">
      <c r="A14" s="30" t="s">
        <v>96</v>
      </c>
      <c r="B14" s="7"/>
      <c r="C14" s="7" t="s">
        <v>97</v>
      </c>
    </row>
    <row r="15" spans="1:3">
      <c r="A15" s="7"/>
      <c r="B15" s="7"/>
      <c r="C15" s="7"/>
    </row>
    <row r="16" spans="1:3">
      <c r="A16" s="29" t="s">
        <v>98</v>
      </c>
      <c r="B16" s="29" t="s">
        <v>99</v>
      </c>
      <c r="C16" s="29" t="s">
        <v>100</v>
      </c>
    </row>
    <row r="17" spans="1:3">
      <c r="A17" s="16"/>
      <c r="B17" s="16"/>
      <c r="C17" s="31"/>
    </row>
    <row r="18" spans="1:3">
      <c r="A18" s="16"/>
      <c r="B18" s="16"/>
      <c r="C18" s="31"/>
    </row>
    <row r="19" spans="1:3">
      <c r="A19" s="16"/>
      <c r="B19" s="16"/>
      <c r="C19" s="31"/>
    </row>
    <row r="20" spans="1:3">
      <c r="A20" s="16"/>
      <c r="B20" s="16"/>
      <c r="C20" s="31"/>
    </row>
    <row r="21" spans="1:3">
      <c r="A21" s="16"/>
      <c r="B21" s="16"/>
      <c r="C21" s="31"/>
    </row>
    <row r="22" spans="1:3">
      <c r="A22" s="16"/>
      <c r="B22" s="16"/>
      <c r="C22" s="31"/>
    </row>
    <row r="23" spans="1:3">
      <c r="A23" s="16"/>
      <c r="B23" s="16"/>
      <c r="C23" s="31"/>
    </row>
    <row r="24" spans="1:3">
      <c r="A24" s="16"/>
      <c r="B24" s="16"/>
      <c r="C24" s="31"/>
    </row>
    <row r="25" spans="1:3">
      <c r="A25" s="16"/>
      <c r="B25" s="16"/>
      <c r="C25" s="31"/>
    </row>
    <row r="26" spans="1:3">
      <c r="A26" s="16"/>
      <c r="B26" s="16"/>
      <c r="C26" s="31"/>
    </row>
    <row r="27" spans="1:3">
      <c r="A27" s="16"/>
      <c r="B27" s="16"/>
      <c r="C27" s="31"/>
    </row>
    <row r="28" spans="1:3">
      <c r="A28" s="16"/>
      <c r="B28" s="16"/>
      <c r="C28" s="31"/>
    </row>
    <row r="29" spans="1:3">
      <c r="A29" s="16"/>
      <c r="B29" s="16"/>
      <c r="C29" s="31"/>
    </row>
    <row r="30" spans="1:3">
      <c r="A30" s="16"/>
      <c r="B30" s="16"/>
      <c r="C30" s="16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Btn결제">
          <controlPr defaultSize="0" autoLine="0" r:id="rId4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073" r:id="rId3" name="Btn결제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기본작업-1</vt:lpstr>
      <vt:lpstr>기본작업-2</vt:lpstr>
      <vt:lpstr>계산작업-1</vt:lpstr>
      <vt:lpstr>계산작업-2</vt:lpstr>
      <vt:lpstr>분석작업-1</vt:lpstr>
      <vt:lpstr>상반기</vt:lpstr>
      <vt:lpstr>하반기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2020-04-09T05:43:17Z</dcterms:created>
  <dcterms:modified xsi:type="dcterms:W3CDTF">2023-05-02T12:19:15Z</dcterms:modified>
</cp:coreProperties>
</file>