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1급\24년1급실기\1권_스프레드시트\기출변형문제\"/>
    </mc:Choice>
  </mc:AlternateContent>
  <xr:revisionPtr revIDLastSave="0" documentId="13_ncr:1_{370EB2C9-2885-4D8B-A5BB-EF039D62542E}" xr6:coauthVersionLast="47" xr6:coauthVersionMax="47" xr10:uidLastSave="{00000000-0000-0000-0000-000000000000}"/>
  <bookViews>
    <workbookView xWindow="0" yWindow="540" windowWidth="15380" windowHeight="18470" tabRatio="994" xr2:uid="{00000000-000D-0000-FFFF-FFFF00000000}"/>
  </bookViews>
  <sheets>
    <sheet name="기본작업-1" sheetId="2" r:id="rId1"/>
    <sheet name="기본작업-2" sheetId="8" r:id="rId2"/>
    <sheet name="계산작업" sheetId="13" r:id="rId3"/>
    <sheet name="분석작업-1" sheetId="9" r:id="rId4"/>
    <sheet name="분석작업-2" sheetId="12" r:id="rId5"/>
    <sheet name="기타작업-1" sheetId="6" r:id="rId6"/>
    <sheet name="기타작업-2" sheetId="5" r:id="rId7"/>
    <sheet name="기타작업-3" sheetId="7" r:id="rId8"/>
  </sheets>
  <definedNames>
    <definedName name="_xlnm._FilterDatabase" localSheetId="4" hidden="1">'분석작업-2'!#REF!</definedName>
    <definedName name="MS_Access_Database_Query_4" localSheetId="2">계산작업!$B$17:$G$44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2000000}" name="연결" type="1" refreshedVersion="0" savePassword="1" deleted="1" background="1" saveData="1">
    <dbPr connection="" command=""/>
  </connection>
</connections>
</file>

<file path=xl/sharedStrings.xml><?xml version="1.0" encoding="utf-8"?>
<sst xmlns="http://schemas.openxmlformats.org/spreadsheetml/2006/main" count="501" uniqueCount="228">
  <si>
    <t>대출번호</t>
  </si>
  <si>
    <t>성명</t>
  </si>
  <si>
    <t>주민등록번호</t>
  </si>
  <si>
    <t>주소</t>
  </si>
  <si>
    <t>대출지점</t>
  </si>
  <si>
    <t>대출일</t>
  </si>
  <si>
    <t>대출종류</t>
  </si>
  <si>
    <t>대출금액</t>
  </si>
  <si>
    <t>기간</t>
  </si>
  <si>
    <t>J04-26</t>
  </si>
  <si>
    <t>남지철</t>
  </si>
  <si>
    <t>581105-1067449</t>
  </si>
  <si>
    <t>대전시 대덕구 법동</t>
  </si>
  <si>
    <t>충청</t>
  </si>
  <si>
    <t>주택자금대출</t>
  </si>
  <si>
    <t>M01-37</t>
  </si>
  <si>
    <t>최만용</t>
  </si>
  <si>
    <t>721105-1471885</t>
  </si>
  <si>
    <t>서울시 중구 필동</t>
  </si>
  <si>
    <t>서울</t>
  </si>
  <si>
    <t>무보증신용대출</t>
  </si>
  <si>
    <t>M02-06</t>
  </si>
  <si>
    <t>최철식</t>
  </si>
  <si>
    <t>700710-1179826</t>
  </si>
  <si>
    <t>경기도 안양시 만안구</t>
  </si>
  <si>
    <t>경기</t>
  </si>
  <si>
    <t>Y02-67</t>
  </si>
  <si>
    <t>형연주</t>
  </si>
  <si>
    <t>730205-2848619</t>
  </si>
  <si>
    <t>경기도 수원시 장안구</t>
  </si>
  <si>
    <t>예부적금담보대출</t>
  </si>
  <si>
    <t>J02-01</t>
  </si>
  <si>
    <t>김춘복</t>
  </si>
  <si>
    <t>711211-1038429</t>
  </si>
  <si>
    <t>경기도 수원시 권선구</t>
  </si>
  <si>
    <t>Y04-15</t>
  </si>
  <si>
    <t>진영태</t>
  </si>
  <si>
    <t>700412-1877519</t>
  </si>
  <si>
    <t>충남 천안시 불당동</t>
  </si>
  <si>
    <t>Y01-07</t>
  </si>
  <si>
    <t>도희철</t>
  </si>
  <si>
    <t>680722-1104775</t>
  </si>
  <si>
    <t>서울시 강남구 역삼동</t>
  </si>
  <si>
    <t>M01-27</t>
  </si>
  <si>
    <t>박세희</t>
  </si>
  <si>
    <t>570519-2027689</t>
  </si>
  <si>
    <t>서울시 서대문구 역촌동</t>
  </si>
  <si>
    <t>K03-05</t>
  </si>
  <si>
    <t>민승렬</t>
  </si>
  <si>
    <t>630225-1462892</t>
  </si>
  <si>
    <t>부산시 부산진구 동평동</t>
  </si>
  <si>
    <t>부산</t>
  </si>
  <si>
    <t>국민주택기금대출</t>
  </si>
  <si>
    <t>J03-26</t>
  </si>
  <si>
    <t>민애라</t>
  </si>
  <si>
    <t>700215-2245773</t>
  </si>
  <si>
    <t>부산시 동구 범일동</t>
  </si>
  <si>
    <t>J02-38</t>
  </si>
  <si>
    <t>이민주</t>
  </si>
  <si>
    <t>600629-2005884</t>
  </si>
  <si>
    <t>경기도 성남시 분당구</t>
  </si>
  <si>
    <t>K04-35</t>
  </si>
  <si>
    <t>박철형</t>
  </si>
  <si>
    <t>630714-2177475</t>
  </si>
  <si>
    <t>대전시 서구 둔산동</t>
  </si>
  <si>
    <t>Y03-88</t>
  </si>
  <si>
    <t>김상진</t>
  </si>
  <si>
    <t>670214-1397503</t>
  </si>
  <si>
    <t>부산시 남구 문현동</t>
  </si>
  <si>
    <t>M01-23</t>
  </si>
  <si>
    <t>구준식</t>
  </si>
  <si>
    <t>680909-1833529</t>
  </si>
  <si>
    <t>서울시 종로구 팔판동</t>
  </si>
  <si>
    <t>K01-02</t>
  </si>
  <si>
    <t>오태열</t>
  </si>
  <si>
    <t>531227-1344216</t>
  </si>
  <si>
    <t>서울시 양천구 목동</t>
  </si>
  <si>
    <t>Y02-26</t>
  </si>
  <si>
    <t>이재철</t>
  </si>
  <si>
    <t>701125-1178421</t>
  </si>
  <si>
    <t>경기도 안양시 동안구</t>
  </si>
  <si>
    <t>J04-31</t>
  </si>
  <si>
    <t>민인희</t>
  </si>
  <si>
    <t>681205-2027817</t>
  </si>
  <si>
    <t>대전시 동구 판암동</t>
  </si>
  <si>
    <t>M04-08</t>
  </si>
  <si>
    <t>김진석</t>
  </si>
  <si>
    <t>710618-1061918</t>
  </si>
  <si>
    <t>대전시 유성구 온천동</t>
  </si>
  <si>
    <t>고객등급</t>
    <phoneticPr fontId="3" type="noConversion"/>
  </si>
  <si>
    <t>일반</t>
    <phoneticPr fontId="3" type="noConversion"/>
  </si>
  <si>
    <t>우수</t>
    <phoneticPr fontId="3" type="noConversion"/>
  </si>
  <si>
    <t>최우수</t>
    <phoneticPr fontId="3" type="noConversion"/>
  </si>
  <si>
    <t>수수료</t>
    <phoneticPr fontId="3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</si>
  <si>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3] 대출</t>
    </r>
    <r>
      <rPr>
        <sz val="11"/>
        <rFont val="맑은 고딕"/>
        <family val="3"/>
        <charset val="129"/>
        <scheme val="minor"/>
      </rPr>
      <t>년도별 지역별 대출액의</t>
    </r>
    <r>
      <rPr>
        <sz val="11"/>
        <color theme="1"/>
        <rFont val="맑은 고딕"/>
        <family val="3"/>
        <charset val="129"/>
        <scheme val="minor"/>
      </rPr>
      <t xml:space="preserve"> </t>
    </r>
    <r>
      <rPr>
        <sz val="11"/>
        <rFont val="맑은 고딕"/>
        <family val="3"/>
        <charset val="129"/>
        <scheme val="minor"/>
      </rPr>
      <t>최대값</t>
    </r>
    <phoneticPr fontId="3" type="noConversion"/>
  </si>
  <si>
    <t>지역</t>
    <phoneticPr fontId="3" type="noConversion"/>
  </si>
  <si>
    <t>대출액평균</t>
    <phoneticPr fontId="3" type="noConversion"/>
  </si>
  <si>
    <t>대출년도</t>
    <phoneticPr fontId="3" type="noConversion"/>
  </si>
  <si>
    <t>충청</t>
    <phoneticPr fontId="3" type="noConversion"/>
  </si>
  <si>
    <t>경기</t>
    <phoneticPr fontId="3" type="noConversion"/>
  </si>
  <si>
    <t>부산</t>
    <phoneticPr fontId="3" type="noConversion"/>
  </si>
  <si>
    <t>서울</t>
    <phoneticPr fontId="3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</si>
  <si>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5</t>
    </r>
    <r>
      <rPr>
        <sz val="11"/>
        <rFont val="맑은 고딕"/>
        <family val="3"/>
        <charset val="129"/>
        <scheme val="minor"/>
      </rPr>
      <t>]</t>
    </r>
    <phoneticPr fontId="3" type="noConversion"/>
  </si>
  <si>
    <t>(단위 : 만원, 기간 : 월)</t>
    <phoneticPr fontId="3" type="noConversion"/>
  </si>
  <si>
    <t>대출액</t>
    <phoneticPr fontId="3" type="noConversion"/>
  </si>
  <si>
    <t>지급수수료</t>
    <phoneticPr fontId="3" type="noConversion"/>
  </si>
  <si>
    <t>연이자</t>
    <phoneticPr fontId="3" type="noConversion"/>
  </si>
  <si>
    <t>C04-08</t>
    <phoneticPr fontId="3" type="noConversion"/>
  </si>
  <si>
    <t>무보증신용</t>
    <phoneticPr fontId="3" type="noConversion"/>
  </si>
  <si>
    <t>S01-23</t>
    <phoneticPr fontId="3" type="noConversion"/>
  </si>
  <si>
    <t>K02-26</t>
    <phoneticPr fontId="3" type="noConversion"/>
  </si>
  <si>
    <t>예부적금담보</t>
    <phoneticPr fontId="3" type="noConversion"/>
  </si>
  <si>
    <t>S01-27</t>
    <phoneticPr fontId="3" type="noConversion"/>
  </si>
  <si>
    <t>P03-37</t>
    <phoneticPr fontId="3" type="noConversion"/>
  </si>
  <si>
    <t>K02-59</t>
  </si>
  <si>
    <t>국민주택기금</t>
    <phoneticPr fontId="3" type="noConversion"/>
  </si>
  <si>
    <t>P03-08</t>
    <phoneticPr fontId="3" type="noConversion"/>
  </si>
  <si>
    <t>S01-07</t>
    <phoneticPr fontId="3" type="noConversion"/>
  </si>
  <si>
    <t>C04-02</t>
    <phoneticPr fontId="3" type="noConversion"/>
  </si>
  <si>
    <t>P03-26</t>
    <phoneticPr fontId="3" type="noConversion"/>
  </si>
  <si>
    <t>주택자금</t>
    <phoneticPr fontId="3" type="noConversion"/>
  </si>
  <si>
    <t>P03-05</t>
    <phoneticPr fontId="3" type="noConversion"/>
  </si>
  <si>
    <t>S01-37</t>
    <phoneticPr fontId="3" type="noConversion"/>
  </si>
  <si>
    <t>S01-02</t>
    <phoneticPr fontId="3" type="noConversion"/>
  </si>
  <si>
    <t>C04-48</t>
    <phoneticPr fontId="3" type="noConversion"/>
  </si>
  <si>
    <t>K02-67</t>
    <phoneticPr fontId="3" type="noConversion"/>
  </si>
  <si>
    <t>K02-38</t>
    <phoneticPr fontId="3" type="noConversion"/>
  </si>
  <si>
    <t>S01-38</t>
    <phoneticPr fontId="3" type="noConversion"/>
  </si>
  <si>
    <t>K02-01</t>
    <phoneticPr fontId="3" type="noConversion"/>
  </si>
  <si>
    <t>S01-64</t>
    <phoneticPr fontId="3" type="noConversion"/>
  </si>
  <si>
    <t>C04-15</t>
    <phoneticPr fontId="3" type="noConversion"/>
  </si>
  <si>
    <t>K02-28</t>
  </si>
  <si>
    <t>C04-26</t>
    <phoneticPr fontId="3" type="noConversion"/>
  </si>
  <si>
    <t>P03-52</t>
    <phoneticPr fontId="3" type="noConversion"/>
  </si>
  <si>
    <t>C04-31</t>
    <phoneticPr fontId="3" type="noConversion"/>
  </si>
  <si>
    <t>K02-06</t>
    <phoneticPr fontId="3" type="noConversion"/>
  </si>
  <si>
    <t>C04-35</t>
    <phoneticPr fontId="3" type="noConversion"/>
  </si>
  <si>
    <t>S01-42</t>
    <phoneticPr fontId="3" type="noConversion"/>
  </si>
  <si>
    <t>인천</t>
    <phoneticPr fontId="3" type="noConversion"/>
  </si>
  <si>
    <t>대출종류</t>
    <phoneticPr fontId="3" type="noConversion"/>
  </si>
  <si>
    <t>대출번호</t>
    <phoneticPr fontId="3" type="noConversion"/>
  </si>
  <si>
    <t>성명</t>
    <phoneticPr fontId="3" type="noConversion"/>
  </si>
  <si>
    <t>대출일</t>
    <phoneticPr fontId="3" type="noConversion"/>
  </si>
  <si>
    <t>대출금액</t>
    <phoneticPr fontId="3" type="noConversion"/>
  </si>
  <si>
    <t>기간</t>
    <phoneticPr fontId="3" type="noConversion"/>
  </si>
  <si>
    <t>K03-52</t>
  </si>
  <si>
    <t>구선재</t>
    <phoneticPr fontId="1" type="noConversion"/>
  </si>
  <si>
    <t>J01-42</t>
  </si>
  <si>
    <t>성철수</t>
  </si>
  <si>
    <t>M01-64</t>
  </si>
  <si>
    <t>이영진</t>
  </si>
  <si>
    <t>M02-12</t>
  </si>
  <si>
    <t>이진태</t>
  </si>
  <si>
    <t>임현석</t>
  </si>
  <si>
    <t>K01-38</t>
  </si>
  <si>
    <t>정대식</t>
  </si>
  <si>
    <t>[대출 종류별 대출실적]</t>
    <phoneticPr fontId="3" type="noConversion"/>
  </si>
  <si>
    <t>(단위:천원)</t>
    <phoneticPr fontId="3" type="noConversion"/>
  </si>
  <si>
    <t>대출 종류</t>
    <phoneticPr fontId="3" type="noConversion"/>
  </si>
  <si>
    <t>평균</t>
    <phoneticPr fontId="3" type="noConversion"/>
  </si>
  <si>
    <t>주택자금대출</t>
    <phoneticPr fontId="3" type="noConversion"/>
  </si>
  <si>
    <t>신용대출</t>
    <phoneticPr fontId="3" type="noConversion"/>
  </si>
  <si>
    <t>예금담보대출</t>
    <phoneticPr fontId="3" type="noConversion"/>
  </si>
  <si>
    <t>대출번호</t>
    <phoneticPr fontId="3" type="noConversion"/>
  </si>
  <si>
    <t>대출종류</t>
    <phoneticPr fontId="3" type="noConversion"/>
  </si>
  <si>
    <t>대출금액</t>
    <phoneticPr fontId="3" type="noConversion"/>
  </si>
  <si>
    <t>대출지점</t>
    <phoneticPr fontId="3" type="noConversion"/>
  </si>
  <si>
    <t>A-101</t>
    <phoneticPr fontId="3" type="noConversion"/>
  </si>
  <si>
    <t>신용대출</t>
    <phoneticPr fontId="3" type="noConversion"/>
  </si>
  <si>
    <t>B-102</t>
    <phoneticPr fontId="3" type="noConversion"/>
  </si>
  <si>
    <t>담보대출</t>
    <phoneticPr fontId="3" type="noConversion"/>
  </si>
  <si>
    <t>A-105</t>
    <phoneticPr fontId="3" type="noConversion"/>
  </si>
  <si>
    <t>주택대출</t>
    <phoneticPr fontId="3" type="noConversion"/>
  </si>
  <si>
    <t>A-110</t>
    <phoneticPr fontId="3" type="noConversion"/>
  </si>
  <si>
    <t>신용대출</t>
    <phoneticPr fontId="3" type="noConversion"/>
  </si>
  <si>
    <t>C-120</t>
    <phoneticPr fontId="3" type="noConversion"/>
  </si>
  <si>
    <t>담보대출</t>
    <phoneticPr fontId="3" type="noConversion"/>
  </si>
  <si>
    <t>전남</t>
    <phoneticPr fontId="3" type="noConversion"/>
  </si>
  <si>
    <t>C-140</t>
    <phoneticPr fontId="3" type="noConversion"/>
  </si>
  <si>
    <t>주택대출</t>
    <phoneticPr fontId="3" type="noConversion"/>
  </si>
  <si>
    <t>제주</t>
    <phoneticPr fontId="3" type="noConversion"/>
  </si>
  <si>
    <t>C-150</t>
    <phoneticPr fontId="3" type="noConversion"/>
  </si>
  <si>
    <t>신용대출</t>
    <phoneticPr fontId="3" type="noConversion"/>
  </si>
  <si>
    <t>부산</t>
    <phoneticPr fontId="3" type="noConversion"/>
  </si>
  <si>
    <t>D-200</t>
    <phoneticPr fontId="3" type="noConversion"/>
  </si>
  <si>
    <t>D-210</t>
    <phoneticPr fontId="3" type="noConversion"/>
  </si>
  <si>
    <t>강원</t>
    <phoneticPr fontId="3" type="noConversion"/>
  </si>
  <si>
    <t>D-220</t>
    <phoneticPr fontId="3" type="noConversion"/>
  </si>
  <si>
    <t>충남</t>
    <phoneticPr fontId="3" type="noConversion"/>
  </si>
  <si>
    <t>E-300</t>
    <phoneticPr fontId="3" type="noConversion"/>
  </si>
  <si>
    <t>경북</t>
    <phoneticPr fontId="3" type="noConversion"/>
  </si>
  <si>
    <t>E-310</t>
    <phoneticPr fontId="3" type="noConversion"/>
  </si>
  <si>
    <t>경남</t>
    <phoneticPr fontId="3" type="noConversion"/>
  </si>
  <si>
    <t>E-320</t>
    <phoneticPr fontId="3" type="noConversion"/>
  </si>
  <si>
    <t>경기</t>
    <phoneticPr fontId="3" type="noConversion"/>
  </si>
  <si>
    <t>[표1]</t>
    <phoneticPr fontId="1" type="noConversion"/>
  </si>
  <si>
    <t>2026년</t>
    <phoneticPr fontId="1" type="noConversion"/>
  </si>
  <si>
    <t>2025년</t>
    <phoneticPr fontId="1" type="noConversion"/>
  </si>
  <si>
    <t>2023년</t>
  </si>
  <si>
    <t>2024년</t>
  </si>
  <si>
    <t>고객등급별 지역별 대출현황</t>
    <phoneticPr fontId="1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</si>
  <si>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 xml:space="preserve">2] 고객등급별 </t>
    </r>
    <r>
      <rPr>
        <sz val="11"/>
        <rFont val="맑은 고딕"/>
        <family val="3"/>
        <charset val="129"/>
        <scheme val="minor"/>
      </rPr>
      <t>수수료</t>
    </r>
    <phoneticPr fontId="3" type="noConversion"/>
  </si>
  <si>
    <t>지역</t>
    <phoneticPr fontId="1" type="noConversion"/>
  </si>
  <si>
    <t>C</t>
    <phoneticPr fontId="1" type="noConversion"/>
  </si>
  <si>
    <t>K</t>
    <phoneticPr fontId="1" type="noConversion"/>
  </si>
  <si>
    <t>P</t>
    <phoneticPr fontId="1" type="noConversion"/>
  </si>
  <si>
    <t>S</t>
    <phoneticPr fontId="1" type="noConversion"/>
  </si>
  <si>
    <t>고객등급</t>
    <phoneticPr fontId="1" type="noConversion"/>
  </si>
  <si>
    <t>최우수</t>
    <phoneticPr fontId="1" type="noConversion"/>
  </si>
  <si>
    <t>우수</t>
    <phoneticPr fontId="1" type="noConversion"/>
  </si>
  <si>
    <t>일반</t>
    <phoneticPr fontId="1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</si>
  <si>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4] 최</t>
    </r>
    <r>
      <rPr>
        <sz val="11"/>
        <rFont val="맑은 고딕"/>
        <family val="3"/>
        <charset val="129"/>
        <scheme val="minor"/>
      </rPr>
      <t>우수 또는 우수 고객</t>
    </r>
    <r>
      <rPr>
        <sz val="11"/>
        <color theme="1"/>
        <rFont val="맑은 고딕"/>
        <family val="3"/>
        <charset val="129"/>
        <scheme val="minor"/>
      </rPr>
      <t xml:space="preserve"> 대출액의 평균</t>
    </r>
    <phoneticPr fontId="3" type="noConversion"/>
  </si>
  <si>
    <t>C지역</t>
    <phoneticPr fontId="3" type="noConversion"/>
  </si>
  <si>
    <t>K지역</t>
    <phoneticPr fontId="3" type="noConversion"/>
  </si>
  <si>
    <t>P지역</t>
    <phoneticPr fontId="3" type="noConversion"/>
  </si>
  <si>
    <t>S지역</t>
    <phoneticPr fontId="3" type="noConversion"/>
  </si>
  <si>
    <t>학과별 인증 점수 취득 총점</t>
    <phoneticPr fontId="1" type="noConversion"/>
  </si>
  <si>
    <t>[표1] 1학기</t>
    <phoneticPr fontId="1" type="noConversion"/>
  </si>
  <si>
    <t>[표2] 2학기</t>
    <phoneticPr fontId="1" type="noConversion"/>
  </si>
  <si>
    <t>[표3] 평균</t>
    <phoneticPr fontId="1" type="noConversion"/>
  </si>
  <si>
    <t>학과</t>
    <phoneticPr fontId="1" type="noConversion"/>
  </si>
  <si>
    <t>정보인증</t>
    <phoneticPr fontId="1" type="noConversion"/>
  </si>
  <si>
    <t>국제인증</t>
    <phoneticPr fontId="1" type="noConversion"/>
  </si>
  <si>
    <t>전공인증</t>
    <phoneticPr fontId="1" type="noConversion"/>
  </si>
  <si>
    <t>컴퓨터정보과</t>
    <phoneticPr fontId="1" type="noConversion"/>
  </si>
  <si>
    <t>유아교육과</t>
    <phoneticPr fontId="1" type="noConversion"/>
  </si>
  <si>
    <t>컴퓨터게임과</t>
    <phoneticPr fontId="1" type="noConversion"/>
  </si>
  <si>
    <t>특수교육과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</si>
</sst>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yyyy&quot;년&quot;\ m&quot;월&quot;"/>
  </numFmts>
  <fonts count="1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4"/>
      <color rgb="FF0070C0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16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34"/>
        <bgColor indexed="64"/>
      </patternFill>
    </fill>
  </fills>
  <borders count="7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4" fillId="0" borderId="0"/>
    <xf numFmtId="0" fontId="12" fillId="0" borderId="0">
      <alignment vertical="center"/>
    </xf>
  </cellStyleXfs>
  <cellXfs count="51">
    <xf numFmtId="0" fontId="0" fillId="0" borderId="0" xfId="0">
      <alignment vertical="center"/>
    </xf>
    <xf numFmtId="0" fontId="5" fillId="2" borderId="1" xfId="2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6" fillId="0" borderId="3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6" fillId="0" borderId="3" xfId="0" applyFont="1" applyBorder="1" applyAlignment="1">
      <alignment vertical="center"/>
    </xf>
    <xf numFmtId="41" fontId="6" fillId="0" borderId="3" xfId="1" applyFont="1" applyBorder="1" applyAlignment="1">
      <alignment horizontal="right" vertical="center"/>
    </xf>
    <xf numFmtId="0" fontId="8" fillId="2" borderId="3" xfId="0" applyFont="1" applyFill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14" fontId="7" fillId="0" borderId="0" xfId="0" applyNumberFormat="1" applyFont="1" applyAlignment="1">
      <alignment horizontal="center" vertical="center"/>
    </xf>
    <xf numFmtId="41" fontId="7" fillId="0" borderId="0" xfId="1" applyFont="1" applyAlignment="1">
      <alignment horizontal="center" vertical="center"/>
    </xf>
    <xf numFmtId="0" fontId="7" fillId="0" borderId="5" xfId="0" applyFont="1" applyBorder="1" applyAlignment="1">
      <alignment horizontal="left" vertical="center"/>
    </xf>
    <xf numFmtId="0" fontId="7" fillId="0" borderId="5" xfId="0" applyFont="1" applyBorder="1" applyAlignment="1">
      <alignment horizontal="center" vertical="center"/>
    </xf>
    <xf numFmtId="14" fontId="7" fillId="0" borderId="5" xfId="0" applyNumberFormat="1" applyFont="1" applyBorder="1" applyAlignment="1">
      <alignment horizontal="center" vertical="center"/>
    </xf>
    <xf numFmtId="41" fontId="7" fillId="0" borderId="5" xfId="1" applyFont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3" fontId="7" fillId="0" borderId="3" xfId="0" applyNumberFormat="1" applyFont="1" applyBorder="1" applyAlignment="1">
      <alignment horizontal="center" vertical="center"/>
    </xf>
    <xf numFmtId="41" fontId="6" fillId="0" borderId="3" xfId="1" applyFont="1" applyBorder="1" applyAlignment="1">
      <alignment vertical="center"/>
    </xf>
    <xf numFmtId="0" fontId="8" fillId="4" borderId="3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5" fillId="0" borderId="3" xfId="2" applyFont="1" applyFill="1" applyBorder="1" applyAlignment="1">
      <alignment horizontal="left" vertical="center" wrapText="1"/>
    </xf>
    <xf numFmtId="177" fontId="6" fillId="0" borderId="3" xfId="0" applyNumberFormat="1" applyFont="1" applyBorder="1" applyAlignment="1">
      <alignment vertical="center"/>
    </xf>
    <xf numFmtId="3" fontId="6" fillId="0" borderId="3" xfId="0" applyNumberFormat="1" applyFont="1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5" fillId="0" borderId="2" xfId="2" applyFont="1" applyBorder="1" applyAlignment="1">
      <alignment horizontal="left" vertical="center" wrapText="1"/>
    </xf>
    <xf numFmtId="55" fontId="5" fillId="0" borderId="2" xfId="2" applyNumberFormat="1" applyFont="1" applyBorder="1" applyAlignment="1">
      <alignment horizontal="right" vertical="center" wrapText="1"/>
    </xf>
    <xf numFmtId="0" fontId="5" fillId="0" borderId="2" xfId="2" applyFont="1" applyBorder="1" applyAlignment="1">
      <alignment horizontal="right" vertical="center" wrapText="1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0" fillId="0" borderId="3" xfId="0" applyBorder="1">
      <alignment vertical="center"/>
    </xf>
    <xf numFmtId="0" fontId="8" fillId="2" borderId="6" xfId="0" applyFont="1" applyFill="1" applyBorder="1" applyAlignment="1">
      <alignment horizontal="center" vertical="center"/>
    </xf>
    <xf numFmtId="0" fontId="7" fillId="0" borderId="6" xfId="0" applyFont="1" applyBorder="1" applyAlignment="1">
      <alignment horizontal="right" vertical="center"/>
    </xf>
    <xf numFmtId="176" fontId="6" fillId="0" borderId="3" xfId="0" applyNumberFormat="1" applyFont="1" applyBorder="1">
      <alignment vertical="center"/>
    </xf>
    <xf numFmtId="0" fontId="6" fillId="0" borderId="0" xfId="0" applyFont="1" applyAlignment="1">
      <alignment horizontal="right" vertical="center"/>
    </xf>
    <xf numFmtId="0" fontId="8" fillId="0" borderId="3" xfId="0" applyFont="1" applyBorder="1" applyAlignment="1">
      <alignment horizontal="center" vertical="center"/>
    </xf>
    <xf numFmtId="14" fontId="6" fillId="0" borderId="3" xfId="0" applyNumberFormat="1" applyFont="1" applyBorder="1" applyAlignment="1">
      <alignment horizontal="center" vertical="center"/>
    </xf>
    <xf numFmtId="0" fontId="6" fillId="0" borderId="3" xfId="0" applyFont="1" applyBorder="1">
      <alignment vertical="center"/>
    </xf>
    <xf numFmtId="0" fontId="6" fillId="0" borderId="0" xfId="3" applyFont="1">
      <alignment vertical="center"/>
    </xf>
    <xf numFmtId="41" fontId="6" fillId="0" borderId="0" xfId="1" applyFont="1">
      <alignment vertical="center"/>
    </xf>
    <xf numFmtId="0" fontId="6" fillId="0" borderId="0" xfId="3" applyFont="1" applyAlignment="1">
      <alignment horizontal="right" vertical="center"/>
    </xf>
    <xf numFmtId="41" fontId="0" fillId="0" borderId="0" xfId="1" applyFont="1">
      <alignment vertical="center"/>
    </xf>
    <xf numFmtId="0" fontId="11" fillId="0" borderId="3" xfId="0" applyFont="1" applyBorder="1" applyAlignment="1">
      <alignment horizontal="center" vertical="center"/>
    </xf>
    <xf numFmtId="41" fontId="11" fillId="0" borderId="3" xfId="1" applyFont="1" applyBorder="1" applyAlignment="1">
      <alignment horizontal="center" vertical="center"/>
    </xf>
    <xf numFmtId="41" fontId="0" fillId="0" borderId="3" xfId="1" applyFont="1" applyBorder="1">
      <alignment vertical="center"/>
    </xf>
    <xf numFmtId="0" fontId="13" fillId="0" borderId="0" xfId="3" applyFont="1" applyAlignment="1">
      <alignment horizontal="center"/>
    </xf>
    <xf numFmtId="0" fontId="9" fillId="0" borderId="0" xfId="0" applyFont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1DEA9394-B09C-41A8-A91D-D6AF0947EF5B}"/>
    <cellStyle name="표준_Sheet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'기타작업-1'!$B$5</c:f>
              <c:strCache>
                <c:ptCount val="1"/>
                <c:pt idx="0">
                  <c:v>주택자금대출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'기타작업-1'!$C$4:$F$4</c:f>
              <c:strCache>
                <c:ptCount val="4"/>
                <c:pt idx="0">
                  <c:v>2023년</c:v>
                </c:pt>
                <c:pt idx="1">
                  <c:v>2024년</c:v>
                </c:pt>
                <c:pt idx="2">
                  <c:v>2025년</c:v>
                </c:pt>
                <c:pt idx="3">
                  <c:v>2026년</c:v>
                </c:pt>
              </c:strCache>
            </c:strRef>
          </c:cat>
          <c:val>
            <c:numRef>
              <c:f>'기타작업-1'!$C$5:$F$5</c:f>
              <c:numCache>
                <c:formatCode>_(* #,##0_);_(* \(#,##0\);_(* "-"_);_(@_)</c:formatCode>
                <c:ptCount val="4"/>
                <c:pt idx="0" formatCode="#,##0">
                  <c:v>15000</c:v>
                </c:pt>
                <c:pt idx="1">
                  <c:v>12000</c:v>
                </c:pt>
                <c:pt idx="2">
                  <c:v>21000</c:v>
                </c:pt>
                <c:pt idx="3">
                  <c:v>29000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BF-4A86-96D7-BE478097711D}"/>
            </c:ext>
          </c:extLst>
        </c:ser>
        <c:ser>
          <c:idx val="1"/>
          <c:order val="1"/>
          <c:tx>
            <c:strRef>
              <c:f>'기타작업-1'!$B$6</c:f>
              <c:strCache>
                <c:ptCount val="1"/>
                <c:pt idx="0">
                  <c:v>신용대출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'기타작업-1'!$C$4:$F$4</c:f>
              <c:strCache>
                <c:ptCount val="4"/>
                <c:pt idx="0">
                  <c:v>2023년</c:v>
                </c:pt>
                <c:pt idx="1">
                  <c:v>2024년</c:v>
                </c:pt>
                <c:pt idx="2">
                  <c:v>2025년</c:v>
                </c:pt>
                <c:pt idx="3">
                  <c:v>2026년</c:v>
                </c:pt>
              </c:strCache>
            </c:strRef>
          </c:cat>
          <c:val>
            <c:numRef>
              <c:f>'기타작업-1'!$C$6:$F$6</c:f>
              <c:numCache>
                <c:formatCode>_(* #,##0_);_(* \(#,##0\);_(* "-"_);_(@_)</c:formatCode>
                <c:ptCount val="4"/>
                <c:pt idx="0" formatCode="#,##0">
                  <c:v>16500</c:v>
                </c:pt>
                <c:pt idx="1">
                  <c:v>17000</c:v>
                </c:pt>
                <c:pt idx="2">
                  <c:v>13000</c:v>
                </c:pt>
                <c:pt idx="3">
                  <c:v>26000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BF-4A86-96D7-BE478097711D}"/>
            </c:ext>
          </c:extLst>
        </c:ser>
        <c:ser>
          <c:idx val="2"/>
          <c:order val="2"/>
          <c:tx>
            <c:strRef>
              <c:f>'기타작업-1'!$B$7</c:f>
              <c:strCache>
                <c:ptCount val="1"/>
                <c:pt idx="0">
                  <c:v>예금담보대출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'기타작업-1'!$C$4:$F$4</c:f>
              <c:strCache>
                <c:ptCount val="4"/>
                <c:pt idx="0">
                  <c:v>2023년</c:v>
                </c:pt>
                <c:pt idx="1">
                  <c:v>2024년</c:v>
                </c:pt>
                <c:pt idx="2">
                  <c:v>2025년</c:v>
                </c:pt>
                <c:pt idx="3">
                  <c:v>2026년</c:v>
                </c:pt>
              </c:strCache>
            </c:strRef>
          </c:cat>
          <c:val>
            <c:numRef>
              <c:f>'기타작업-1'!$C$7:$F$7</c:f>
              <c:numCache>
                <c:formatCode>_(* #,##0_);_(* \(#,##0\);_(* "-"_);_(@_)</c:formatCode>
                <c:ptCount val="4"/>
                <c:pt idx="0" formatCode="#,##0">
                  <c:v>13500</c:v>
                </c:pt>
                <c:pt idx="1">
                  <c:v>12500</c:v>
                </c:pt>
                <c:pt idx="2">
                  <c:v>14000</c:v>
                </c:pt>
                <c:pt idx="3">
                  <c:v>22000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CBF-4A86-96D7-BE47809771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639643711"/>
        <c:axId val="639647455"/>
      </c:barChart>
      <c:catAx>
        <c:axId val="6396437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39647455"/>
        <c:crosses val="autoZero"/>
        <c:auto val="1"/>
        <c:lblAlgn val="ctr"/>
        <c:lblOffset val="100"/>
        <c:noMultiLvlLbl val="0"/>
      </c:catAx>
      <c:valAx>
        <c:axId val="639647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396437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0</xdr:rowOff>
        </xdr:from>
        <xdr:to>
          <xdr:col>8</xdr:col>
          <xdr:colOff>222250</xdr:colOff>
          <xdr:row>2</xdr:row>
          <xdr:rowOff>139700</xdr:rowOff>
        </xdr:to>
        <xdr:sp macro="" textlink="">
          <xdr:nvSpPr>
            <xdr:cNvPr id="7169" name="대출신청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S Access Database_Query_4" connectionId="1" xr16:uid="{D0B4CA0A-C3CA-48A9-978A-231CDBE4108F}" autoFormatId="16" applyNumberFormats="0" applyBorderFormats="0" applyFontFormats="1" applyPatternFormats="1" applyAlignmentFormats="0" applyWidthHeightFormats="0">
  <queryTableRefresh nextId="14" unboundColumnsRight="2">
    <queryTableFields count="8">
      <queryTableField id="1" name="대출번호"/>
      <queryTableField id="5" name="대출지점"/>
      <queryTableField id="6" name="대출일"/>
      <queryTableField id="7" name="대출종류"/>
      <queryTableField id="8" name="대출금액"/>
      <queryTableField id="9" name="기간"/>
      <queryTableField id="11" dataBound="0"/>
      <queryTableField id="10" dataBound="0"/>
    </queryTableFields>
    <queryTableDeletedFields count="3">
      <deletedField name="주민등록번호"/>
      <deletedField name="주소"/>
      <deletedField name="성명"/>
    </queryTableDeletedFields>
  </queryTableRefresh>
</query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I19"/>
  <sheetViews>
    <sheetView tabSelected="1" workbookViewId="0"/>
  </sheetViews>
  <sheetFormatPr defaultRowHeight="17"/>
  <cols>
    <col min="1" max="1" width="15.75" customWidth="1"/>
    <col min="2" max="2" width="9.4140625" customWidth="1"/>
    <col min="3" max="3" width="15.33203125" bestFit="1" customWidth="1"/>
    <col min="4" max="4" width="21.6640625" bestFit="1" customWidth="1"/>
    <col min="5" max="5" width="8.5" bestFit="1" customWidth="1"/>
    <col min="6" max="6" width="10.75" bestFit="1" customWidth="1"/>
    <col min="7" max="7" width="16.25" bestFit="1" customWidth="1"/>
    <col min="8" max="8" width="9.1640625" bestFit="1" customWidth="1"/>
    <col min="9" max="9" width="4.83203125" bestFit="1" customWidth="1"/>
  </cols>
  <sheetData>
    <row r="1" spans="1:9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>
      <c r="A2" s="29" t="s">
        <v>9</v>
      </c>
      <c r="B2" s="29" t="s">
        <v>10</v>
      </c>
      <c r="C2" s="29" t="s">
        <v>11</v>
      </c>
      <c r="D2" s="29" t="s">
        <v>12</v>
      </c>
      <c r="E2" s="29" t="s">
        <v>13</v>
      </c>
      <c r="F2" s="30">
        <v>44762</v>
      </c>
      <c r="G2" s="29" t="s">
        <v>14</v>
      </c>
      <c r="H2" s="31">
        <v>15000000</v>
      </c>
      <c r="I2" s="31">
        <v>60</v>
      </c>
    </row>
    <row r="3" spans="1:9">
      <c r="A3" s="29" t="s">
        <v>15</v>
      </c>
      <c r="B3" s="29" t="s">
        <v>16</v>
      </c>
      <c r="C3" s="29" t="s">
        <v>17</v>
      </c>
      <c r="D3" s="29" t="s">
        <v>18</v>
      </c>
      <c r="E3" s="29" t="s">
        <v>19</v>
      </c>
      <c r="F3" s="30">
        <v>45794</v>
      </c>
      <c r="G3" s="29" t="s">
        <v>20</v>
      </c>
      <c r="H3" s="31">
        <v>5000000</v>
      </c>
      <c r="I3" s="31">
        <v>36</v>
      </c>
    </row>
    <row r="4" spans="1:9">
      <c r="A4" s="29" t="s">
        <v>21</v>
      </c>
      <c r="B4" s="29" t="s">
        <v>22</v>
      </c>
      <c r="C4" s="29" t="s">
        <v>23</v>
      </c>
      <c r="D4" s="29" t="s">
        <v>24</v>
      </c>
      <c r="E4" s="29" t="s">
        <v>25</v>
      </c>
      <c r="F4" s="30">
        <v>45885</v>
      </c>
      <c r="G4" s="29" t="s">
        <v>20</v>
      </c>
      <c r="H4" s="31">
        <v>2000000</v>
      </c>
      <c r="I4" s="31">
        <v>36</v>
      </c>
    </row>
    <row r="5" spans="1:9">
      <c r="A5" s="29" t="s">
        <v>26</v>
      </c>
      <c r="B5" s="29" t="s">
        <v>27</v>
      </c>
      <c r="C5" s="29" t="s">
        <v>28</v>
      </c>
      <c r="D5" s="29" t="s">
        <v>29</v>
      </c>
      <c r="E5" s="29" t="s">
        <v>25</v>
      </c>
      <c r="F5" s="30">
        <v>45890</v>
      </c>
      <c r="G5" s="29" t="s">
        <v>30</v>
      </c>
      <c r="H5" s="31">
        <v>1000000</v>
      </c>
      <c r="I5" s="31">
        <v>48</v>
      </c>
    </row>
    <row r="6" spans="1:9">
      <c r="A6" s="29" t="s">
        <v>31</v>
      </c>
      <c r="B6" s="29" t="s">
        <v>32</v>
      </c>
      <c r="C6" s="29" t="s">
        <v>33</v>
      </c>
      <c r="D6" s="29" t="s">
        <v>34</v>
      </c>
      <c r="E6" s="29" t="s">
        <v>25</v>
      </c>
      <c r="F6" s="30">
        <v>45373</v>
      </c>
      <c r="G6" s="29" t="s">
        <v>14</v>
      </c>
      <c r="H6" s="31">
        <v>15000000</v>
      </c>
      <c r="I6" s="31">
        <v>60</v>
      </c>
    </row>
    <row r="7" spans="1:9">
      <c r="A7" s="29" t="s">
        <v>35</v>
      </c>
      <c r="B7" s="29" t="s">
        <v>36</v>
      </c>
      <c r="C7" s="29" t="s">
        <v>37</v>
      </c>
      <c r="D7" s="29" t="s">
        <v>38</v>
      </c>
      <c r="E7" s="29" t="s">
        <v>13</v>
      </c>
      <c r="F7" s="30">
        <v>45430</v>
      </c>
      <c r="G7" s="29" t="s">
        <v>30</v>
      </c>
      <c r="H7" s="31">
        <v>3000000</v>
      </c>
      <c r="I7" s="31">
        <v>36</v>
      </c>
    </row>
    <row r="8" spans="1:9">
      <c r="A8" s="29" t="s">
        <v>39</v>
      </c>
      <c r="B8" s="29" t="s">
        <v>40</v>
      </c>
      <c r="C8" s="29" t="s">
        <v>41</v>
      </c>
      <c r="D8" s="29" t="s">
        <v>42</v>
      </c>
      <c r="E8" s="29" t="s">
        <v>19</v>
      </c>
      <c r="F8" s="30">
        <v>45467</v>
      </c>
      <c r="G8" s="29" t="s">
        <v>30</v>
      </c>
      <c r="H8" s="31">
        <v>3000000</v>
      </c>
      <c r="I8" s="31">
        <v>36</v>
      </c>
    </row>
    <row r="9" spans="1:9">
      <c r="A9" s="29" t="s">
        <v>43</v>
      </c>
      <c r="B9" s="29" t="s">
        <v>44</v>
      </c>
      <c r="C9" s="29" t="s">
        <v>45</v>
      </c>
      <c r="D9" s="29" t="s">
        <v>46</v>
      </c>
      <c r="E9" s="29" t="s">
        <v>19</v>
      </c>
      <c r="F9" s="30">
        <v>45521</v>
      </c>
      <c r="G9" s="29" t="s">
        <v>20</v>
      </c>
      <c r="H9" s="31">
        <v>8000000</v>
      </c>
      <c r="I9" s="31">
        <v>30</v>
      </c>
    </row>
    <row r="10" spans="1:9">
      <c r="A10" s="29" t="s">
        <v>47</v>
      </c>
      <c r="B10" s="29" t="s">
        <v>48</v>
      </c>
      <c r="C10" s="29" t="s">
        <v>49</v>
      </c>
      <c r="D10" s="29" t="s">
        <v>50</v>
      </c>
      <c r="E10" s="29" t="s">
        <v>51</v>
      </c>
      <c r="F10" s="30">
        <v>45574</v>
      </c>
      <c r="G10" s="29" t="s">
        <v>52</v>
      </c>
      <c r="H10" s="31">
        <v>15000000</v>
      </c>
      <c r="I10" s="31">
        <v>60</v>
      </c>
    </row>
    <row r="11" spans="1:9">
      <c r="A11" s="29" t="s">
        <v>53</v>
      </c>
      <c r="B11" s="29" t="s">
        <v>54</v>
      </c>
      <c r="C11" s="29" t="s">
        <v>55</v>
      </c>
      <c r="D11" s="29" t="s">
        <v>56</v>
      </c>
      <c r="E11" s="29" t="s">
        <v>51</v>
      </c>
      <c r="F11" s="30">
        <v>45644</v>
      </c>
      <c r="G11" s="29" t="s">
        <v>14</v>
      </c>
      <c r="H11" s="31">
        <v>12000000</v>
      </c>
      <c r="I11" s="31">
        <v>60</v>
      </c>
    </row>
    <row r="12" spans="1:9">
      <c r="A12" s="29" t="s">
        <v>57</v>
      </c>
      <c r="B12" s="29" t="s">
        <v>58</v>
      </c>
      <c r="C12" s="29" t="s">
        <v>59</v>
      </c>
      <c r="D12" s="29" t="s">
        <v>60</v>
      </c>
      <c r="E12" s="29" t="s">
        <v>25</v>
      </c>
      <c r="F12" s="30">
        <v>44946</v>
      </c>
      <c r="G12" s="29" t="s">
        <v>14</v>
      </c>
      <c r="H12" s="31">
        <v>27000000</v>
      </c>
      <c r="I12" s="31">
        <v>48</v>
      </c>
    </row>
    <row r="13" spans="1:9">
      <c r="A13" s="29" t="s">
        <v>61</v>
      </c>
      <c r="B13" s="29" t="s">
        <v>62</v>
      </c>
      <c r="C13" s="29" t="s">
        <v>63</v>
      </c>
      <c r="D13" s="29" t="s">
        <v>64</v>
      </c>
      <c r="E13" s="29" t="s">
        <v>13</v>
      </c>
      <c r="F13" s="30">
        <v>45047</v>
      </c>
      <c r="G13" s="29" t="s">
        <v>52</v>
      </c>
      <c r="H13" s="31">
        <v>5000000</v>
      </c>
      <c r="I13" s="31">
        <v>24</v>
      </c>
    </row>
    <row r="14" spans="1:9">
      <c r="A14" s="29" t="s">
        <v>65</v>
      </c>
      <c r="B14" s="29" t="s">
        <v>66</v>
      </c>
      <c r="C14" s="29" t="s">
        <v>67</v>
      </c>
      <c r="D14" s="29" t="s">
        <v>68</v>
      </c>
      <c r="E14" s="29" t="s">
        <v>51</v>
      </c>
      <c r="F14" s="30">
        <v>45072</v>
      </c>
      <c r="G14" s="29" t="s">
        <v>30</v>
      </c>
      <c r="H14" s="31">
        <v>4000000</v>
      </c>
      <c r="I14" s="31">
        <v>48</v>
      </c>
    </row>
    <row r="15" spans="1:9">
      <c r="A15" s="29" t="s">
        <v>69</v>
      </c>
      <c r="B15" s="29" t="s">
        <v>70</v>
      </c>
      <c r="C15" s="29" t="s">
        <v>71</v>
      </c>
      <c r="D15" s="29" t="s">
        <v>72</v>
      </c>
      <c r="E15" s="29" t="s">
        <v>19</v>
      </c>
      <c r="F15" s="30">
        <v>45089</v>
      </c>
      <c r="G15" s="29" t="s">
        <v>20</v>
      </c>
      <c r="H15" s="31">
        <v>5000000</v>
      </c>
      <c r="I15" s="31">
        <v>30</v>
      </c>
    </row>
    <row r="16" spans="1:9">
      <c r="A16" s="29" t="s">
        <v>73</v>
      </c>
      <c r="B16" s="29" t="s">
        <v>74</v>
      </c>
      <c r="C16" s="29" t="s">
        <v>75</v>
      </c>
      <c r="D16" s="29" t="s">
        <v>76</v>
      </c>
      <c r="E16" s="29" t="s">
        <v>19</v>
      </c>
      <c r="F16" s="30">
        <v>45171</v>
      </c>
      <c r="G16" s="29" t="s">
        <v>52</v>
      </c>
      <c r="H16" s="31">
        <v>7000000</v>
      </c>
      <c r="I16" s="31">
        <v>24</v>
      </c>
    </row>
    <row r="17" spans="1:9">
      <c r="A17" s="29" t="s">
        <v>77</v>
      </c>
      <c r="B17" s="29" t="s">
        <v>78</v>
      </c>
      <c r="C17" s="29" t="s">
        <v>79</v>
      </c>
      <c r="D17" s="29" t="s">
        <v>80</v>
      </c>
      <c r="E17" s="29" t="s">
        <v>25</v>
      </c>
      <c r="F17" s="30">
        <v>45223</v>
      </c>
      <c r="G17" s="29" t="s">
        <v>30</v>
      </c>
      <c r="H17" s="31">
        <v>2500000</v>
      </c>
      <c r="I17" s="31">
        <v>12</v>
      </c>
    </row>
    <row r="18" spans="1:9">
      <c r="A18" s="29" t="s">
        <v>81</v>
      </c>
      <c r="B18" s="29" t="s">
        <v>82</v>
      </c>
      <c r="C18" s="29" t="s">
        <v>83</v>
      </c>
      <c r="D18" s="29" t="s">
        <v>84</v>
      </c>
      <c r="E18" s="29" t="s">
        <v>13</v>
      </c>
      <c r="F18" s="30">
        <v>45263</v>
      </c>
      <c r="G18" s="29" t="s">
        <v>14</v>
      </c>
      <c r="H18" s="31">
        <v>35000000</v>
      </c>
      <c r="I18" s="31">
        <v>24</v>
      </c>
    </row>
    <row r="19" spans="1:9">
      <c r="A19" s="29" t="s">
        <v>85</v>
      </c>
      <c r="B19" s="29" t="s">
        <v>86</v>
      </c>
      <c r="C19" s="29" t="s">
        <v>87</v>
      </c>
      <c r="D19" s="29" t="s">
        <v>88</v>
      </c>
      <c r="E19" s="29" t="s">
        <v>13</v>
      </c>
      <c r="F19" s="30">
        <v>45275</v>
      </c>
      <c r="G19" s="29" t="s">
        <v>20</v>
      </c>
      <c r="H19" s="31">
        <v>5000000</v>
      </c>
      <c r="I19" s="31">
        <v>18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I19"/>
  <sheetViews>
    <sheetView workbookViewId="0"/>
  </sheetViews>
  <sheetFormatPr defaultRowHeight="17"/>
  <cols>
    <col min="1" max="1" width="15.75" customWidth="1"/>
    <col min="2" max="2" width="9.4140625" customWidth="1"/>
    <col min="3" max="3" width="15.33203125" bestFit="1" customWidth="1"/>
    <col min="4" max="4" width="21.6640625" bestFit="1" customWidth="1"/>
    <col min="5" max="5" width="8.5" bestFit="1" customWidth="1"/>
    <col min="6" max="6" width="10.75" bestFit="1" customWidth="1"/>
    <col min="7" max="7" width="16.25" bestFit="1" customWidth="1"/>
    <col min="8" max="8" width="9.1640625" bestFit="1" customWidth="1"/>
    <col min="9" max="9" width="4.83203125" bestFit="1" customWidth="1"/>
  </cols>
  <sheetData>
    <row r="1" spans="1:9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>
      <c r="A2" s="29" t="s">
        <v>9</v>
      </c>
      <c r="B2" s="29" t="s">
        <v>10</v>
      </c>
      <c r="C2" s="29" t="s">
        <v>11</v>
      </c>
      <c r="D2" s="29" t="s">
        <v>12</v>
      </c>
      <c r="E2" s="29" t="s">
        <v>13</v>
      </c>
      <c r="F2" s="30">
        <v>44762</v>
      </c>
      <c r="G2" s="29" t="s">
        <v>14</v>
      </c>
      <c r="H2" s="31">
        <v>15000000</v>
      </c>
      <c r="I2" s="31">
        <v>60</v>
      </c>
    </row>
    <row r="3" spans="1:9">
      <c r="A3" s="29" t="s">
        <v>15</v>
      </c>
      <c r="B3" s="29" t="s">
        <v>16</v>
      </c>
      <c r="C3" s="29" t="s">
        <v>17</v>
      </c>
      <c r="D3" s="29" t="s">
        <v>18</v>
      </c>
      <c r="E3" s="29" t="s">
        <v>19</v>
      </c>
      <c r="F3" s="30">
        <v>45794</v>
      </c>
      <c r="G3" s="29" t="s">
        <v>20</v>
      </c>
      <c r="H3" s="31">
        <v>5000000</v>
      </c>
      <c r="I3" s="31">
        <v>36</v>
      </c>
    </row>
    <row r="4" spans="1:9">
      <c r="A4" s="29" t="s">
        <v>21</v>
      </c>
      <c r="B4" s="29" t="s">
        <v>22</v>
      </c>
      <c r="C4" s="29" t="s">
        <v>23</v>
      </c>
      <c r="D4" s="29" t="s">
        <v>24</v>
      </c>
      <c r="E4" s="29" t="s">
        <v>25</v>
      </c>
      <c r="F4" s="30">
        <v>45885</v>
      </c>
      <c r="G4" s="29" t="s">
        <v>20</v>
      </c>
      <c r="H4" s="31">
        <v>2000000</v>
      </c>
      <c r="I4" s="31">
        <v>36</v>
      </c>
    </row>
    <row r="5" spans="1:9">
      <c r="A5" s="29" t="s">
        <v>26</v>
      </c>
      <c r="B5" s="29" t="s">
        <v>27</v>
      </c>
      <c r="C5" s="29" t="s">
        <v>28</v>
      </c>
      <c r="D5" s="29" t="s">
        <v>29</v>
      </c>
      <c r="E5" s="29" t="s">
        <v>25</v>
      </c>
      <c r="F5" s="30">
        <v>45890</v>
      </c>
      <c r="G5" s="29" t="s">
        <v>30</v>
      </c>
      <c r="H5" s="31">
        <v>1000000</v>
      </c>
      <c r="I5" s="31">
        <v>48</v>
      </c>
    </row>
    <row r="6" spans="1:9">
      <c r="A6" s="29" t="s">
        <v>31</v>
      </c>
      <c r="B6" s="29" t="s">
        <v>32</v>
      </c>
      <c r="C6" s="29" t="s">
        <v>33</v>
      </c>
      <c r="D6" s="29" t="s">
        <v>34</v>
      </c>
      <c r="E6" s="29" t="s">
        <v>25</v>
      </c>
      <c r="F6" s="30">
        <v>45373</v>
      </c>
      <c r="G6" s="29" t="s">
        <v>14</v>
      </c>
      <c r="H6" s="31">
        <v>15000000</v>
      </c>
      <c r="I6" s="31">
        <v>60</v>
      </c>
    </row>
    <row r="7" spans="1:9">
      <c r="A7" s="29" t="s">
        <v>35</v>
      </c>
      <c r="B7" s="29" t="s">
        <v>36</v>
      </c>
      <c r="C7" s="29" t="s">
        <v>37</v>
      </c>
      <c r="D7" s="29" t="s">
        <v>38</v>
      </c>
      <c r="E7" s="29" t="s">
        <v>13</v>
      </c>
      <c r="F7" s="30">
        <v>45430</v>
      </c>
      <c r="G7" s="29" t="s">
        <v>30</v>
      </c>
      <c r="H7" s="31">
        <v>3000000</v>
      </c>
      <c r="I7" s="31">
        <v>36</v>
      </c>
    </row>
    <row r="8" spans="1:9">
      <c r="A8" s="29" t="s">
        <v>39</v>
      </c>
      <c r="B8" s="29" t="s">
        <v>40</v>
      </c>
      <c r="C8" s="29" t="s">
        <v>41</v>
      </c>
      <c r="D8" s="29" t="s">
        <v>42</v>
      </c>
      <c r="E8" s="29" t="s">
        <v>19</v>
      </c>
      <c r="F8" s="30">
        <v>45467</v>
      </c>
      <c r="G8" s="29" t="s">
        <v>30</v>
      </c>
      <c r="H8" s="31">
        <v>3000000</v>
      </c>
      <c r="I8" s="31">
        <v>36</v>
      </c>
    </row>
    <row r="9" spans="1:9">
      <c r="A9" s="29" t="s">
        <v>43</v>
      </c>
      <c r="B9" s="29" t="s">
        <v>44</v>
      </c>
      <c r="C9" s="29" t="s">
        <v>45</v>
      </c>
      <c r="D9" s="29" t="s">
        <v>46</v>
      </c>
      <c r="E9" s="29" t="s">
        <v>19</v>
      </c>
      <c r="F9" s="30">
        <v>45521</v>
      </c>
      <c r="G9" s="29" t="s">
        <v>20</v>
      </c>
      <c r="H9" s="31">
        <v>8000000</v>
      </c>
      <c r="I9" s="31">
        <v>30</v>
      </c>
    </row>
    <row r="10" spans="1:9">
      <c r="A10" s="29" t="s">
        <v>47</v>
      </c>
      <c r="B10" s="29" t="s">
        <v>48</v>
      </c>
      <c r="C10" s="29" t="s">
        <v>49</v>
      </c>
      <c r="D10" s="29" t="s">
        <v>50</v>
      </c>
      <c r="E10" s="29" t="s">
        <v>51</v>
      </c>
      <c r="F10" s="30">
        <v>45574</v>
      </c>
      <c r="G10" s="29" t="s">
        <v>52</v>
      </c>
      <c r="H10" s="31">
        <v>15000000</v>
      </c>
      <c r="I10" s="31">
        <v>60</v>
      </c>
    </row>
    <row r="11" spans="1:9">
      <c r="A11" s="29" t="s">
        <v>53</v>
      </c>
      <c r="B11" s="29" t="s">
        <v>54</v>
      </c>
      <c r="C11" s="29" t="s">
        <v>55</v>
      </c>
      <c r="D11" s="29" t="s">
        <v>56</v>
      </c>
      <c r="E11" s="29" t="s">
        <v>51</v>
      </c>
      <c r="F11" s="30">
        <v>45644</v>
      </c>
      <c r="G11" s="29" t="s">
        <v>14</v>
      </c>
      <c r="H11" s="31">
        <v>12000000</v>
      </c>
      <c r="I11" s="31">
        <v>60</v>
      </c>
    </row>
    <row r="12" spans="1:9">
      <c r="A12" s="29" t="s">
        <v>57</v>
      </c>
      <c r="B12" s="29" t="s">
        <v>58</v>
      </c>
      <c r="C12" s="29" t="s">
        <v>59</v>
      </c>
      <c r="D12" s="29" t="s">
        <v>60</v>
      </c>
      <c r="E12" s="29" t="s">
        <v>25</v>
      </c>
      <c r="F12" s="30">
        <v>44946</v>
      </c>
      <c r="G12" s="29" t="s">
        <v>14</v>
      </c>
      <c r="H12" s="31">
        <v>27000000</v>
      </c>
      <c r="I12" s="31">
        <v>48</v>
      </c>
    </row>
    <row r="13" spans="1:9">
      <c r="A13" s="29" t="s">
        <v>61</v>
      </c>
      <c r="B13" s="29" t="s">
        <v>62</v>
      </c>
      <c r="C13" s="29" t="s">
        <v>63</v>
      </c>
      <c r="D13" s="29" t="s">
        <v>64</v>
      </c>
      <c r="E13" s="29" t="s">
        <v>13</v>
      </c>
      <c r="F13" s="30">
        <v>45047</v>
      </c>
      <c r="G13" s="29" t="s">
        <v>52</v>
      </c>
      <c r="H13" s="31">
        <v>5000000</v>
      </c>
      <c r="I13" s="31">
        <v>24</v>
      </c>
    </row>
    <row r="14" spans="1:9">
      <c r="A14" s="29" t="s">
        <v>65</v>
      </c>
      <c r="B14" s="29" t="s">
        <v>66</v>
      </c>
      <c r="C14" s="29" t="s">
        <v>67</v>
      </c>
      <c r="D14" s="29" t="s">
        <v>68</v>
      </c>
      <c r="E14" s="29" t="s">
        <v>51</v>
      </c>
      <c r="F14" s="30">
        <v>45072</v>
      </c>
      <c r="G14" s="29" t="s">
        <v>30</v>
      </c>
      <c r="H14" s="31">
        <v>4000000</v>
      </c>
      <c r="I14" s="31">
        <v>48</v>
      </c>
    </row>
    <row r="15" spans="1:9">
      <c r="A15" s="29" t="s">
        <v>69</v>
      </c>
      <c r="B15" s="29" t="s">
        <v>70</v>
      </c>
      <c r="C15" s="29" t="s">
        <v>71</v>
      </c>
      <c r="D15" s="29" t="s">
        <v>72</v>
      </c>
      <c r="E15" s="29" t="s">
        <v>19</v>
      </c>
      <c r="F15" s="30">
        <v>45089</v>
      </c>
      <c r="G15" s="29" t="s">
        <v>20</v>
      </c>
      <c r="H15" s="31">
        <v>5000000</v>
      </c>
      <c r="I15" s="31">
        <v>30</v>
      </c>
    </row>
    <row r="16" spans="1:9">
      <c r="A16" s="29" t="s">
        <v>73</v>
      </c>
      <c r="B16" s="29" t="s">
        <v>74</v>
      </c>
      <c r="C16" s="29" t="s">
        <v>75</v>
      </c>
      <c r="D16" s="29" t="s">
        <v>76</v>
      </c>
      <c r="E16" s="29" t="s">
        <v>19</v>
      </c>
      <c r="F16" s="30">
        <v>45171</v>
      </c>
      <c r="G16" s="29" t="s">
        <v>52</v>
      </c>
      <c r="H16" s="31">
        <v>7000000</v>
      </c>
      <c r="I16" s="31">
        <v>24</v>
      </c>
    </row>
    <row r="17" spans="1:9">
      <c r="A17" s="29" t="s">
        <v>77</v>
      </c>
      <c r="B17" s="29" t="s">
        <v>78</v>
      </c>
      <c r="C17" s="29" t="s">
        <v>79</v>
      </c>
      <c r="D17" s="29" t="s">
        <v>80</v>
      </c>
      <c r="E17" s="29" t="s">
        <v>25</v>
      </c>
      <c r="F17" s="30">
        <v>45223</v>
      </c>
      <c r="G17" s="29" t="s">
        <v>30</v>
      </c>
      <c r="H17" s="31">
        <v>2500000</v>
      </c>
      <c r="I17" s="31">
        <v>12</v>
      </c>
    </row>
    <row r="18" spans="1:9">
      <c r="A18" s="29" t="s">
        <v>81</v>
      </c>
      <c r="B18" s="29" t="s">
        <v>82</v>
      </c>
      <c r="C18" s="29" t="s">
        <v>83</v>
      </c>
      <c r="D18" s="29" t="s">
        <v>84</v>
      </c>
      <c r="E18" s="29" t="s">
        <v>13</v>
      </c>
      <c r="F18" s="30">
        <v>45263</v>
      </c>
      <c r="G18" s="29" t="s">
        <v>14</v>
      </c>
      <c r="H18" s="31">
        <v>35000000</v>
      </c>
      <c r="I18" s="31">
        <v>24</v>
      </c>
    </row>
    <row r="19" spans="1:9">
      <c r="A19" s="29" t="s">
        <v>85</v>
      </c>
      <c r="B19" s="29" t="s">
        <v>86</v>
      </c>
      <c r="C19" s="29" t="s">
        <v>87</v>
      </c>
      <c r="D19" s="29" t="s">
        <v>88</v>
      </c>
      <c r="E19" s="29" t="s">
        <v>13</v>
      </c>
      <c r="F19" s="30">
        <v>45275</v>
      </c>
      <c r="G19" s="29" t="s">
        <v>20</v>
      </c>
      <c r="H19" s="31">
        <v>5000000</v>
      </c>
      <c r="I19" s="31">
        <v>18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3762E-F646-45FA-A332-2A500015A6C0}">
  <sheetPr codeName="Sheet3"/>
  <dimension ref="B1:K44"/>
  <sheetViews>
    <sheetView topLeftCell="A7" workbookViewId="0"/>
  </sheetViews>
  <sheetFormatPr defaultRowHeight="17"/>
  <cols>
    <col min="1" max="1" width="2.58203125" customWidth="1"/>
    <col min="3" max="3" width="12.25" customWidth="1"/>
    <col min="4" max="4" width="12.33203125" customWidth="1"/>
    <col min="5" max="5" width="14.6640625" customWidth="1"/>
    <col min="6" max="6" width="12.25" customWidth="1"/>
    <col min="8" max="8" width="12" customWidth="1"/>
    <col min="9" max="9" width="20" customWidth="1"/>
    <col min="10" max="10" width="12.83203125" customWidth="1"/>
  </cols>
  <sheetData>
    <row r="1" spans="2:11">
      <c r="B1" t="s">
        <v>195</v>
      </c>
      <c r="C1" t="s">
        <v>200</v>
      </c>
      <c r="F1" s="32"/>
      <c r="H1" s="32" t="s">
        <v>201</v>
      </c>
      <c r="I1" s="33"/>
      <c r="J1" s="33"/>
    </row>
    <row r="2" spans="2:11">
      <c r="B2" s="28" t="s">
        <v>202</v>
      </c>
      <c r="C2" s="28" t="s">
        <v>203</v>
      </c>
      <c r="D2" s="28" t="s">
        <v>204</v>
      </c>
      <c r="E2" s="28" t="s">
        <v>205</v>
      </c>
      <c r="F2" s="4" t="s">
        <v>206</v>
      </c>
      <c r="H2" s="4" t="s">
        <v>89</v>
      </c>
      <c r="I2" s="4" t="s">
        <v>90</v>
      </c>
      <c r="J2" s="4" t="s">
        <v>91</v>
      </c>
      <c r="K2" s="4" t="s">
        <v>92</v>
      </c>
    </row>
    <row r="3" spans="2:11">
      <c r="B3" s="34" t="s">
        <v>207</v>
      </c>
      <c r="C3" s="9" t="s">
        <v>98</v>
      </c>
      <c r="D3" s="9" t="s">
        <v>99</v>
      </c>
      <c r="E3" s="9" t="s">
        <v>100</v>
      </c>
      <c r="F3" s="9" t="s">
        <v>101</v>
      </c>
      <c r="H3" s="4" t="s">
        <v>93</v>
      </c>
      <c r="I3" s="4">
        <v>500</v>
      </c>
      <c r="J3" s="4">
        <v>300</v>
      </c>
      <c r="K3" s="4">
        <v>200</v>
      </c>
    </row>
    <row r="4" spans="2:11">
      <c r="B4" s="28" t="s">
        <v>208</v>
      </c>
      <c r="C4" s="28"/>
      <c r="D4" s="28"/>
      <c r="E4" s="28"/>
      <c r="F4" s="28"/>
      <c r="J4" s="33"/>
    </row>
    <row r="5" spans="2:11">
      <c r="B5" s="10" t="s">
        <v>209</v>
      </c>
      <c r="C5" s="28"/>
      <c r="D5" s="28"/>
      <c r="E5" s="28"/>
      <c r="F5" s="28"/>
      <c r="J5" s="33"/>
    </row>
    <row r="6" spans="2:11">
      <c r="B6" s="10" t="s">
        <v>210</v>
      </c>
      <c r="C6" s="28"/>
      <c r="D6" s="28"/>
      <c r="E6" s="28"/>
      <c r="F6" s="28"/>
      <c r="G6" s="33"/>
      <c r="H6" s="33"/>
      <c r="I6" s="33"/>
      <c r="J6" s="33"/>
    </row>
    <row r="7" spans="2:11">
      <c r="B7" s="32"/>
      <c r="C7" s="32"/>
      <c r="D7" s="32"/>
      <c r="E7" s="32"/>
      <c r="F7" s="32"/>
      <c r="G7" s="5"/>
      <c r="H7" s="5"/>
      <c r="I7" s="5"/>
      <c r="J7" s="5"/>
    </row>
    <row r="8" spans="2:11">
      <c r="B8" s="32" t="s">
        <v>94</v>
      </c>
      <c r="C8" s="32"/>
      <c r="D8" s="32"/>
      <c r="E8" s="32"/>
      <c r="F8" s="32"/>
      <c r="G8" s="6"/>
      <c r="H8" s="6" t="s">
        <v>211</v>
      </c>
      <c r="I8" s="5"/>
      <c r="J8" s="5"/>
    </row>
    <row r="9" spans="2:11">
      <c r="B9" s="4" t="s">
        <v>95</v>
      </c>
      <c r="C9" s="4" t="s">
        <v>212</v>
      </c>
      <c r="D9" s="4" t="s">
        <v>213</v>
      </c>
      <c r="E9" s="4" t="s">
        <v>214</v>
      </c>
      <c r="F9" s="4" t="s">
        <v>215</v>
      </c>
      <c r="G9" s="5"/>
      <c r="H9" s="4"/>
      <c r="I9" s="28"/>
      <c r="J9" s="35" t="s">
        <v>96</v>
      </c>
    </row>
    <row r="10" spans="2:11">
      <c r="B10" s="4" t="s">
        <v>97</v>
      </c>
      <c r="C10" s="9" t="s">
        <v>98</v>
      </c>
      <c r="D10" s="9" t="s">
        <v>99</v>
      </c>
      <c r="E10" s="9" t="s">
        <v>100</v>
      </c>
      <c r="F10" s="9" t="s">
        <v>101</v>
      </c>
      <c r="G10" s="5"/>
      <c r="H10" s="10"/>
      <c r="I10" s="28"/>
      <c r="J10" s="36"/>
    </row>
    <row r="11" spans="2:11">
      <c r="B11" s="4">
        <v>2023</v>
      </c>
      <c r="C11" s="37"/>
      <c r="D11" s="37"/>
      <c r="E11" s="37"/>
      <c r="F11" s="37"/>
      <c r="G11" s="5"/>
      <c r="H11" s="10"/>
      <c r="I11" s="10"/>
      <c r="J11" s="33"/>
    </row>
    <row r="12" spans="2:11">
      <c r="B12" s="4">
        <v>2024</v>
      </c>
      <c r="C12" s="37"/>
      <c r="D12" s="37"/>
      <c r="E12" s="37"/>
      <c r="F12" s="37"/>
      <c r="G12" s="5"/>
      <c r="H12" s="33"/>
      <c r="I12" s="33"/>
      <c r="J12" s="33"/>
    </row>
    <row r="13" spans="2:11">
      <c r="B13" s="4">
        <v>2025</v>
      </c>
      <c r="C13" s="37"/>
      <c r="D13" s="37"/>
      <c r="E13" s="37"/>
      <c r="F13" s="37"/>
      <c r="G13" s="5"/>
      <c r="H13" s="5"/>
      <c r="I13" s="5"/>
      <c r="J13" s="5"/>
    </row>
    <row r="14" spans="2:11">
      <c r="B14" s="32"/>
      <c r="C14" s="32"/>
      <c r="D14" s="32"/>
      <c r="E14" s="32"/>
      <c r="F14" s="32"/>
      <c r="G14" s="5"/>
      <c r="H14" s="5"/>
      <c r="I14" s="5"/>
      <c r="J14" s="5"/>
    </row>
    <row r="15" spans="2:11">
      <c r="B15" s="32"/>
      <c r="C15" s="32"/>
      <c r="D15" s="32"/>
      <c r="E15" s="32"/>
      <c r="F15" s="32"/>
      <c r="G15" s="5"/>
      <c r="H15" s="5"/>
      <c r="I15" s="5"/>
      <c r="J15" s="5"/>
    </row>
    <row r="16" spans="2:11">
      <c r="B16" s="32" t="s">
        <v>102</v>
      </c>
      <c r="C16" s="32"/>
      <c r="D16" s="32"/>
      <c r="E16" s="32"/>
      <c r="F16" s="38"/>
      <c r="G16" s="38"/>
      <c r="H16" s="32"/>
      <c r="I16" s="38" t="s">
        <v>103</v>
      </c>
      <c r="J16" s="32"/>
    </row>
    <row r="17" spans="2:10">
      <c r="B17" s="39" t="s">
        <v>0</v>
      </c>
      <c r="C17" s="39" t="s">
        <v>89</v>
      </c>
      <c r="D17" s="39" t="s">
        <v>5</v>
      </c>
      <c r="E17" s="39" t="s">
        <v>6</v>
      </c>
      <c r="F17" s="39" t="s">
        <v>104</v>
      </c>
      <c r="G17" s="39" t="s">
        <v>8</v>
      </c>
      <c r="H17" s="9" t="s">
        <v>105</v>
      </c>
      <c r="I17" s="9" t="s">
        <v>106</v>
      </c>
      <c r="J17" s="5"/>
    </row>
    <row r="18" spans="2:10">
      <c r="B18" s="4" t="s">
        <v>107</v>
      </c>
      <c r="C18" s="4" t="s">
        <v>91</v>
      </c>
      <c r="D18" s="40">
        <v>46006</v>
      </c>
      <c r="E18" s="41" t="s">
        <v>108</v>
      </c>
      <c r="F18" s="37">
        <v>15000</v>
      </c>
      <c r="G18" s="4">
        <v>18</v>
      </c>
      <c r="H18" s="4"/>
      <c r="I18" s="8"/>
      <c r="J18" s="32"/>
    </row>
    <row r="19" spans="2:10">
      <c r="B19" s="4" t="s">
        <v>109</v>
      </c>
      <c r="C19" s="4" t="s">
        <v>92</v>
      </c>
      <c r="D19" s="40">
        <v>45820</v>
      </c>
      <c r="E19" s="41" t="s">
        <v>108</v>
      </c>
      <c r="F19" s="37">
        <v>5000</v>
      </c>
      <c r="G19" s="4">
        <v>30</v>
      </c>
      <c r="H19" s="4"/>
      <c r="I19" s="8"/>
      <c r="J19" s="32"/>
    </row>
    <row r="20" spans="2:10">
      <c r="B20" s="4" t="s">
        <v>110</v>
      </c>
      <c r="C20" s="4" t="s">
        <v>90</v>
      </c>
      <c r="D20" s="40">
        <v>45954</v>
      </c>
      <c r="E20" s="41" t="s">
        <v>111</v>
      </c>
      <c r="F20" s="37">
        <v>2500</v>
      </c>
      <c r="G20" s="4">
        <v>12</v>
      </c>
      <c r="H20" s="4"/>
      <c r="I20" s="8"/>
      <c r="J20" s="32"/>
    </row>
    <row r="21" spans="2:10">
      <c r="B21" s="4" t="s">
        <v>112</v>
      </c>
      <c r="C21" s="4" t="s">
        <v>90</v>
      </c>
      <c r="D21" s="40">
        <v>45521</v>
      </c>
      <c r="E21" s="41" t="s">
        <v>108</v>
      </c>
      <c r="F21" s="37">
        <v>8000</v>
      </c>
      <c r="G21" s="4">
        <v>30</v>
      </c>
      <c r="H21" s="4"/>
      <c r="I21" s="8"/>
      <c r="J21" s="32"/>
    </row>
    <row r="22" spans="2:10">
      <c r="B22" s="4" t="s">
        <v>113</v>
      </c>
      <c r="C22" s="4" t="s">
        <v>90</v>
      </c>
      <c r="D22" s="40">
        <v>46000</v>
      </c>
      <c r="E22" s="41" t="s">
        <v>108</v>
      </c>
      <c r="F22" s="37">
        <v>10000</v>
      </c>
      <c r="G22" s="4">
        <v>36</v>
      </c>
      <c r="H22" s="4"/>
      <c r="I22" s="8"/>
      <c r="J22" s="32"/>
    </row>
    <row r="23" spans="2:10">
      <c r="B23" s="4" t="s">
        <v>114</v>
      </c>
      <c r="C23" s="4" t="s">
        <v>92</v>
      </c>
      <c r="D23" s="40">
        <v>45701</v>
      </c>
      <c r="E23" s="41" t="s">
        <v>115</v>
      </c>
      <c r="F23" s="37">
        <v>7000</v>
      </c>
      <c r="G23" s="4">
        <v>30</v>
      </c>
      <c r="H23" s="4"/>
      <c r="I23" s="8"/>
      <c r="J23" s="32"/>
    </row>
    <row r="24" spans="2:10">
      <c r="B24" s="4" t="s">
        <v>116</v>
      </c>
      <c r="C24" s="4" t="s">
        <v>90</v>
      </c>
      <c r="D24" s="40">
        <v>45455</v>
      </c>
      <c r="E24" s="41" t="s">
        <v>111</v>
      </c>
      <c r="F24" s="37">
        <v>2000</v>
      </c>
      <c r="G24" s="4">
        <v>60</v>
      </c>
      <c r="H24" s="4"/>
      <c r="I24" s="8"/>
      <c r="J24" s="32"/>
    </row>
    <row r="25" spans="2:10">
      <c r="B25" s="4" t="s">
        <v>117</v>
      </c>
      <c r="C25" s="4" t="s">
        <v>90</v>
      </c>
      <c r="D25" s="40">
        <v>45467</v>
      </c>
      <c r="E25" s="41" t="s">
        <v>111</v>
      </c>
      <c r="F25" s="37">
        <v>3000</v>
      </c>
      <c r="G25" s="4">
        <v>36</v>
      </c>
      <c r="H25" s="4"/>
      <c r="I25" s="8"/>
      <c r="J25" s="32"/>
    </row>
    <row r="26" spans="2:10">
      <c r="B26" s="4" t="s">
        <v>118</v>
      </c>
      <c r="C26" s="4" t="s">
        <v>91</v>
      </c>
      <c r="D26" s="40">
        <v>45815</v>
      </c>
      <c r="E26" s="41" t="s">
        <v>115</v>
      </c>
      <c r="F26" s="37">
        <v>5000</v>
      </c>
      <c r="G26" s="4">
        <v>30</v>
      </c>
      <c r="H26" s="4"/>
      <c r="I26" s="8"/>
      <c r="J26" s="32"/>
    </row>
    <row r="27" spans="2:10">
      <c r="B27" s="4" t="s">
        <v>119</v>
      </c>
      <c r="C27" s="4" t="s">
        <v>90</v>
      </c>
      <c r="D27" s="40">
        <v>45278</v>
      </c>
      <c r="E27" s="41" t="s">
        <v>120</v>
      </c>
      <c r="F27" s="37">
        <v>12000</v>
      </c>
      <c r="G27" s="4">
        <v>60</v>
      </c>
      <c r="H27" s="4"/>
      <c r="I27" s="8"/>
      <c r="J27" s="32"/>
    </row>
    <row r="28" spans="2:10">
      <c r="B28" s="4" t="s">
        <v>121</v>
      </c>
      <c r="C28" s="4" t="s">
        <v>90</v>
      </c>
      <c r="D28" s="40">
        <v>45574</v>
      </c>
      <c r="E28" s="41" t="s">
        <v>115</v>
      </c>
      <c r="F28" s="37">
        <v>15000</v>
      </c>
      <c r="G28" s="4">
        <v>60</v>
      </c>
      <c r="H28" s="4"/>
      <c r="I28" s="8"/>
      <c r="J28" s="32"/>
    </row>
    <row r="29" spans="2:10">
      <c r="B29" s="4" t="s">
        <v>122</v>
      </c>
      <c r="C29" s="4" t="s">
        <v>92</v>
      </c>
      <c r="D29" s="40">
        <v>45063</v>
      </c>
      <c r="E29" s="41" t="s">
        <v>108</v>
      </c>
      <c r="F29" s="37">
        <v>5000</v>
      </c>
      <c r="G29" s="4">
        <v>36</v>
      </c>
      <c r="H29" s="4"/>
      <c r="I29" s="8"/>
      <c r="J29" s="32"/>
    </row>
    <row r="30" spans="2:10">
      <c r="B30" s="4" t="s">
        <v>123</v>
      </c>
      <c r="C30" s="4" t="s">
        <v>90</v>
      </c>
      <c r="D30" s="40">
        <v>45902</v>
      </c>
      <c r="E30" s="41" t="s">
        <v>115</v>
      </c>
      <c r="F30" s="37">
        <v>7000</v>
      </c>
      <c r="G30" s="4">
        <v>24</v>
      </c>
      <c r="H30" s="4"/>
      <c r="I30" s="8"/>
      <c r="J30" s="32"/>
    </row>
    <row r="31" spans="2:10">
      <c r="B31" s="4" t="s">
        <v>124</v>
      </c>
      <c r="C31" s="4" t="s">
        <v>90</v>
      </c>
      <c r="D31" s="40">
        <v>45535</v>
      </c>
      <c r="E31" s="41" t="s">
        <v>111</v>
      </c>
      <c r="F31" s="37">
        <v>3000</v>
      </c>
      <c r="G31" s="4">
        <v>36</v>
      </c>
      <c r="H31" s="4"/>
      <c r="I31" s="8"/>
      <c r="J31" s="32"/>
    </row>
    <row r="32" spans="2:10">
      <c r="B32" s="4" t="s">
        <v>125</v>
      </c>
      <c r="C32" s="4" t="s">
        <v>90</v>
      </c>
      <c r="D32" s="40">
        <v>45159</v>
      </c>
      <c r="E32" s="41" t="s">
        <v>111</v>
      </c>
      <c r="F32" s="37">
        <v>1000</v>
      </c>
      <c r="G32" s="4">
        <v>48</v>
      </c>
      <c r="H32" s="4"/>
      <c r="I32" s="8"/>
      <c r="J32" s="32"/>
    </row>
    <row r="33" spans="2:10">
      <c r="B33" s="4" t="s">
        <v>126</v>
      </c>
      <c r="C33" s="4" t="s">
        <v>91</v>
      </c>
      <c r="D33" s="40">
        <v>45677</v>
      </c>
      <c r="E33" s="41" t="s">
        <v>120</v>
      </c>
      <c r="F33" s="37">
        <v>27000</v>
      </c>
      <c r="G33" s="4">
        <v>48</v>
      </c>
      <c r="H33" s="4"/>
      <c r="I33" s="8"/>
      <c r="J33" s="32"/>
    </row>
    <row r="34" spans="2:10">
      <c r="B34" s="4" t="s">
        <v>127</v>
      </c>
      <c r="C34" s="4" t="s">
        <v>90</v>
      </c>
      <c r="D34" s="40">
        <v>45791</v>
      </c>
      <c r="E34" s="41" t="s">
        <v>115</v>
      </c>
      <c r="F34" s="37">
        <v>5000</v>
      </c>
      <c r="G34" s="4">
        <v>18</v>
      </c>
      <c r="H34" s="4"/>
      <c r="I34" s="8"/>
      <c r="J34" s="32"/>
    </row>
    <row r="35" spans="2:10">
      <c r="B35" s="4" t="s">
        <v>128</v>
      </c>
      <c r="C35" s="4" t="s">
        <v>90</v>
      </c>
      <c r="D35" s="40">
        <v>45373</v>
      </c>
      <c r="E35" s="41" t="s">
        <v>120</v>
      </c>
      <c r="F35" s="37">
        <v>15000</v>
      </c>
      <c r="G35" s="4">
        <v>60</v>
      </c>
      <c r="H35" s="4"/>
      <c r="I35" s="8"/>
      <c r="J35" s="32"/>
    </row>
    <row r="36" spans="2:10">
      <c r="B36" s="4" t="s">
        <v>129</v>
      </c>
      <c r="C36" s="4" t="s">
        <v>90</v>
      </c>
      <c r="D36" s="40">
        <v>45912</v>
      </c>
      <c r="E36" s="41" t="s">
        <v>108</v>
      </c>
      <c r="F36" s="37">
        <v>3000</v>
      </c>
      <c r="G36" s="4">
        <v>24</v>
      </c>
      <c r="H36" s="4"/>
      <c r="I36" s="8"/>
      <c r="J36" s="32"/>
    </row>
    <row r="37" spans="2:10">
      <c r="B37" s="4" t="s">
        <v>130</v>
      </c>
      <c r="C37" s="4" t="s">
        <v>92</v>
      </c>
      <c r="D37" s="40">
        <v>45430</v>
      </c>
      <c r="E37" s="41" t="s">
        <v>111</v>
      </c>
      <c r="F37" s="37">
        <v>3000</v>
      </c>
      <c r="G37" s="4">
        <v>36</v>
      </c>
      <c r="H37" s="4"/>
      <c r="I37" s="8"/>
      <c r="J37" s="32"/>
    </row>
    <row r="38" spans="2:10">
      <c r="B38" s="4" t="s">
        <v>131</v>
      </c>
      <c r="C38" s="4" t="s">
        <v>90</v>
      </c>
      <c r="D38" s="40">
        <v>45832</v>
      </c>
      <c r="E38" s="41" t="s">
        <v>115</v>
      </c>
      <c r="F38" s="37">
        <v>10000</v>
      </c>
      <c r="G38" s="4">
        <v>30</v>
      </c>
      <c r="H38" s="4"/>
      <c r="I38" s="8"/>
      <c r="J38" s="32"/>
    </row>
    <row r="39" spans="2:10">
      <c r="B39" s="4" t="s">
        <v>132</v>
      </c>
      <c r="C39" s="4" t="s">
        <v>90</v>
      </c>
      <c r="D39" s="40">
        <v>45127</v>
      </c>
      <c r="E39" s="41" t="s">
        <v>120</v>
      </c>
      <c r="F39" s="37">
        <v>15000</v>
      </c>
      <c r="G39" s="4">
        <v>60</v>
      </c>
      <c r="H39" s="4"/>
      <c r="I39" s="8"/>
      <c r="J39" s="32"/>
    </row>
    <row r="40" spans="2:10">
      <c r="B40" s="4" t="s">
        <v>133</v>
      </c>
      <c r="C40" s="4" t="s">
        <v>90</v>
      </c>
      <c r="D40" s="40">
        <v>45507</v>
      </c>
      <c r="E40" s="41" t="s">
        <v>115</v>
      </c>
      <c r="F40" s="37">
        <v>6000</v>
      </c>
      <c r="G40" s="4">
        <v>24</v>
      </c>
      <c r="H40" s="4"/>
      <c r="I40" s="8"/>
      <c r="J40" s="32"/>
    </row>
    <row r="41" spans="2:10">
      <c r="B41" s="4" t="s">
        <v>134</v>
      </c>
      <c r="C41" s="4" t="s">
        <v>91</v>
      </c>
      <c r="D41" s="40">
        <v>45994</v>
      </c>
      <c r="E41" s="41" t="s">
        <v>120</v>
      </c>
      <c r="F41" s="37">
        <v>35000</v>
      </c>
      <c r="G41" s="4">
        <v>24</v>
      </c>
      <c r="H41" s="4"/>
      <c r="I41" s="8"/>
      <c r="J41" s="32"/>
    </row>
    <row r="42" spans="2:10">
      <c r="B42" s="4" t="s">
        <v>135</v>
      </c>
      <c r="C42" s="4" t="s">
        <v>90</v>
      </c>
      <c r="D42" s="40">
        <v>45154</v>
      </c>
      <c r="E42" s="41" t="s">
        <v>108</v>
      </c>
      <c r="F42" s="37">
        <v>2000</v>
      </c>
      <c r="G42" s="4">
        <v>36</v>
      </c>
      <c r="H42" s="4"/>
      <c r="I42" s="8"/>
      <c r="J42" s="32"/>
    </row>
    <row r="43" spans="2:10">
      <c r="B43" s="4" t="s">
        <v>136</v>
      </c>
      <c r="C43" s="4" t="s">
        <v>90</v>
      </c>
      <c r="D43" s="40">
        <v>45778</v>
      </c>
      <c r="E43" s="41" t="s">
        <v>115</v>
      </c>
      <c r="F43" s="37">
        <v>24000</v>
      </c>
      <c r="G43" s="4">
        <v>24</v>
      </c>
      <c r="H43" s="4"/>
      <c r="I43" s="8"/>
      <c r="J43" s="32"/>
    </row>
    <row r="44" spans="2:10">
      <c r="B44" s="4" t="s">
        <v>137</v>
      </c>
      <c r="C44" s="4" t="s">
        <v>91</v>
      </c>
      <c r="D44" s="40">
        <v>45635</v>
      </c>
      <c r="E44" s="41" t="s">
        <v>120</v>
      </c>
      <c r="F44" s="37">
        <v>15000</v>
      </c>
      <c r="G44" s="4">
        <v>30</v>
      </c>
      <c r="H44" s="4"/>
      <c r="I44" s="8"/>
      <c r="J44" s="32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"/>
  <sheetViews>
    <sheetView workbookViewId="0"/>
  </sheetViews>
  <sheetFormatPr defaultRowHeight="17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2AED65-8F70-4CD2-B34D-5BD1DB91E676}">
  <sheetPr codeName="Sheet9"/>
  <dimension ref="A1:N8"/>
  <sheetViews>
    <sheetView workbookViewId="0"/>
  </sheetViews>
  <sheetFormatPr defaultRowHeight="17"/>
  <cols>
    <col min="1" max="1" width="15.33203125" customWidth="1"/>
    <col min="2" max="4" width="10.1640625" bestFit="1" customWidth="1"/>
    <col min="5" max="5" width="1.58203125" customWidth="1"/>
    <col min="6" max="6" width="12.33203125" bestFit="1" customWidth="1"/>
    <col min="7" max="9" width="10.1640625" bestFit="1" customWidth="1"/>
    <col min="10" max="10" width="1.58203125" customWidth="1"/>
    <col min="11" max="11" width="12.33203125" bestFit="1" customWidth="1"/>
    <col min="12" max="14" width="10.1640625" bestFit="1" customWidth="1"/>
  </cols>
  <sheetData>
    <row r="1" spans="1:14" ht="25.5">
      <c r="A1" s="49" t="s">
        <v>216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</row>
    <row r="2" spans="1:14">
      <c r="A2" s="42"/>
      <c r="B2" s="43"/>
      <c r="C2" s="43"/>
      <c r="D2" s="43"/>
      <c r="E2" s="42"/>
      <c r="F2" s="44"/>
      <c r="G2" s="45"/>
      <c r="H2" s="45"/>
      <c r="I2" s="45"/>
    </row>
    <row r="3" spans="1:14">
      <c r="A3" t="s">
        <v>217</v>
      </c>
      <c r="B3" s="45"/>
      <c r="C3" s="45"/>
      <c r="D3" s="45"/>
      <c r="F3" t="s">
        <v>218</v>
      </c>
      <c r="G3" s="45"/>
      <c r="H3" s="45"/>
      <c r="I3" s="45"/>
      <c r="K3" t="s">
        <v>219</v>
      </c>
      <c r="L3" s="45"/>
      <c r="M3" s="45"/>
      <c r="N3" s="45"/>
    </row>
    <row r="4" spans="1:14">
      <c r="A4" s="46" t="s">
        <v>220</v>
      </c>
      <c r="B4" s="47" t="s">
        <v>221</v>
      </c>
      <c r="C4" s="47" t="s">
        <v>222</v>
      </c>
      <c r="D4" s="47" t="s">
        <v>223</v>
      </c>
      <c r="F4" s="46" t="s">
        <v>220</v>
      </c>
      <c r="G4" s="47" t="s">
        <v>222</v>
      </c>
      <c r="H4" s="47" t="s">
        <v>223</v>
      </c>
      <c r="I4" s="47" t="s">
        <v>221</v>
      </c>
      <c r="K4" s="46" t="s">
        <v>220</v>
      </c>
      <c r="L4" s="47" t="s">
        <v>222</v>
      </c>
      <c r="M4" s="47" t="s">
        <v>223</v>
      </c>
      <c r="N4" s="47" t="s">
        <v>221</v>
      </c>
    </row>
    <row r="5" spans="1:14">
      <c r="A5" s="34" t="s">
        <v>224</v>
      </c>
      <c r="B5" s="48">
        <v>10800</v>
      </c>
      <c r="C5" s="48">
        <v>9000</v>
      </c>
      <c r="D5" s="48">
        <v>9140</v>
      </c>
      <c r="F5" s="34" t="s">
        <v>224</v>
      </c>
      <c r="G5" s="48">
        <v>5780</v>
      </c>
      <c r="H5" s="48">
        <v>17940</v>
      </c>
      <c r="I5" s="48">
        <v>11360</v>
      </c>
      <c r="K5" s="34" t="s">
        <v>224</v>
      </c>
      <c r="L5" s="48"/>
      <c r="M5" s="48"/>
      <c r="N5" s="48"/>
    </row>
    <row r="6" spans="1:14">
      <c r="A6" s="34" t="s">
        <v>225</v>
      </c>
      <c r="B6" s="48">
        <v>9200</v>
      </c>
      <c r="C6" s="48">
        <v>13780</v>
      </c>
      <c r="D6" s="48">
        <v>13080</v>
      </c>
      <c r="F6" s="34" t="s">
        <v>226</v>
      </c>
      <c r="G6" s="48">
        <v>13960</v>
      </c>
      <c r="H6" s="48">
        <v>11560</v>
      </c>
      <c r="I6" s="48">
        <v>9560</v>
      </c>
      <c r="K6" s="34" t="s">
        <v>226</v>
      </c>
      <c r="L6" s="48"/>
      <c r="M6" s="48"/>
      <c r="N6" s="48"/>
    </row>
    <row r="7" spans="1:14">
      <c r="A7" s="34" t="s">
        <v>226</v>
      </c>
      <c r="B7" s="48">
        <v>9060</v>
      </c>
      <c r="C7" s="48">
        <v>9160</v>
      </c>
      <c r="D7" s="48">
        <v>9140</v>
      </c>
      <c r="F7" s="34" t="s">
        <v>227</v>
      </c>
      <c r="G7" s="48">
        <v>9140</v>
      </c>
      <c r="H7" s="48">
        <v>19700</v>
      </c>
      <c r="I7" s="48">
        <v>3960</v>
      </c>
      <c r="K7" s="34" t="s">
        <v>225</v>
      </c>
      <c r="L7" s="48"/>
      <c r="M7" s="48"/>
      <c r="N7" s="48"/>
    </row>
    <row r="8" spans="1:14">
      <c r="A8" s="34" t="s">
        <v>227</v>
      </c>
      <c r="B8" s="48">
        <v>3780</v>
      </c>
      <c r="C8" s="48">
        <v>3680</v>
      </c>
      <c r="D8" s="48">
        <v>2840</v>
      </c>
      <c r="F8" s="34" t="s">
        <v>225</v>
      </c>
      <c r="G8" s="48">
        <v>3300</v>
      </c>
      <c r="H8" s="48">
        <v>2840</v>
      </c>
      <c r="I8" s="48">
        <v>3740</v>
      </c>
      <c r="K8" s="34" t="s">
        <v>227</v>
      </c>
      <c r="L8" s="48"/>
      <c r="M8" s="48"/>
      <c r="N8" s="48"/>
    </row>
  </sheetData>
  <dataConsolidate/>
  <mergeCells count="1">
    <mergeCell ref="A1:N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7"/>
  <sheetViews>
    <sheetView workbookViewId="0"/>
  </sheetViews>
  <sheetFormatPr defaultRowHeight="17"/>
  <cols>
    <col min="2" max="2" width="14.58203125" customWidth="1"/>
    <col min="3" max="7" width="11.5" customWidth="1"/>
  </cols>
  <sheetData>
    <row r="1" spans="1:7">
      <c r="A1" s="3"/>
      <c r="B1" s="3"/>
      <c r="C1" s="3"/>
      <c r="D1" s="3"/>
      <c r="E1" s="3"/>
      <c r="F1" s="3"/>
      <c r="G1" s="3"/>
    </row>
    <row r="2" spans="1:7" ht="21">
      <c r="A2" s="3"/>
      <c r="B2" s="3"/>
      <c r="C2" s="50" t="s">
        <v>156</v>
      </c>
      <c r="D2" s="50"/>
      <c r="E2" s="50"/>
      <c r="F2" s="50"/>
      <c r="G2" s="3"/>
    </row>
    <row r="3" spans="1:7">
      <c r="A3" s="3"/>
      <c r="B3" s="3"/>
      <c r="C3" s="3"/>
      <c r="D3" s="3"/>
      <c r="E3" s="3"/>
      <c r="F3" s="3"/>
      <c r="G3" s="20" t="s">
        <v>157</v>
      </c>
    </row>
    <row r="4" spans="1:7">
      <c r="A4" s="3"/>
      <c r="B4" s="23" t="s">
        <v>158</v>
      </c>
      <c r="C4" s="23" t="s">
        <v>198</v>
      </c>
      <c r="D4" s="23" t="s">
        <v>199</v>
      </c>
      <c r="E4" s="23" t="s">
        <v>197</v>
      </c>
      <c r="F4" s="23" t="s">
        <v>196</v>
      </c>
      <c r="G4" s="23" t="s">
        <v>159</v>
      </c>
    </row>
    <row r="5" spans="1:7">
      <c r="A5" s="3"/>
      <c r="B5" s="10" t="s">
        <v>160</v>
      </c>
      <c r="C5" s="21">
        <v>15000</v>
      </c>
      <c r="D5" s="22">
        <v>12000</v>
      </c>
      <c r="E5" s="22">
        <v>21000</v>
      </c>
      <c r="F5" s="22">
        <v>29000</v>
      </c>
      <c r="G5" s="22">
        <v>19250</v>
      </c>
    </row>
    <row r="6" spans="1:7">
      <c r="A6" s="3"/>
      <c r="B6" s="10" t="s">
        <v>161</v>
      </c>
      <c r="C6" s="21">
        <v>16500</v>
      </c>
      <c r="D6" s="22">
        <v>17000</v>
      </c>
      <c r="E6" s="22">
        <v>13000</v>
      </c>
      <c r="F6" s="22">
        <v>26000</v>
      </c>
      <c r="G6" s="22">
        <v>18125</v>
      </c>
    </row>
    <row r="7" spans="1:7">
      <c r="A7" s="3"/>
      <c r="B7" s="10" t="s">
        <v>162</v>
      </c>
      <c r="C7" s="21">
        <v>13500</v>
      </c>
      <c r="D7" s="22">
        <v>12500</v>
      </c>
      <c r="E7" s="22">
        <v>14000</v>
      </c>
      <c r="F7" s="22">
        <v>22000</v>
      </c>
      <c r="G7" s="22">
        <v>15500</v>
      </c>
    </row>
  </sheetData>
  <mergeCells count="1">
    <mergeCell ref="C2:F2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5:F23"/>
  <sheetViews>
    <sheetView workbookViewId="0"/>
  </sheetViews>
  <sheetFormatPr defaultRowHeight="17"/>
  <cols>
    <col min="1" max="1" width="17.75" customWidth="1"/>
    <col min="2" max="2" width="11.08203125" customWidth="1"/>
    <col min="3" max="3" width="9.58203125" customWidth="1"/>
    <col min="4" max="4" width="13" customWidth="1"/>
    <col min="5" max="5" width="13.33203125" customWidth="1"/>
    <col min="6" max="6" width="9.58203125" customWidth="1"/>
  </cols>
  <sheetData>
    <row r="5" spans="1:6">
      <c r="A5" s="19" t="s">
        <v>139</v>
      </c>
      <c r="B5" s="19" t="s">
        <v>140</v>
      </c>
      <c r="C5" s="19" t="s">
        <v>141</v>
      </c>
      <c r="D5" s="19" t="s">
        <v>142</v>
      </c>
      <c r="E5" s="19" t="s">
        <v>143</v>
      </c>
      <c r="F5" s="19" t="s">
        <v>144</v>
      </c>
    </row>
    <row r="6" spans="1:6">
      <c r="A6" s="11" t="s">
        <v>20</v>
      </c>
      <c r="B6" s="12" t="s">
        <v>69</v>
      </c>
      <c r="C6" s="12" t="s">
        <v>70</v>
      </c>
      <c r="D6" s="13">
        <v>45089</v>
      </c>
      <c r="E6" s="14">
        <v>5000000</v>
      </c>
      <c r="F6" s="12">
        <v>30</v>
      </c>
    </row>
    <row r="7" spans="1:6">
      <c r="A7" s="11" t="s">
        <v>52</v>
      </c>
      <c r="B7" s="12" t="s">
        <v>145</v>
      </c>
      <c r="C7" s="12" t="s">
        <v>146</v>
      </c>
      <c r="D7" s="13">
        <v>44776</v>
      </c>
      <c r="E7" s="14">
        <v>6000000</v>
      </c>
      <c r="F7" s="12">
        <v>24</v>
      </c>
    </row>
    <row r="8" spans="1:6">
      <c r="A8" s="11" t="s">
        <v>30</v>
      </c>
      <c r="B8" s="12" t="s">
        <v>65</v>
      </c>
      <c r="C8" s="12" t="s">
        <v>66</v>
      </c>
      <c r="D8" s="13">
        <v>45072</v>
      </c>
      <c r="E8" s="14">
        <v>4000000</v>
      </c>
      <c r="F8" s="12">
        <v>48</v>
      </c>
    </row>
    <row r="9" spans="1:6">
      <c r="A9" s="11" t="s">
        <v>20</v>
      </c>
      <c r="B9" s="12" t="s">
        <v>85</v>
      </c>
      <c r="C9" s="12" t="s">
        <v>86</v>
      </c>
      <c r="D9" s="13">
        <v>45275</v>
      </c>
      <c r="E9" s="14">
        <v>5000000</v>
      </c>
      <c r="F9" s="12">
        <v>18</v>
      </c>
    </row>
    <row r="10" spans="1:6">
      <c r="A10" s="11" t="s">
        <v>14</v>
      </c>
      <c r="B10" s="12" t="s">
        <v>31</v>
      </c>
      <c r="C10" s="12" t="s">
        <v>32</v>
      </c>
      <c r="D10" s="13">
        <v>44642</v>
      </c>
      <c r="E10" s="14">
        <v>15000000</v>
      </c>
      <c r="F10" s="12">
        <v>60</v>
      </c>
    </row>
    <row r="11" spans="1:6">
      <c r="A11" s="11" t="s">
        <v>14</v>
      </c>
      <c r="B11" s="12" t="s">
        <v>9</v>
      </c>
      <c r="C11" s="12" t="s">
        <v>10</v>
      </c>
      <c r="D11" s="13">
        <v>44032</v>
      </c>
      <c r="E11" s="14">
        <v>15000000</v>
      </c>
      <c r="F11" s="12">
        <v>60</v>
      </c>
    </row>
    <row r="12" spans="1:6">
      <c r="A12" s="11" t="s">
        <v>14</v>
      </c>
      <c r="B12" s="12" t="s">
        <v>81</v>
      </c>
      <c r="C12" s="12" t="s">
        <v>82</v>
      </c>
      <c r="D12" s="13">
        <v>45263</v>
      </c>
      <c r="E12" s="14">
        <v>35000000</v>
      </c>
      <c r="F12" s="12">
        <v>24</v>
      </c>
    </row>
    <row r="13" spans="1:6">
      <c r="A13" s="11" t="s">
        <v>20</v>
      </c>
      <c r="B13" s="12" t="s">
        <v>43</v>
      </c>
      <c r="C13" s="12" t="s">
        <v>44</v>
      </c>
      <c r="D13" s="13">
        <v>44790</v>
      </c>
      <c r="E13" s="14">
        <v>8000000</v>
      </c>
      <c r="F13" s="12">
        <v>30</v>
      </c>
    </row>
    <row r="14" spans="1:6">
      <c r="A14" s="11" t="s">
        <v>52</v>
      </c>
      <c r="B14" s="12" t="s">
        <v>61</v>
      </c>
      <c r="C14" s="12" t="s">
        <v>62</v>
      </c>
      <c r="D14" s="13">
        <v>45047</v>
      </c>
      <c r="E14" s="14">
        <v>5000000</v>
      </c>
      <c r="F14" s="12">
        <v>24</v>
      </c>
    </row>
    <row r="15" spans="1:6">
      <c r="A15" s="11" t="s">
        <v>14</v>
      </c>
      <c r="B15" s="12" t="s">
        <v>147</v>
      </c>
      <c r="C15" s="12" t="s">
        <v>148</v>
      </c>
      <c r="D15" s="13">
        <v>44904</v>
      </c>
      <c r="E15" s="14">
        <v>15000000</v>
      </c>
      <c r="F15" s="12">
        <v>30</v>
      </c>
    </row>
    <row r="16" spans="1:6">
      <c r="A16" s="11" t="s">
        <v>14</v>
      </c>
      <c r="B16" s="12" t="s">
        <v>57</v>
      </c>
      <c r="C16" s="12" t="s">
        <v>58</v>
      </c>
      <c r="D16" s="13">
        <v>44946</v>
      </c>
      <c r="E16" s="14">
        <v>27000000</v>
      </c>
      <c r="F16" s="12">
        <v>48</v>
      </c>
    </row>
    <row r="17" spans="1:6">
      <c r="A17" s="11" t="s">
        <v>20</v>
      </c>
      <c r="B17" s="12" t="s">
        <v>149</v>
      </c>
      <c r="C17" s="12" t="s">
        <v>150</v>
      </c>
      <c r="D17" s="13">
        <v>45181</v>
      </c>
      <c r="E17" s="14">
        <v>3000000</v>
      </c>
      <c r="F17" s="12">
        <v>24</v>
      </c>
    </row>
    <row r="18" spans="1:6">
      <c r="A18" s="11" t="s">
        <v>30</v>
      </c>
      <c r="B18" s="12" t="s">
        <v>77</v>
      </c>
      <c r="C18" s="12" t="s">
        <v>78</v>
      </c>
      <c r="D18" s="13">
        <v>45223</v>
      </c>
      <c r="E18" s="14">
        <v>2500000</v>
      </c>
      <c r="F18" s="12">
        <v>12</v>
      </c>
    </row>
    <row r="19" spans="1:6">
      <c r="A19" s="11" t="s">
        <v>20</v>
      </c>
      <c r="B19" s="12" t="s">
        <v>151</v>
      </c>
      <c r="C19" s="12" t="s">
        <v>152</v>
      </c>
      <c r="D19" s="13">
        <v>45257</v>
      </c>
      <c r="E19" s="14">
        <v>3000000</v>
      </c>
      <c r="F19" s="12">
        <v>24</v>
      </c>
    </row>
    <row r="20" spans="1:6">
      <c r="A20" s="11" t="s">
        <v>52</v>
      </c>
      <c r="B20" s="12" t="s">
        <v>131</v>
      </c>
      <c r="C20" s="12" t="s">
        <v>153</v>
      </c>
      <c r="D20" s="13">
        <v>45101</v>
      </c>
      <c r="E20" s="14">
        <v>10000000</v>
      </c>
      <c r="F20" s="12">
        <v>30</v>
      </c>
    </row>
    <row r="21" spans="1:6">
      <c r="A21" s="11" t="s">
        <v>52</v>
      </c>
      <c r="B21" s="12" t="s">
        <v>154</v>
      </c>
      <c r="C21" s="12" t="s">
        <v>155</v>
      </c>
      <c r="D21" s="13">
        <v>45060</v>
      </c>
      <c r="E21" s="14">
        <v>5000000</v>
      </c>
      <c r="F21" s="12">
        <v>18</v>
      </c>
    </row>
    <row r="22" spans="1:6">
      <c r="A22" s="11" t="s">
        <v>30</v>
      </c>
      <c r="B22" s="12" t="s">
        <v>35</v>
      </c>
      <c r="C22" s="12" t="s">
        <v>36</v>
      </c>
      <c r="D22" s="13">
        <v>44699</v>
      </c>
      <c r="E22" s="14">
        <v>3000000</v>
      </c>
      <c r="F22" s="12">
        <v>36</v>
      </c>
    </row>
    <row r="23" spans="1:6">
      <c r="A23" s="15" t="s">
        <v>20</v>
      </c>
      <c r="B23" s="16" t="s">
        <v>21</v>
      </c>
      <c r="C23" s="16" t="s">
        <v>22</v>
      </c>
      <c r="D23" s="17">
        <v>44424</v>
      </c>
      <c r="E23" s="18">
        <v>2000000</v>
      </c>
      <c r="F23" s="16">
        <v>36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B1:E15"/>
  <sheetViews>
    <sheetView workbookViewId="0"/>
  </sheetViews>
  <sheetFormatPr defaultRowHeight="17"/>
  <cols>
    <col min="1" max="1" width="3.58203125" customWidth="1"/>
    <col min="2" max="4" width="12.75" customWidth="1"/>
    <col min="5" max="5" width="11.1640625" customWidth="1"/>
  </cols>
  <sheetData>
    <row r="1" spans="2:5">
      <c r="B1" s="2"/>
      <c r="C1" s="2"/>
      <c r="D1" s="2"/>
      <c r="E1" s="2"/>
    </row>
    <row r="2" spans="2:5" ht="17.5">
      <c r="B2" s="24" t="s">
        <v>163</v>
      </c>
      <c r="C2" s="24" t="s">
        <v>164</v>
      </c>
      <c r="D2" s="24" t="s">
        <v>165</v>
      </c>
      <c r="E2" s="24" t="s">
        <v>166</v>
      </c>
    </row>
    <row r="3" spans="2:5">
      <c r="B3" s="25" t="s">
        <v>167</v>
      </c>
      <c r="C3" s="26" t="s">
        <v>168</v>
      </c>
      <c r="D3" s="27">
        <v>1500000</v>
      </c>
      <c r="E3" s="25" t="s">
        <v>13</v>
      </c>
    </row>
    <row r="4" spans="2:5">
      <c r="B4" s="25" t="s">
        <v>169</v>
      </c>
      <c r="C4" s="26" t="s">
        <v>170</v>
      </c>
      <c r="D4" s="27">
        <v>25000000</v>
      </c>
      <c r="E4" s="25" t="s">
        <v>19</v>
      </c>
    </row>
    <row r="5" spans="2:5">
      <c r="B5" s="25" t="s">
        <v>171</v>
      </c>
      <c r="C5" s="26" t="s">
        <v>172</v>
      </c>
      <c r="D5" s="27">
        <v>2800000</v>
      </c>
      <c r="E5" s="25" t="s">
        <v>25</v>
      </c>
    </row>
    <row r="6" spans="2:5">
      <c r="B6" s="25" t="s">
        <v>173</v>
      </c>
      <c r="C6" s="26" t="s">
        <v>174</v>
      </c>
      <c r="D6" s="27">
        <v>2000000</v>
      </c>
      <c r="E6" s="25" t="s">
        <v>25</v>
      </c>
    </row>
    <row r="7" spans="2:5">
      <c r="B7" s="25" t="s">
        <v>175</v>
      </c>
      <c r="C7" s="26" t="s">
        <v>176</v>
      </c>
      <c r="D7" s="27">
        <v>20000000</v>
      </c>
      <c r="E7" s="7" t="s">
        <v>177</v>
      </c>
    </row>
    <row r="8" spans="2:5">
      <c r="B8" s="25" t="s">
        <v>178</v>
      </c>
      <c r="C8" s="26" t="s">
        <v>179</v>
      </c>
      <c r="D8" s="27">
        <v>3500000</v>
      </c>
      <c r="E8" s="7" t="s">
        <v>180</v>
      </c>
    </row>
    <row r="9" spans="2:5">
      <c r="B9" s="25" t="s">
        <v>181</v>
      </c>
      <c r="C9" s="26" t="s">
        <v>182</v>
      </c>
      <c r="D9" s="27">
        <v>18000000</v>
      </c>
      <c r="E9" s="7" t="s">
        <v>183</v>
      </c>
    </row>
    <row r="10" spans="2:5">
      <c r="B10" s="25" t="s">
        <v>184</v>
      </c>
      <c r="C10" s="26" t="s">
        <v>174</v>
      </c>
      <c r="D10" s="27">
        <v>30000000</v>
      </c>
      <c r="E10" s="7" t="s">
        <v>138</v>
      </c>
    </row>
    <row r="11" spans="2:5">
      <c r="B11" s="25" t="s">
        <v>185</v>
      </c>
      <c r="C11" s="26" t="s">
        <v>174</v>
      </c>
      <c r="D11" s="27">
        <v>5000000</v>
      </c>
      <c r="E11" s="7" t="s">
        <v>186</v>
      </c>
    </row>
    <row r="12" spans="2:5">
      <c r="B12" s="25" t="s">
        <v>187</v>
      </c>
      <c r="C12" s="26" t="s">
        <v>172</v>
      </c>
      <c r="D12" s="27">
        <v>36000000</v>
      </c>
      <c r="E12" s="7" t="s">
        <v>188</v>
      </c>
    </row>
    <row r="13" spans="2:5">
      <c r="B13" s="25" t="s">
        <v>189</v>
      </c>
      <c r="C13" s="26" t="s">
        <v>176</v>
      </c>
      <c r="D13" s="27">
        <v>40000000</v>
      </c>
      <c r="E13" s="7" t="s">
        <v>190</v>
      </c>
    </row>
    <row r="14" spans="2:5">
      <c r="B14" s="25" t="s">
        <v>191</v>
      </c>
      <c r="C14" s="26" t="s">
        <v>176</v>
      </c>
      <c r="D14" s="27">
        <v>20000000</v>
      </c>
      <c r="E14" s="7" t="s">
        <v>192</v>
      </c>
    </row>
    <row r="15" spans="2:5">
      <c r="B15" s="25" t="s">
        <v>193</v>
      </c>
      <c r="C15" s="26" t="s">
        <v>179</v>
      </c>
      <c r="D15" s="27">
        <v>30000000</v>
      </c>
      <c r="E15" s="7" t="s">
        <v>194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대출신청">
          <controlPr defaultSize="0" autoLine="0" autoPict="0" r:id="rId4">
            <anchor moveWithCells="1">
              <from>
                <xdr:col>6</xdr:col>
                <xdr:colOff>0</xdr:colOff>
                <xdr:row>1</xdr:row>
                <xdr:rowOff>0</xdr:rowOff>
              </from>
              <to>
                <xdr:col>8</xdr:col>
                <xdr:colOff>222250</xdr:colOff>
                <xdr:row>2</xdr:row>
                <xdr:rowOff>139700</xdr:rowOff>
              </to>
            </anchor>
          </controlPr>
        </control>
      </mc:Choice>
      <mc:Fallback>
        <control shapeId="7169" r:id="rId3" name="대출신청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1</vt:i4>
      </vt:variant>
    </vt:vector>
  </HeadingPairs>
  <TitlesOfParts>
    <vt:vector size="9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계산작업!MS_Access_Database_Query_4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2020-04-07T06:00:22Z</dcterms:created>
  <dcterms:modified xsi:type="dcterms:W3CDTF">2023-04-23T10:19:06Z</dcterms:modified>
</cp:coreProperties>
</file>