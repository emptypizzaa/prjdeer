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1권_스프레드시트\기출변형문제\"/>
    </mc:Choice>
  </mc:AlternateContent>
  <xr:revisionPtr revIDLastSave="0" documentId="13_ncr:1_{BF6323E1-5980-4604-A30C-E531736845F2}" xr6:coauthVersionLast="47" xr6:coauthVersionMax="47" xr10:uidLastSave="{00000000-0000-0000-0000-000000000000}"/>
  <bookViews>
    <workbookView xWindow="9870" yWindow="1670" windowWidth="24110" windowHeight="17420" tabRatio="890" xr2:uid="{00000000-000D-0000-FFFF-FFFF00000000}"/>
  </bookViews>
  <sheets>
    <sheet name="기본작업1" sheetId="2" r:id="rId1"/>
    <sheet name="기본작업2" sheetId="8" r:id="rId2"/>
    <sheet name="계산작업" sheetId="12" r:id="rId3"/>
    <sheet name="분석작업1" sheetId="10" r:id="rId4"/>
    <sheet name="분석작업2" sheetId="11" r:id="rId5"/>
    <sheet name="기타작업1" sheetId="6" r:id="rId6"/>
    <sheet name="기타작업2" sheetId="9" r:id="rId7"/>
    <sheet name="기타작업3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" i="8" l="1"/>
  <c r="K25" i="8" s="1"/>
  <c r="I24" i="8"/>
  <c r="K24" i="8" s="1"/>
  <c r="I23" i="8"/>
  <c r="K23" i="8" s="1"/>
  <c r="I22" i="8"/>
  <c r="K22" i="8" s="1"/>
  <c r="I21" i="8"/>
  <c r="K21" i="8" s="1"/>
  <c r="I20" i="8"/>
  <c r="K20" i="8" s="1"/>
  <c r="I19" i="8"/>
  <c r="K19" i="8" s="1"/>
  <c r="I18" i="8"/>
  <c r="K18" i="8" s="1"/>
  <c r="I17" i="8"/>
  <c r="K17" i="8" s="1"/>
  <c r="I16" i="8"/>
  <c r="K16" i="8" s="1"/>
  <c r="I15" i="8"/>
  <c r="K15" i="8" s="1"/>
  <c r="I14" i="8"/>
  <c r="K14" i="8" s="1"/>
  <c r="I13" i="8"/>
  <c r="K13" i="8" s="1"/>
  <c r="I12" i="8"/>
  <c r="K12" i="8" s="1"/>
  <c r="I11" i="8"/>
  <c r="K11" i="8" s="1"/>
  <c r="I10" i="8"/>
  <c r="K10" i="8" s="1"/>
  <c r="I9" i="8"/>
  <c r="K9" i="8" s="1"/>
  <c r="I8" i="8"/>
  <c r="K8" i="8" s="1"/>
  <c r="I7" i="8"/>
  <c r="K7" i="8" s="1"/>
  <c r="I6" i="8"/>
  <c r="K6" i="8" s="1"/>
  <c r="I5" i="8"/>
  <c r="K5" i="8" s="1"/>
  <c r="I4" i="8"/>
  <c r="K4" i="8" s="1"/>
  <c r="I3" i="8"/>
  <c r="K3" i="8" s="1"/>
  <c r="H24" i="2"/>
  <c r="J24" i="2" s="1"/>
  <c r="H23" i="2"/>
  <c r="J23" i="2" s="1"/>
  <c r="H22" i="2"/>
  <c r="J22" i="2" s="1"/>
  <c r="H21" i="2"/>
  <c r="J21" i="2" s="1"/>
  <c r="H20" i="2"/>
  <c r="J20" i="2" s="1"/>
  <c r="H19" i="2"/>
  <c r="J19" i="2" s="1"/>
  <c r="H18" i="2"/>
  <c r="J18" i="2" s="1"/>
  <c r="H17" i="2"/>
  <c r="J17" i="2" s="1"/>
  <c r="H16" i="2"/>
  <c r="J16" i="2" s="1"/>
  <c r="H15" i="2"/>
  <c r="J15" i="2" s="1"/>
  <c r="H14" i="2"/>
  <c r="J14" i="2" s="1"/>
  <c r="H13" i="2"/>
  <c r="J13" i="2" s="1"/>
  <c r="H12" i="2"/>
  <c r="J12" i="2" s="1"/>
  <c r="H11" i="2"/>
  <c r="J11" i="2" s="1"/>
  <c r="H10" i="2"/>
  <c r="J10" i="2" s="1"/>
  <c r="H9" i="2"/>
  <c r="J9" i="2" s="1"/>
  <c r="H8" i="2"/>
  <c r="J8" i="2" s="1"/>
  <c r="H7" i="2"/>
  <c r="J7" i="2" s="1"/>
  <c r="H6" i="2"/>
  <c r="J6" i="2" s="1"/>
  <c r="H5" i="2"/>
  <c r="J5" i="2" s="1"/>
  <c r="H4" i="2"/>
  <c r="J4" i="2" s="1"/>
  <c r="H3" i="2"/>
  <c r="J3" i="2" s="1"/>
  <c r="H2" i="2"/>
  <c r="J2" i="2" s="1"/>
  <c r="F8" i="9"/>
  <c r="F9" i="9"/>
  <c r="F10" i="9"/>
  <c r="F11" i="9"/>
  <c r="F12" i="9"/>
  <c r="F13" i="9"/>
  <c r="F14" i="9"/>
  <c r="F15" i="9"/>
  <c r="F16" i="9"/>
  <c r="F17" i="9"/>
  <c r="F7" i="9"/>
</calcChain>
</file>

<file path=xl/sharedStrings.xml><?xml version="1.0" encoding="utf-8"?>
<sst xmlns="http://schemas.openxmlformats.org/spreadsheetml/2006/main" count="348" uniqueCount="128">
  <si>
    <t>제품코드</t>
    <phoneticPr fontId="3" type="noConversion"/>
  </si>
  <si>
    <t>회사명</t>
    <phoneticPr fontId="3" type="noConversion"/>
  </si>
  <si>
    <t>자전거명</t>
    <phoneticPr fontId="3" type="noConversion"/>
  </si>
  <si>
    <t>입고일자</t>
  </si>
  <si>
    <t>판매일자</t>
  </si>
  <si>
    <t>단가</t>
  </si>
  <si>
    <t>수량</t>
  </si>
  <si>
    <t>매출액</t>
  </si>
  <si>
    <t>이익율</t>
  </si>
  <si>
    <t>이익금</t>
  </si>
  <si>
    <t>K-04</t>
  </si>
  <si>
    <t>코렉스</t>
    <phoneticPr fontId="3" type="noConversion"/>
  </si>
  <si>
    <t>엘로우콘</t>
    <phoneticPr fontId="3" type="noConversion"/>
  </si>
  <si>
    <t>K-01</t>
  </si>
  <si>
    <t>삼천리</t>
    <phoneticPr fontId="3" type="noConversion"/>
  </si>
  <si>
    <t>스파크</t>
    <phoneticPr fontId="3" type="noConversion"/>
  </si>
  <si>
    <t>K-02</t>
  </si>
  <si>
    <t>하운드</t>
    <phoneticPr fontId="3" type="noConversion"/>
  </si>
  <si>
    <t>K-07</t>
  </si>
  <si>
    <t>하로</t>
    <phoneticPr fontId="3" type="noConversion"/>
  </si>
  <si>
    <t>하운드700</t>
    <phoneticPr fontId="3" type="noConversion"/>
  </si>
  <si>
    <t>K-03</t>
  </si>
  <si>
    <t>포인트</t>
    <phoneticPr fontId="3" type="noConversion"/>
  </si>
  <si>
    <t>참좋은레저</t>
    <phoneticPr fontId="3" type="noConversion"/>
  </si>
  <si>
    <t>스파크DX</t>
    <phoneticPr fontId="3" type="noConversion"/>
  </si>
  <si>
    <t>접이식</t>
    <phoneticPr fontId="3" type="noConversion"/>
  </si>
  <si>
    <t>붐붐</t>
    <phoneticPr fontId="3" type="noConversion"/>
  </si>
  <si>
    <t>아이콘</t>
    <phoneticPr fontId="3" type="noConversion"/>
  </si>
  <si>
    <t>환타지아</t>
    <phoneticPr fontId="3" type="noConversion"/>
  </si>
  <si>
    <t>블랙캣</t>
    <phoneticPr fontId="3" type="noConversion"/>
  </si>
  <si>
    <t>임펙트</t>
    <phoneticPr fontId="3" type="noConversion"/>
  </si>
  <si>
    <t>르보아</t>
    <phoneticPr fontId="3" type="noConversion"/>
  </si>
  <si>
    <t>트로이</t>
    <phoneticPr fontId="3" type="noConversion"/>
  </si>
  <si>
    <t>인피자</t>
    <phoneticPr fontId="3" type="noConversion"/>
  </si>
  <si>
    <t>그린머신</t>
    <phoneticPr fontId="3" type="noConversion"/>
  </si>
  <si>
    <t>골드DX</t>
    <phoneticPr fontId="3" type="noConversion"/>
  </si>
  <si>
    <t>레온</t>
    <phoneticPr fontId="3" type="noConversion"/>
  </si>
  <si>
    <t>메리다</t>
    <phoneticPr fontId="3" type="noConversion"/>
  </si>
  <si>
    <t>Z-03</t>
  </si>
  <si>
    <t>FG-120</t>
    <phoneticPr fontId="3" type="noConversion"/>
  </si>
  <si>
    <t>Z-04</t>
  </si>
  <si>
    <t>포르테</t>
    <phoneticPr fontId="3" type="noConversion"/>
  </si>
  <si>
    <t>상품코드</t>
    <phoneticPr fontId="3" type="noConversion"/>
  </si>
  <si>
    <t>비고</t>
    <phoneticPr fontId="3" type="noConversion"/>
  </si>
  <si>
    <t>자전거명</t>
    <phoneticPr fontId="3" type="noConversion"/>
  </si>
  <si>
    <t>코렉스</t>
    <phoneticPr fontId="8" type="noConversion"/>
  </si>
  <si>
    <t>Z-07</t>
  </si>
  <si>
    <t>Z-08</t>
  </si>
  <si>
    <t>6~7월</t>
    <phoneticPr fontId="3" type="noConversion"/>
  </si>
  <si>
    <t>Z-01</t>
  </si>
  <si>
    <t>[표3] 자전거명별 회사별 건수</t>
    <phoneticPr fontId="3" type="noConversion"/>
  </si>
  <si>
    <t>엘로우콘</t>
  </si>
  <si>
    <t>스파크</t>
  </si>
  <si>
    <t>하운드</t>
  </si>
  <si>
    <t>하로</t>
  </si>
  <si>
    <t>하운드700</t>
  </si>
  <si>
    <t>포인트</t>
  </si>
  <si>
    <t>스파크DX</t>
  </si>
  <si>
    <t>접이식</t>
  </si>
  <si>
    <t>붐붐</t>
  </si>
  <si>
    <t>아이콘</t>
  </si>
  <si>
    <t>환타지아</t>
  </si>
  <si>
    <t>블랙캣</t>
  </si>
  <si>
    <t>임펙트</t>
  </si>
  <si>
    <t>르보아</t>
  </si>
  <si>
    <t>트로이</t>
  </si>
  <si>
    <t>인피자</t>
  </si>
  <si>
    <t>그린머신</t>
  </si>
  <si>
    <t>골드DX</t>
  </si>
  <si>
    <t>레온</t>
  </si>
  <si>
    <t>메리다</t>
  </si>
  <si>
    <t>FG-120</t>
  </si>
  <si>
    <t>포르테</t>
  </si>
  <si>
    <t>크롤버</t>
  </si>
  <si>
    <t>미니GS</t>
  </si>
  <si>
    <t>싸이런스</t>
  </si>
  <si>
    <t>토비</t>
  </si>
  <si>
    <t>보헤미안</t>
  </si>
  <si>
    <t>레츠고</t>
  </si>
  <si>
    <t>비바체</t>
  </si>
  <si>
    <t>스타일</t>
  </si>
  <si>
    <t>사브</t>
  </si>
  <si>
    <t>레이오</t>
  </si>
  <si>
    <t>시보레</t>
  </si>
  <si>
    <t>스피드라인</t>
  </si>
  <si>
    <t>미라지</t>
  </si>
  <si>
    <t>피크닉</t>
  </si>
  <si>
    <t>스트로베리</t>
  </si>
  <si>
    <t>관광지방문객보고통계</t>
  </si>
  <si>
    <t>지역별</t>
  </si>
  <si>
    <t>무료방문객수</t>
    <phoneticPr fontId="3" type="noConversion"/>
  </si>
  <si>
    <t>유료내국인방문객수</t>
    <phoneticPr fontId="3" type="noConversion"/>
  </si>
  <si>
    <t>총방문객수</t>
    <phoneticPr fontId="3" type="noConversion"/>
  </si>
  <si>
    <t>전라북도</t>
  </si>
  <si>
    <t>경상북도</t>
  </si>
  <si>
    <t>경상남도</t>
  </si>
  <si>
    <t>충청북도</t>
  </si>
  <si>
    <t>충청남도</t>
  </si>
  <si>
    <t>자전거판매대장</t>
    <phoneticPr fontId="3" type="noConversion"/>
  </si>
  <si>
    <t>회사명</t>
    <phoneticPr fontId="3" type="noConversion"/>
  </si>
  <si>
    <t>판매액</t>
    <phoneticPr fontId="3" type="noConversion"/>
  </si>
  <si>
    <t>구분</t>
    <phoneticPr fontId="3" type="noConversion"/>
  </si>
  <si>
    <t>할인액</t>
    <phoneticPr fontId="3" type="noConversion"/>
  </si>
  <si>
    <t>자전거명</t>
    <phoneticPr fontId="3" type="noConversion"/>
  </si>
  <si>
    <t>자전거명</t>
    <phoneticPr fontId="1" type="noConversion"/>
  </si>
  <si>
    <t>[표1]</t>
    <phoneticPr fontId="1" type="noConversion"/>
  </si>
  <si>
    <t>종목명</t>
    <phoneticPr fontId="1" type="noConversion"/>
  </si>
  <si>
    <t>보유량</t>
    <phoneticPr fontId="1" type="noConversion"/>
  </si>
  <si>
    <t>매입가</t>
    <phoneticPr fontId="1" type="noConversion"/>
  </si>
  <si>
    <t>현재가</t>
    <phoneticPr fontId="3" type="noConversion"/>
  </si>
  <si>
    <t>수익률(%)</t>
    <phoneticPr fontId="1" type="noConversion"/>
  </si>
  <si>
    <t>SK하이닉스</t>
    <phoneticPr fontId="1" type="noConversion"/>
  </si>
  <si>
    <t>현대차</t>
    <phoneticPr fontId="1" type="noConversion"/>
  </si>
  <si>
    <t>호텔신라</t>
    <phoneticPr fontId="1" type="noConversion"/>
  </si>
  <si>
    <t>삼성전기</t>
    <phoneticPr fontId="1" type="noConversion"/>
  </si>
  <si>
    <t>삼성SDI</t>
    <phoneticPr fontId="1" type="noConversion"/>
  </si>
  <si>
    <t>NAVER</t>
    <phoneticPr fontId="1" type="noConversion"/>
  </si>
  <si>
    <t>카카오</t>
    <phoneticPr fontId="1" type="noConversion"/>
  </si>
  <si>
    <t>LG전자</t>
    <phoneticPr fontId="1" type="noConversion"/>
  </si>
  <si>
    <t>셀트리온</t>
    <phoneticPr fontId="1" type="noConversion"/>
  </si>
  <si>
    <t>삼성전자</t>
    <phoneticPr fontId="1" type="noConversion"/>
  </si>
  <si>
    <t>일양약품</t>
    <phoneticPr fontId="1" type="noConversion"/>
  </si>
  <si>
    <t>재고</t>
    <phoneticPr fontId="1" type="noConversion"/>
  </si>
  <si>
    <t>예약주문</t>
    <phoneticPr fontId="1" type="noConversion"/>
  </si>
  <si>
    <t>그래프</t>
    <phoneticPr fontId="3" type="noConversion"/>
  </si>
  <si>
    <t>[표1] 자전거명별 회사별 가장 빠른 판매월</t>
    <phoneticPr fontId="3" type="noConversion"/>
  </si>
  <si>
    <t>코렉스</t>
    <phoneticPr fontId="1" type="noConversion"/>
  </si>
  <si>
    <t>[표2] 6~7월 재고평균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</si>
</sst>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43" formatCode="_-* #,##0.00_-;\-* #,##0.00_-;_-* &quot;-&quot;??_-;_-@_-"/>
    <numFmt numFmtId="176" formatCode="#&quot;월&quot;"/>
  </numFmts>
  <fonts count="1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체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4"/>
      <color indexed="56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4"/>
      <color indexed="9"/>
      <name val="맑은 고딕"/>
      <family val="3"/>
      <charset val="129"/>
      <scheme val="minor"/>
    </font>
    <font>
      <sz val="10"/>
      <name val="Arial"/>
      <family val="2"/>
    </font>
    <font>
      <b/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10" fillId="0" borderId="0">
      <alignment vertical="center"/>
    </xf>
    <xf numFmtId="0" fontId="14" fillId="0" borderId="0"/>
  </cellStyleXfs>
  <cellXfs count="46">
    <xf numFmtId="0" fontId="0" fillId="0" borderId="0" xfId="0">
      <alignment vertical="center"/>
    </xf>
    <xf numFmtId="41" fontId="5" fillId="0" borderId="1" xfId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horizontal="center" vertical="center" wrapText="1"/>
    </xf>
    <xf numFmtId="9" fontId="5" fillId="0" borderId="1" xfId="2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/>
    </xf>
    <xf numFmtId="14" fontId="6" fillId="0" borderId="1" xfId="0" applyNumberFormat="1" applyFont="1" applyBorder="1" applyAlignment="1">
      <alignment horizontal="center" vertical="center"/>
    </xf>
    <xf numFmtId="41" fontId="6" fillId="0" borderId="1" xfId="1" applyFont="1" applyBorder="1" applyAlignment="1">
      <alignment vertical="center"/>
    </xf>
    <xf numFmtId="41" fontId="6" fillId="0" borderId="1" xfId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41" fontId="6" fillId="0" borderId="0" xfId="1" applyFont="1" applyBorder="1" applyAlignment="1">
      <alignment vertical="center"/>
    </xf>
    <xf numFmtId="176" fontId="7" fillId="2" borderId="1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1" xfId="0" applyFont="1" applyFill="1" applyBorder="1" applyAlignment="1">
      <alignment horizontal="center" vertical="center"/>
    </xf>
    <xf numFmtId="14" fontId="6" fillId="0" borderId="1" xfId="0" applyNumberFormat="1" applyFont="1" applyFill="1" applyBorder="1" applyAlignment="1">
      <alignment horizontal="center" vertical="center"/>
    </xf>
    <xf numFmtId="41" fontId="6" fillId="0" borderId="1" xfId="1" applyFont="1" applyFill="1" applyBorder="1" applyAlignment="1">
      <alignment horizontal="center" vertical="center"/>
    </xf>
    <xf numFmtId="9" fontId="6" fillId="0" borderId="1" xfId="2" applyFont="1" applyFill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41" fontId="9" fillId="0" borderId="1" xfId="1" applyFont="1" applyBorder="1" applyAlignment="1">
      <alignment vertical="center"/>
    </xf>
    <xf numFmtId="41" fontId="9" fillId="0" borderId="1" xfId="1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9" fillId="0" borderId="1" xfId="0" applyNumberFormat="1" applyFont="1" applyBorder="1" applyAlignment="1">
      <alignment vertical="center"/>
    </xf>
    <xf numFmtId="0" fontId="9" fillId="0" borderId="1" xfId="0" applyNumberFormat="1" applyFont="1" applyFill="1" applyBorder="1" applyAlignment="1">
      <alignment vertical="center"/>
    </xf>
    <xf numFmtId="0" fontId="9" fillId="0" borderId="1" xfId="0" quotePrefix="1" applyNumberFormat="1" applyFont="1" applyBorder="1" applyAlignment="1">
      <alignment vertical="center"/>
    </xf>
    <xf numFmtId="0" fontId="9" fillId="0" borderId="0" xfId="0" applyFont="1">
      <alignment vertical="center"/>
    </xf>
    <xf numFmtId="0" fontId="7" fillId="0" borderId="1" xfId="5" applyFont="1" applyBorder="1" applyAlignment="1">
      <alignment horizontal="center" vertical="center"/>
    </xf>
    <xf numFmtId="0" fontId="15" fillId="0" borderId="1" xfId="5" applyFont="1" applyBorder="1" applyAlignment="1">
      <alignment horizontal="center" vertical="center" wrapText="1"/>
    </xf>
    <xf numFmtId="0" fontId="6" fillId="0" borderId="1" xfId="5" applyFont="1" applyBorder="1" applyAlignment="1">
      <alignment horizontal="center" vertical="center"/>
    </xf>
    <xf numFmtId="0" fontId="16" fillId="0" borderId="1" xfId="5" applyFont="1" applyBorder="1" applyAlignment="1">
      <alignment horizontal="center" wrapText="1"/>
    </xf>
    <xf numFmtId="41" fontId="15" fillId="0" borderId="1" xfId="1" applyFont="1" applyBorder="1" applyAlignment="1">
      <alignment horizontal="center" vertical="center" wrapText="1"/>
    </xf>
    <xf numFmtId="41" fontId="16" fillId="0" borderId="1" xfId="1" applyFont="1" applyBorder="1" applyAlignment="1">
      <alignment horizontal="center" wrapText="1"/>
    </xf>
    <xf numFmtId="41" fontId="9" fillId="0" borderId="0" xfId="1" applyFont="1">
      <alignment vertical="center"/>
    </xf>
    <xf numFmtId="43" fontId="16" fillId="0" borderId="1" xfId="5" applyNumberFormat="1" applyFont="1" applyBorder="1" applyAlignment="1">
      <alignment horizontal="center" wrapText="1"/>
    </xf>
    <xf numFmtId="0" fontId="5" fillId="0" borderId="1" xfId="3" applyFont="1" applyBorder="1" applyAlignment="1">
      <alignment horizontal="center" vertical="center"/>
    </xf>
    <xf numFmtId="14" fontId="5" fillId="0" borderId="1" xfId="3" applyNumberFormat="1" applyFont="1" applyBorder="1" applyAlignment="1">
      <alignment horizontal="center" vertical="center"/>
    </xf>
    <xf numFmtId="0" fontId="5" fillId="0" borderId="1" xfId="3" applyFont="1" applyBorder="1" applyAlignment="1">
      <alignment horizontal="center" vertical="center" wrapText="1"/>
    </xf>
    <xf numFmtId="14" fontId="5" fillId="0" borderId="1" xfId="3" applyNumberFormat="1" applyFont="1" applyBorder="1" applyAlignment="1">
      <alignment horizontal="center" vertical="center" wrapText="1"/>
    </xf>
    <xf numFmtId="41" fontId="5" fillId="0" borderId="1" xfId="1" applyFont="1" applyFill="1" applyBorder="1" applyAlignment="1" applyProtection="1">
      <alignment horizontal="center" vertical="center" wrapText="1"/>
      <protection hidden="1"/>
    </xf>
    <xf numFmtId="0" fontId="6" fillId="0" borderId="0" xfId="0" applyFont="1">
      <alignment vertical="center"/>
    </xf>
    <xf numFmtId="0" fontId="7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41" fontId="6" fillId="0" borderId="1" xfId="1" applyFont="1" applyBorder="1" applyAlignment="1">
      <alignment horizontal="left" vertical="center"/>
    </xf>
    <xf numFmtId="0" fontId="6" fillId="0" borderId="1" xfId="0" quotePrefix="1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0" fontId="6" fillId="0" borderId="0" xfId="0" applyFont="1" applyAlignment="1">
      <alignment horizontal="left" vertical="center"/>
    </xf>
    <xf numFmtId="49" fontId="11" fillId="0" borderId="0" xfId="4" applyNumberFormat="1" applyFont="1" applyFill="1" applyAlignment="1">
      <alignment horizontal="center" vertical="center" wrapText="1"/>
    </xf>
    <xf numFmtId="0" fontId="13" fillId="3" borderId="0" xfId="0" applyFont="1" applyFill="1" applyAlignment="1">
      <alignment horizontal="center" vertical="center"/>
    </xf>
  </cellXfs>
  <cellStyles count="6">
    <cellStyle name="백분율" xfId="2" builtinId="5"/>
    <cellStyle name="쉼표 [0]" xfId="1" builtinId="6"/>
    <cellStyle name="표준" xfId="0" builtinId="0"/>
    <cellStyle name="표준 2" xfId="5" xr:uid="{00000000-0005-0000-0000-000003000000}"/>
    <cellStyle name="표준_Sheet1" xfId="3" xr:uid="{00000000-0005-0000-0000-000004000000}"/>
    <cellStyle name="표준_기타작업1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기타작업1!$A$4</c:f>
              <c:strCache>
                <c:ptCount val="1"/>
                <c:pt idx="0">
                  <c:v> 전라북도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기타작업1!$B$3:$C$3</c:f>
              <c:strCache>
                <c:ptCount val="2"/>
                <c:pt idx="0">
                  <c:v> 무료방문객수 </c:v>
                </c:pt>
                <c:pt idx="1">
                  <c:v> 유료내국인방문객수 </c:v>
                </c:pt>
              </c:strCache>
            </c:strRef>
          </c:cat>
          <c:val>
            <c:numRef>
              <c:f>기타작업1!$B$4:$C$4</c:f>
              <c:numCache>
                <c:formatCode>_(* #,##0_);_(* \(#,##0\);_(* "-"_);_(@_)</c:formatCode>
                <c:ptCount val="2"/>
                <c:pt idx="0">
                  <c:v>37200</c:v>
                </c:pt>
                <c:pt idx="1">
                  <c:v>33145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A8-42A5-94AE-43FB91D96BFE}"/>
            </c:ext>
          </c:extLst>
        </c:ser>
        <c:ser>
          <c:idx val="1"/>
          <c:order val="1"/>
          <c:tx>
            <c:strRef>
              <c:f>기타작업1!$A$5</c:f>
              <c:strCache>
                <c:ptCount val="1"/>
                <c:pt idx="0">
                  <c:v> 경상북도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기타작업1!$B$3:$C$3</c:f>
              <c:strCache>
                <c:ptCount val="2"/>
                <c:pt idx="0">
                  <c:v> 무료방문객수 </c:v>
                </c:pt>
                <c:pt idx="1">
                  <c:v> 유료내국인방문객수 </c:v>
                </c:pt>
              </c:strCache>
            </c:strRef>
          </c:cat>
          <c:val>
            <c:numRef>
              <c:f>기타작업1!$B$5:$C$5</c:f>
              <c:numCache>
                <c:formatCode>_(* #,##0_);_(* \(#,##0\);_(* "-"_);_(@_)</c:formatCode>
                <c:ptCount val="2"/>
                <c:pt idx="0">
                  <c:v>332601</c:v>
                </c:pt>
                <c:pt idx="1">
                  <c:v>78432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A8-42A5-94AE-43FB91D96BFE}"/>
            </c:ext>
          </c:extLst>
        </c:ser>
        <c:ser>
          <c:idx val="2"/>
          <c:order val="2"/>
          <c:tx>
            <c:strRef>
              <c:f>기타작업1!$A$6</c:f>
              <c:strCache>
                <c:ptCount val="1"/>
                <c:pt idx="0">
                  <c:v> 경상남도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기타작업1!$B$3:$C$3</c:f>
              <c:strCache>
                <c:ptCount val="2"/>
                <c:pt idx="0">
                  <c:v> 무료방문객수 </c:v>
                </c:pt>
                <c:pt idx="1">
                  <c:v> 유료내국인방문객수 </c:v>
                </c:pt>
              </c:strCache>
            </c:strRef>
          </c:cat>
          <c:val>
            <c:numRef>
              <c:f>기타작업1!$B$6:$C$6</c:f>
              <c:numCache>
                <c:formatCode>_(* #,##0_);_(* \(#,##0\);_(* "-"_);_(@_)</c:formatCode>
                <c:ptCount val="2"/>
                <c:pt idx="0">
                  <c:v>202235</c:v>
                </c:pt>
                <c:pt idx="1">
                  <c:v>104205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A8-42A5-94AE-43FB91D96BFE}"/>
            </c:ext>
          </c:extLst>
        </c:ser>
        <c:ser>
          <c:idx val="3"/>
          <c:order val="3"/>
          <c:tx>
            <c:strRef>
              <c:f>기타작업1!$A$7</c:f>
              <c:strCache>
                <c:ptCount val="1"/>
                <c:pt idx="0">
                  <c:v> 충청북도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기타작업1!$B$3:$C$3</c:f>
              <c:strCache>
                <c:ptCount val="2"/>
                <c:pt idx="0">
                  <c:v> 무료방문객수 </c:v>
                </c:pt>
                <c:pt idx="1">
                  <c:v> 유료내국인방문객수 </c:v>
                </c:pt>
              </c:strCache>
            </c:strRef>
          </c:cat>
          <c:val>
            <c:numRef>
              <c:f>기타작업1!$B$7:$C$7</c:f>
              <c:numCache>
                <c:formatCode>_(* #,##0_);_(* \(#,##0\);_(* "-"_);_(@_)</c:formatCode>
                <c:ptCount val="2"/>
                <c:pt idx="0">
                  <c:v>733539</c:v>
                </c:pt>
                <c:pt idx="1">
                  <c:v>115372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EA8-42A5-94AE-43FB91D96BFE}"/>
            </c:ext>
          </c:extLst>
        </c:ser>
        <c:ser>
          <c:idx val="4"/>
          <c:order val="4"/>
          <c:tx>
            <c:strRef>
              <c:f>기타작업1!$A$8</c:f>
              <c:strCache>
                <c:ptCount val="1"/>
                <c:pt idx="0">
                  <c:v> 충청남도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기타작업1!$B$3:$C$3</c:f>
              <c:strCache>
                <c:ptCount val="2"/>
                <c:pt idx="0">
                  <c:v> 무료방문객수 </c:v>
                </c:pt>
                <c:pt idx="1">
                  <c:v> 유료내국인방문객수 </c:v>
                </c:pt>
              </c:strCache>
            </c:strRef>
          </c:cat>
          <c:val>
            <c:numRef>
              <c:f>기타작업1!$B$8:$C$8</c:f>
              <c:numCache>
                <c:formatCode>_(* #,##0_);_(* \(#,##0\);_(* "-"_);_(@_)</c:formatCode>
                <c:ptCount val="2"/>
                <c:pt idx="0">
                  <c:v>209384</c:v>
                </c:pt>
                <c:pt idx="1">
                  <c:v>257351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EA8-42A5-94AE-43FB91D96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52365216"/>
        <c:axId val="1752364384"/>
      </c:barChart>
      <c:catAx>
        <c:axId val="17523652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2364384"/>
        <c:crosses val="autoZero"/>
        <c:auto val="1"/>
        <c:lblAlgn val="ctr"/>
        <c:lblOffset val="100"/>
        <c:noMultiLvlLbl val="0"/>
      </c:catAx>
      <c:valAx>
        <c:axId val="175236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2365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184150</xdr:rowOff>
    </xdr:from>
    <xdr:to>
      <xdr:col>4</xdr:col>
      <xdr:colOff>0</xdr:colOff>
      <xdr:row>28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19050</xdr:rowOff>
        </xdr:from>
        <xdr:to>
          <xdr:col>9</xdr:col>
          <xdr:colOff>241300</xdr:colOff>
          <xdr:row>3</xdr:row>
          <xdr:rowOff>152400</xdr:rowOff>
        </xdr:to>
        <xdr:sp macro="" textlink="">
          <xdr:nvSpPr>
            <xdr:cNvPr id="7169" name="자전거구입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J24"/>
  <sheetViews>
    <sheetView tabSelected="1" workbookViewId="0"/>
  </sheetViews>
  <sheetFormatPr defaultRowHeight="17"/>
  <cols>
    <col min="1" max="1" width="10.58203125" customWidth="1"/>
    <col min="2" max="2" width="12.9140625" customWidth="1"/>
    <col min="3" max="3" width="13.75" customWidth="1"/>
    <col min="4" max="4" width="12.75" customWidth="1"/>
    <col min="5" max="5" width="13.58203125" customWidth="1"/>
    <col min="6" max="6" width="10.25" customWidth="1"/>
    <col min="7" max="7" width="6.58203125" customWidth="1"/>
    <col min="8" max="8" width="11.75" customWidth="1"/>
    <col min="9" max="9" width="8.08203125" customWidth="1"/>
    <col min="10" max="10" width="11.58203125" customWidth="1"/>
  </cols>
  <sheetData>
    <row r="1" spans="1:10">
      <c r="A1" s="32" t="s">
        <v>0</v>
      </c>
      <c r="B1" s="32" t="s">
        <v>1</v>
      </c>
      <c r="C1" s="32" t="s">
        <v>2</v>
      </c>
      <c r="D1" s="33" t="s">
        <v>3</v>
      </c>
      <c r="E1" s="33" t="s">
        <v>4</v>
      </c>
      <c r="F1" s="32" t="s">
        <v>5</v>
      </c>
      <c r="G1" s="32" t="s">
        <v>6</v>
      </c>
      <c r="H1" s="32" t="s">
        <v>7</v>
      </c>
      <c r="I1" s="32" t="s">
        <v>8</v>
      </c>
      <c r="J1" s="1" t="s">
        <v>9</v>
      </c>
    </row>
    <row r="2" spans="1:10">
      <c r="A2" s="34" t="s">
        <v>10</v>
      </c>
      <c r="B2" s="34" t="s">
        <v>11</v>
      </c>
      <c r="C2" s="34" t="s">
        <v>12</v>
      </c>
      <c r="D2" s="35">
        <v>45568</v>
      </c>
      <c r="E2" s="35">
        <v>45810</v>
      </c>
      <c r="F2" s="2">
        <v>267500</v>
      </c>
      <c r="G2" s="2">
        <v>3</v>
      </c>
      <c r="H2" s="2">
        <f>F2*G2</f>
        <v>802500</v>
      </c>
      <c r="I2" s="3">
        <v>0.2</v>
      </c>
      <c r="J2" s="36">
        <f>H2*I2</f>
        <v>160500</v>
      </c>
    </row>
    <row r="3" spans="1:10">
      <c r="A3" s="34" t="s">
        <v>13</v>
      </c>
      <c r="B3" s="34" t="s">
        <v>14</v>
      </c>
      <c r="C3" s="34" t="s">
        <v>15</v>
      </c>
      <c r="D3" s="35">
        <v>45546</v>
      </c>
      <c r="E3" s="35">
        <v>45817</v>
      </c>
      <c r="F3" s="2">
        <v>111278</v>
      </c>
      <c r="G3" s="2">
        <v>4</v>
      </c>
      <c r="H3" s="2">
        <f t="shared" ref="H3:H24" si="0">F3*G3</f>
        <v>445112</v>
      </c>
      <c r="I3" s="3">
        <v>0.22</v>
      </c>
      <c r="J3" s="36">
        <f t="shared" ref="J3:J24" si="1">H3*I3</f>
        <v>97924.64</v>
      </c>
    </row>
    <row r="4" spans="1:10">
      <c r="A4" s="34" t="s">
        <v>16</v>
      </c>
      <c r="B4" s="34" t="s">
        <v>14</v>
      </c>
      <c r="C4" s="34" t="s">
        <v>17</v>
      </c>
      <c r="D4" s="35">
        <v>45548</v>
      </c>
      <c r="E4" s="35">
        <v>45785</v>
      </c>
      <c r="F4" s="2">
        <v>108500</v>
      </c>
      <c r="G4" s="2">
        <v>18</v>
      </c>
      <c r="H4" s="2">
        <f t="shared" si="0"/>
        <v>1953000</v>
      </c>
      <c r="I4" s="3">
        <v>0.3</v>
      </c>
      <c r="J4" s="36">
        <f t="shared" si="1"/>
        <v>585900</v>
      </c>
    </row>
    <row r="5" spans="1:10">
      <c r="A5" s="34" t="s">
        <v>18</v>
      </c>
      <c r="B5" s="34" t="s">
        <v>14</v>
      </c>
      <c r="C5" s="34" t="s">
        <v>19</v>
      </c>
      <c r="D5" s="35">
        <v>45549</v>
      </c>
      <c r="E5" s="35">
        <v>45691</v>
      </c>
      <c r="F5" s="2">
        <v>114500</v>
      </c>
      <c r="G5" s="2">
        <v>15</v>
      </c>
      <c r="H5" s="2">
        <f t="shared" si="0"/>
        <v>1717500</v>
      </c>
      <c r="I5" s="3">
        <v>0.2</v>
      </c>
      <c r="J5" s="36">
        <f t="shared" si="1"/>
        <v>343500</v>
      </c>
    </row>
    <row r="6" spans="1:10">
      <c r="A6" s="34" t="s">
        <v>13</v>
      </c>
      <c r="B6" s="34" t="s">
        <v>14</v>
      </c>
      <c r="C6" s="34" t="s">
        <v>20</v>
      </c>
      <c r="D6" s="35">
        <v>45559</v>
      </c>
      <c r="E6" s="35">
        <v>45689</v>
      </c>
      <c r="F6" s="2">
        <v>211278</v>
      </c>
      <c r="G6" s="2">
        <v>8</v>
      </c>
      <c r="H6" s="2">
        <f t="shared" si="0"/>
        <v>1690224</v>
      </c>
      <c r="I6" s="3">
        <v>0.23</v>
      </c>
      <c r="J6" s="36">
        <f t="shared" si="1"/>
        <v>388751.52</v>
      </c>
    </row>
    <row r="7" spans="1:10">
      <c r="A7" s="34" t="s">
        <v>21</v>
      </c>
      <c r="B7" s="34" t="s">
        <v>11</v>
      </c>
      <c r="C7" s="34" t="s">
        <v>22</v>
      </c>
      <c r="D7" s="35">
        <v>45563</v>
      </c>
      <c r="E7" s="35">
        <v>45720</v>
      </c>
      <c r="F7" s="2">
        <v>134750</v>
      </c>
      <c r="G7" s="2">
        <v>15</v>
      </c>
      <c r="H7" s="2">
        <f t="shared" si="0"/>
        <v>2021250</v>
      </c>
      <c r="I7" s="3">
        <v>0.17</v>
      </c>
      <c r="J7" s="36">
        <f t="shared" si="1"/>
        <v>343612.5</v>
      </c>
    </row>
    <row r="8" spans="1:10">
      <c r="A8" s="34" t="s">
        <v>13</v>
      </c>
      <c r="B8" s="34" t="s">
        <v>23</v>
      </c>
      <c r="C8" s="34" t="s">
        <v>24</v>
      </c>
      <c r="D8" s="35">
        <v>45566</v>
      </c>
      <c r="E8" s="35">
        <v>45666</v>
      </c>
      <c r="F8" s="2">
        <v>111278</v>
      </c>
      <c r="G8" s="2">
        <v>15</v>
      </c>
      <c r="H8" s="2">
        <f t="shared" si="0"/>
        <v>1669170</v>
      </c>
      <c r="I8" s="3">
        <v>0.32</v>
      </c>
      <c r="J8" s="36">
        <f t="shared" si="1"/>
        <v>534134.4</v>
      </c>
    </row>
    <row r="9" spans="1:10">
      <c r="A9" s="34" t="s">
        <v>18</v>
      </c>
      <c r="B9" s="34" t="s">
        <v>23</v>
      </c>
      <c r="C9" s="34" t="s">
        <v>25</v>
      </c>
      <c r="D9" s="35">
        <v>45569</v>
      </c>
      <c r="E9" s="35">
        <v>45693</v>
      </c>
      <c r="F9" s="2">
        <v>214500</v>
      </c>
      <c r="G9" s="2">
        <v>4</v>
      </c>
      <c r="H9" s="2">
        <f t="shared" si="0"/>
        <v>858000</v>
      </c>
      <c r="I9" s="3">
        <v>0.2</v>
      </c>
      <c r="J9" s="36">
        <f t="shared" si="1"/>
        <v>171600</v>
      </c>
    </row>
    <row r="10" spans="1:10">
      <c r="A10" s="34" t="s">
        <v>21</v>
      </c>
      <c r="B10" s="34" t="s">
        <v>23</v>
      </c>
      <c r="C10" s="34" t="s">
        <v>26</v>
      </c>
      <c r="D10" s="35">
        <v>45551</v>
      </c>
      <c r="E10" s="35">
        <v>45693</v>
      </c>
      <c r="F10" s="2">
        <v>284750</v>
      </c>
      <c r="G10" s="2">
        <v>20</v>
      </c>
      <c r="H10" s="2">
        <f t="shared" si="0"/>
        <v>5695000</v>
      </c>
      <c r="I10" s="3">
        <v>0.13</v>
      </c>
      <c r="J10" s="36">
        <f t="shared" si="1"/>
        <v>740350</v>
      </c>
    </row>
    <row r="11" spans="1:10">
      <c r="A11" s="34" t="s">
        <v>18</v>
      </c>
      <c r="B11" s="34" t="s">
        <v>23</v>
      </c>
      <c r="C11" s="34" t="s">
        <v>27</v>
      </c>
      <c r="D11" s="35">
        <v>45565</v>
      </c>
      <c r="E11" s="35">
        <v>45665</v>
      </c>
      <c r="F11" s="2">
        <v>114500</v>
      </c>
      <c r="G11" s="2">
        <v>3</v>
      </c>
      <c r="H11" s="2">
        <f t="shared" si="0"/>
        <v>343500</v>
      </c>
      <c r="I11" s="3">
        <v>0.2</v>
      </c>
      <c r="J11" s="36">
        <f t="shared" si="1"/>
        <v>68700</v>
      </c>
    </row>
    <row r="12" spans="1:10">
      <c r="A12" s="34" t="s">
        <v>18</v>
      </c>
      <c r="B12" s="34" t="s">
        <v>11</v>
      </c>
      <c r="C12" s="34" t="s">
        <v>27</v>
      </c>
      <c r="D12" s="35">
        <v>45561</v>
      </c>
      <c r="E12" s="35">
        <v>45659</v>
      </c>
      <c r="F12" s="2">
        <v>114500</v>
      </c>
      <c r="G12" s="2">
        <v>2</v>
      </c>
      <c r="H12" s="2">
        <f t="shared" si="0"/>
        <v>229000</v>
      </c>
      <c r="I12" s="3">
        <v>0.2</v>
      </c>
      <c r="J12" s="36">
        <f t="shared" si="1"/>
        <v>45800</v>
      </c>
    </row>
    <row r="13" spans="1:10">
      <c r="A13" s="34" t="s">
        <v>16</v>
      </c>
      <c r="B13" s="34" t="s">
        <v>11</v>
      </c>
      <c r="C13" s="34" t="s">
        <v>28</v>
      </c>
      <c r="D13" s="35">
        <v>45556</v>
      </c>
      <c r="E13" s="35">
        <v>45721</v>
      </c>
      <c r="F13" s="2">
        <v>108500</v>
      </c>
      <c r="G13" s="2">
        <v>11</v>
      </c>
      <c r="H13" s="2">
        <f t="shared" si="0"/>
        <v>1193500</v>
      </c>
      <c r="I13" s="3">
        <v>0.35</v>
      </c>
      <c r="J13" s="36">
        <f t="shared" si="1"/>
        <v>417725</v>
      </c>
    </row>
    <row r="14" spans="1:10">
      <c r="A14" s="34" t="s">
        <v>21</v>
      </c>
      <c r="B14" s="34" t="s">
        <v>11</v>
      </c>
      <c r="C14" s="34" t="s">
        <v>29</v>
      </c>
      <c r="D14" s="35">
        <v>45552</v>
      </c>
      <c r="E14" s="35">
        <v>45853</v>
      </c>
      <c r="F14" s="2">
        <v>234750</v>
      </c>
      <c r="G14" s="2">
        <v>7</v>
      </c>
      <c r="H14" s="2">
        <f t="shared" si="0"/>
        <v>1643250</v>
      </c>
      <c r="I14" s="3">
        <v>0.15</v>
      </c>
      <c r="J14" s="36">
        <f t="shared" si="1"/>
        <v>246487.5</v>
      </c>
    </row>
    <row r="15" spans="1:10">
      <c r="A15" s="34" t="s">
        <v>21</v>
      </c>
      <c r="B15" s="34" t="s">
        <v>14</v>
      </c>
      <c r="C15" s="34" t="s">
        <v>30</v>
      </c>
      <c r="D15" s="35">
        <v>45555</v>
      </c>
      <c r="E15" s="35">
        <v>45849</v>
      </c>
      <c r="F15" s="2">
        <v>284750</v>
      </c>
      <c r="G15" s="2">
        <v>6</v>
      </c>
      <c r="H15" s="2">
        <f t="shared" si="0"/>
        <v>1708500</v>
      </c>
      <c r="I15" s="3">
        <v>0.17</v>
      </c>
      <c r="J15" s="36">
        <f t="shared" si="1"/>
        <v>290445</v>
      </c>
    </row>
    <row r="16" spans="1:10">
      <c r="A16" s="34" t="s">
        <v>16</v>
      </c>
      <c r="B16" s="34" t="s">
        <v>14</v>
      </c>
      <c r="C16" s="34" t="s">
        <v>31</v>
      </c>
      <c r="D16" s="35">
        <v>45547</v>
      </c>
      <c r="E16" s="35">
        <v>45752</v>
      </c>
      <c r="F16" s="2">
        <v>108500</v>
      </c>
      <c r="G16" s="2">
        <v>22</v>
      </c>
      <c r="H16" s="2">
        <f t="shared" si="0"/>
        <v>2387000</v>
      </c>
      <c r="I16" s="3">
        <v>0.25</v>
      </c>
      <c r="J16" s="36">
        <f t="shared" si="1"/>
        <v>596750</v>
      </c>
    </row>
    <row r="17" spans="1:10">
      <c r="A17" s="34" t="s">
        <v>10</v>
      </c>
      <c r="B17" s="34" t="s">
        <v>14</v>
      </c>
      <c r="C17" s="34" t="s">
        <v>32</v>
      </c>
      <c r="D17" s="35">
        <v>45558</v>
      </c>
      <c r="E17" s="35">
        <v>45780</v>
      </c>
      <c r="F17" s="2">
        <v>117500</v>
      </c>
      <c r="G17" s="2">
        <v>1</v>
      </c>
      <c r="H17" s="2">
        <f t="shared" si="0"/>
        <v>117500</v>
      </c>
      <c r="I17" s="3">
        <v>0.3</v>
      </c>
      <c r="J17" s="36">
        <f t="shared" si="1"/>
        <v>35250</v>
      </c>
    </row>
    <row r="18" spans="1:10">
      <c r="A18" s="34" t="s">
        <v>13</v>
      </c>
      <c r="B18" s="34" t="s">
        <v>14</v>
      </c>
      <c r="C18" s="34" t="s">
        <v>33</v>
      </c>
      <c r="D18" s="35">
        <v>45564</v>
      </c>
      <c r="E18" s="35">
        <v>45754</v>
      </c>
      <c r="F18" s="2">
        <v>111278</v>
      </c>
      <c r="G18" s="2">
        <v>11</v>
      </c>
      <c r="H18" s="2">
        <f t="shared" si="0"/>
        <v>1224058</v>
      </c>
      <c r="I18" s="3">
        <v>0.28000000000000003</v>
      </c>
      <c r="J18" s="36">
        <f t="shared" si="1"/>
        <v>342736.24000000005</v>
      </c>
    </row>
    <row r="19" spans="1:10">
      <c r="A19" s="34" t="s">
        <v>13</v>
      </c>
      <c r="B19" s="34" t="s">
        <v>11</v>
      </c>
      <c r="C19" s="34" t="s">
        <v>34</v>
      </c>
      <c r="D19" s="35">
        <v>45567</v>
      </c>
      <c r="E19" s="35">
        <v>45700</v>
      </c>
      <c r="F19" s="2">
        <v>111278</v>
      </c>
      <c r="G19" s="2">
        <v>2</v>
      </c>
      <c r="H19" s="2">
        <f t="shared" si="0"/>
        <v>222556</v>
      </c>
      <c r="I19" s="3">
        <v>0.1</v>
      </c>
      <c r="J19" s="36">
        <f t="shared" si="1"/>
        <v>22255.600000000002</v>
      </c>
    </row>
    <row r="20" spans="1:10">
      <c r="A20" s="34" t="s">
        <v>16</v>
      </c>
      <c r="B20" s="34" t="s">
        <v>23</v>
      </c>
      <c r="C20" s="34" t="s">
        <v>35</v>
      </c>
      <c r="D20" s="35">
        <v>45570</v>
      </c>
      <c r="E20" s="35">
        <v>45817</v>
      </c>
      <c r="F20" s="2">
        <v>258500</v>
      </c>
      <c r="G20" s="2">
        <v>21</v>
      </c>
      <c r="H20" s="2">
        <f t="shared" si="0"/>
        <v>5428500</v>
      </c>
      <c r="I20" s="3">
        <v>0.3</v>
      </c>
      <c r="J20" s="36">
        <f t="shared" si="1"/>
        <v>1628550</v>
      </c>
    </row>
    <row r="21" spans="1:10">
      <c r="A21" s="34" t="s">
        <v>16</v>
      </c>
      <c r="B21" s="34" t="s">
        <v>23</v>
      </c>
      <c r="C21" s="34" t="s">
        <v>36</v>
      </c>
      <c r="D21" s="35">
        <v>45573</v>
      </c>
      <c r="E21" s="35">
        <v>45846</v>
      </c>
      <c r="F21" s="2">
        <v>108500</v>
      </c>
      <c r="G21" s="2">
        <v>10</v>
      </c>
      <c r="H21" s="2">
        <f t="shared" si="0"/>
        <v>1085000</v>
      </c>
      <c r="I21" s="3">
        <v>0.2</v>
      </c>
      <c r="J21" s="36">
        <f t="shared" si="1"/>
        <v>217000</v>
      </c>
    </row>
    <row r="22" spans="1:10">
      <c r="A22" s="34" t="s">
        <v>10</v>
      </c>
      <c r="B22" s="34" t="s">
        <v>23</v>
      </c>
      <c r="C22" s="34" t="s">
        <v>37</v>
      </c>
      <c r="D22" s="35">
        <v>45574</v>
      </c>
      <c r="E22" s="35">
        <v>45788</v>
      </c>
      <c r="F22" s="2">
        <v>217500</v>
      </c>
      <c r="G22" s="2">
        <v>4</v>
      </c>
      <c r="H22" s="2">
        <f t="shared" si="0"/>
        <v>870000</v>
      </c>
      <c r="I22" s="3">
        <v>0.3</v>
      </c>
      <c r="J22" s="36">
        <f t="shared" si="1"/>
        <v>261000</v>
      </c>
    </row>
    <row r="23" spans="1:10">
      <c r="A23" s="34" t="s">
        <v>38</v>
      </c>
      <c r="B23" s="34" t="s">
        <v>23</v>
      </c>
      <c r="C23" s="34" t="s">
        <v>39</v>
      </c>
      <c r="D23" s="35">
        <v>45575</v>
      </c>
      <c r="E23" s="35">
        <v>45846</v>
      </c>
      <c r="F23" s="2">
        <v>134750</v>
      </c>
      <c r="G23" s="2">
        <v>8</v>
      </c>
      <c r="H23" s="2">
        <f t="shared" si="0"/>
        <v>1078000</v>
      </c>
      <c r="I23" s="3">
        <v>0.2</v>
      </c>
      <c r="J23" s="36">
        <f t="shared" si="1"/>
        <v>215600</v>
      </c>
    </row>
    <row r="24" spans="1:10">
      <c r="A24" s="34" t="s">
        <v>40</v>
      </c>
      <c r="B24" s="34" t="s">
        <v>11</v>
      </c>
      <c r="C24" s="34" t="s">
        <v>41</v>
      </c>
      <c r="D24" s="35">
        <v>45576</v>
      </c>
      <c r="E24" s="35">
        <v>45817</v>
      </c>
      <c r="F24" s="2">
        <v>267500</v>
      </c>
      <c r="G24" s="2">
        <v>7</v>
      </c>
      <c r="H24" s="2">
        <f t="shared" si="0"/>
        <v>1872500</v>
      </c>
      <c r="I24" s="3">
        <v>0.2</v>
      </c>
      <c r="J24" s="36">
        <f t="shared" si="1"/>
        <v>374500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B2:K25"/>
  <sheetViews>
    <sheetView workbookViewId="0"/>
  </sheetViews>
  <sheetFormatPr defaultRowHeight="17"/>
  <cols>
    <col min="2" max="2" width="10.58203125" customWidth="1"/>
    <col min="3" max="3" width="12.9140625" customWidth="1"/>
    <col min="4" max="4" width="13.75" customWidth="1"/>
    <col min="5" max="5" width="12.75" customWidth="1"/>
    <col min="6" max="6" width="13.58203125" customWidth="1"/>
    <col min="7" max="7" width="10.25" customWidth="1"/>
    <col min="8" max="8" width="6.58203125" customWidth="1"/>
    <col min="9" max="9" width="11.75" customWidth="1"/>
    <col min="10" max="10" width="8.08203125" customWidth="1"/>
    <col min="11" max="11" width="11.58203125" customWidth="1"/>
  </cols>
  <sheetData>
    <row r="2" spans="2:11">
      <c r="B2" s="32" t="s">
        <v>0</v>
      </c>
      <c r="C2" s="32" t="s">
        <v>1</v>
      </c>
      <c r="D2" s="32" t="s">
        <v>2</v>
      </c>
      <c r="E2" s="33" t="s">
        <v>3</v>
      </c>
      <c r="F2" s="33" t="s">
        <v>4</v>
      </c>
      <c r="G2" s="32" t="s">
        <v>5</v>
      </c>
      <c r="H2" s="32" t="s">
        <v>6</v>
      </c>
      <c r="I2" s="32" t="s">
        <v>7</v>
      </c>
      <c r="J2" s="32" t="s">
        <v>8</v>
      </c>
      <c r="K2" s="1" t="s">
        <v>9</v>
      </c>
    </row>
    <row r="3" spans="2:11">
      <c r="B3" s="34" t="s">
        <v>10</v>
      </c>
      <c r="C3" s="34" t="s">
        <v>11</v>
      </c>
      <c r="D3" s="34" t="s">
        <v>12</v>
      </c>
      <c r="E3" s="35">
        <v>45568</v>
      </c>
      <c r="F3" s="35">
        <v>45810</v>
      </c>
      <c r="G3" s="2">
        <v>267500</v>
      </c>
      <c r="H3" s="2">
        <v>3</v>
      </c>
      <c r="I3" s="2">
        <f>G3*H3</f>
        <v>802500</v>
      </c>
      <c r="J3" s="3">
        <v>0.2</v>
      </c>
      <c r="K3" s="36">
        <f>I3*J3</f>
        <v>160500</v>
      </c>
    </row>
    <row r="4" spans="2:11">
      <c r="B4" s="34" t="s">
        <v>13</v>
      </c>
      <c r="C4" s="34" t="s">
        <v>14</v>
      </c>
      <c r="D4" s="34" t="s">
        <v>15</v>
      </c>
      <c r="E4" s="35">
        <v>45546</v>
      </c>
      <c r="F4" s="35">
        <v>45817</v>
      </c>
      <c r="G4" s="2">
        <v>111278</v>
      </c>
      <c r="H4" s="2">
        <v>4</v>
      </c>
      <c r="I4" s="2">
        <f t="shared" ref="I4:I25" si="0">G4*H4</f>
        <v>445112</v>
      </c>
      <c r="J4" s="3">
        <v>0.22</v>
      </c>
      <c r="K4" s="36">
        <f t="shared" ref="K4:K25" si="1">I4*J4</f>
        <v>97924.64</v>
      </c>
    </row>
    <row r="5" spans="2:11">
      <c r="B5" s="34" t="s">
        <v>16</v>
      </c>
      <c r="C5" s="34" t="s">
        <v>14</v>
      </c>
      <c r="D5" s="34" t="s">
        <v>17</v>
      </c>
      <c r="E5" s="35">
        <v>45548</v>
      </c>
      <c r="F5" s="35">
        <v>45785</v>
      </c>
      <c r="G5" s="2">
        <v>108500</v>
      </c>
      <c r="H5" s="2">
        <v>18</v>
      </c>
      <c r="I5" s="2">
        <f t="shared" si="0"/>
        <v>1953000</v>
      </c>
      <c r="J5" s="3">
        <v>0.3</v>
      </c>
      <c r="K5" s="36">
        <f t="shared" si="1"/>
        <v>585900</v>
      </c>
    </row>
    <row r="6" spans="2:11">
      <c r="B6" s="34" t="s">
        <v>18</v>
      </c>
      <c r="C6" s="34" t="s">
        <v>14</v>
      </c>
      <c r="D6" s="34" t="s">
        <v>19</v>
      </c>
      <c r="E6" s="35">
        <v>45549</v>
      </c>
      <c r="F6" s="35">
        <v>45691</v>
      </c>
      <c r="G6" s="2">
        <v>114500</v>
      </c>
      <c r="H6" s="2">
        <v>15</v>
      </c>
      <c r="I6" s="2">
        <f t="shared" si="0"/>
        <v>1717500</v>
      </c>
      <c r="J6" s="3">
        <v>0.2</v>
      </c>
      <c r="K6" s="36">
        <f t="shared" si="1"/>
        <v>343500</v>
      </c>
    </row>
    <row r="7" spans="2:11">
      <c r="B7" s="34" t="s">
        <v>13</v>
      </c>
      <c r="C7" s="34" t="s">
        <v>14</v>
      </c>
      <c r="D7" s="34" t="s">
        <v>20</v>
      </c>
      <c r="E7" s="35">
        <v>45559</v>
      </c>
      <c r="F7" s="35">
        <v>45689</v>
      </c>
      <c r="G7" s="2">
        <v>211278</v>
      </c>
      <c r="H7" s="2">
        <v>8</v>
      </c>
      <c r="I7" s="2">
        <f t="shared" si="0"/>
        <v>1690224</v>
      </c>
      <c r="J7" s="3">
        <v>0.23</v>
      </c>
      <c r="K7" s="36">
        <f t="shared" si="1"/>
        <v>388751.52</v>
      </c>
    </row>
    <row r="8" spans="2:11">
      <c r="B8" s="34" t="s">
        <v>21</v>
      </c>
      <c r="C8" s="34" t="s">
        <v>11</v>
      </c>
      <c r="D8" s="34" t="s">
        <v>22</v>
      </c>
      <c r="E8" s="35">
        <v>45563</v>
      </c>
      <c r="F8" s="35">
        <v>45720</v>
      </c>
      <c r="G8" s="2">
        <v>134750</v>
      </c>
      <c r="H8" s="2">
        <v>15</v>
      </c>
      <c r="I8" s="2">
        <f t="shared" si="0"/>
        <v>2021250</v>
      </c>
      <c r="J8" s="3">
        <v>0.17</v>
      </c>
      <c r="K8" s="36">
        <f t="shared" si="1"/>
        <v>343612.5</v>
      </c>
    </row>
    <row r="9" spans="2:11">
      <c r="B9" s="34" t="s">
        <v>13</v>
      </c>
      <c r="C9" s="34" t="s">
        <v>23</v>
      </c>
      <c r="D9" s="34" t="s">
        <v>24</v>
      </c>
      <c r="E9" s="35">
        <v>45566</v>
      </c>
      <c r="F9" s="35">
        <v>45666</v>
      </c>
      <c r="G9" s="2">
        <v>111278</v>
      </c>
      <c r="H9" s="2">
        <v>15</v>
      </c>
      <c r="I9" s="2">
        <f t="shared" si="0"/>
        <v>1669170</v>
      </c>
      <c r="J9" s="3">
        <v>0.32</v>
      </c>
      <c r="K9" s="36">
        <f t="shared" si="1"/>
        <v>534134.4</v>
      </c>
    </row>
    <row r="10" spans="2:11">
      <c r="B10" s="34" t="s">
        <v>18</v>
      </c>
      <c r="C10" s="34" t="s">
        <v>23</v>
      </c>
      <c r="D10" s="34" t="s">
        <v>25</v>
      </c>
      <c r="E10" s="35">
        <v>45569</v>
      </c>
      <c r="F10" s="35">
        <v>45693</v>
      </c>
      <c r="G10" s="2">
        <v>214500</v>
      </c>
      <c r="H10" s="2">
        <v>4</v>
      </c>
      <c r="I10" s="2">
        <f t="shared" si="0"/>
        <v>858000</v>
      </c>
      <c r="J10" s="3">
        <v>0.2</v>
      </c>
      <c r="K10" s="36">
        <f t="shared" si="1"/>
        <v>171600</v>
      </c>
    </row>
    <row r="11" spans="2:11">
      <c r="B11" s="34" t="s">
        <v>21</v>
      </c>
      <c r="C11" s="34" t="s">
        <v>23</v>
      </c>
      <c r="D11" s="34" t="s">
        <v>26</v>
      </c>
      <c r="E11" s="35">
        <v>45551</v>
      </c>
      <c r="F11" s="35">
        <v>45693</v>
      </c>
      <c r="G11" s="2">
        <v>284750</v>
      </c>
      <c r="H11" s="2">
        <v>20</v>
      </c>
      <c r="I11" s="2">
        <f t="shared" si="0"/>
        <v>5695000</v>
      </c>
      <c r="J11" s="3">
        <v>0.13</v>
      </c>
      <c r="K11" s="36">
        <f t="shared" si="1"/>
        <v>740350</v>
      </c>
    </row>
    <row r="12" spans="2:11">
      <c r="B12" s="34" t="s">
        <v>18</v>
      </c>
      <c r="C12" s="34" t="s">
        <v>23</v>
      </c>
      <c r="D12" s="34" t="s">
        <v>27</v>
      </c>
      <c r="E12" s="35">
        <v>45565</v>
      </c>
      <c r="F12" s="35">
        <v>45665</v>
      </c>
      <c r="G12" s="2">
        <v>114500</v>
      </c>
      <c r="H12" s="2">
        <v>3</v>
      </c>
      <c r="I12" s="2">
        <f t="shared" si="0"/>
        <v>343500</v>
      </c>
      <c r="J12" s="3">
        <v>0.2</v>
      </c>
      <c r="K12" s="36">
        <f t="shared" si="1"/>
        <v>68700</v>
      </c>
    </row>
    <row r="13" spans="2:11">
      <c r="B13" s="34" t="s">
        <v>18</v>
      </c>
      <c r="C13" s="34" t="s">
        <v>11</v>
      </c>
      <c r="D13" s="34" t="s">
        <v>27</v>
      </c>
      <c r="E13" s="35">
        <v>45561</v>
      </c>
      <c r="F13" s="35">
        <v>45659</v>
      </c>
      <c r="G13" s="2">
        <v>114500</v>
      </c>
      <c r="H13" s="2">
        <v>2</v>
      </c>
      <c r="I13" s="2">
        <f t="shared" si="0"/>
        <v>229000</v>
      </c>
      <c r="J13" s="3">
        <v>0.2</v>
      </c>
      <c r="K13" s="36">
        <f t="shared" si="1"/>
        <v>45800</v>
      </c>
    </row>
    <row r="14" spans="2:11">
      <c r="B14" s="34" t="s">
        <v>16</v>
      </c>
      <c r="C14" s="34" t="s">
        <v>11</v>
      </c>
      <c r="D14" s="34" t="s">
        <v>28</v>
      </c>
      <c r="E14" s="35">
        <v>45556</v>
      </c>
      <c r="F14" s="35">
        <v>45721</v>
      </c>
      <c r="G14" s="2">
        <v>108500</v>
      </c>
      <c r="H14" s="2">
        <v>11</v>
      </c>
      <c r="I14" s="2">
        <f t="shared" si="0"/>
        <v>1193500</v>
      </c>
      <c r="J14" s="3">
        <v>0.35</v>
      </c>
      <c r="K14" s="36">
        <f t="shared" si="1"/>
        <v>417725</v>
      </c>
    </row>
    <row r="15" spans="2:11">
      <c r="B15" s="34" t="s">
        <v>21</v>
      </c>
      <c r="C15" s="34" t="s">
        <v>11</v>
      </c>
      <c r="D15" s="34" t="s">
        <v>29</v>
      </c>
      <c r="E15" s="35">
        <v>45552</v>
      </c>
      <c r="F15" s="35">
        <v>45853</v>
      </c>
      <c r="G15" s="2">
        <v>234750</v>
      </c>
      <c r="H15" s="2">
        <v>7</v>
      </c>
      <c r="I15" s="2">
        <f t="shared" si="0"/>
        <v>1643250</v>
      </c>
      <c r="J15" s="3">
        <v>0.15</v>
      </c>
      <c r="K15" s="36">
        <f t="shared" si="1"/>
        <v>246487.5</v>
      </c>
    </row>
    <row r="16" spans="2:11">
      <c r="B16" s="34" t="s">
        <v>21</v>
      </c>
      <c r="C16" s="34" t="s">
        <v>14</v>
      </c>
      <c r="D16" s="34" t="s">
        <v>30</v>
      </c>
      <c r="E16" s="35">
        <v>45555</v>
      </c>
      <c r="F16" s="35">
        <v>45849</v>
      </c>
      <c r="G16" s="2">
        <v>284750</v>
      </c>
      <c r="H16" s="2">
        <v>6</v>
      </c>
      <c r="I16" s="2">
        <f t="shared" si="0"/>
        <v>1708500</v>
      </c>
      <c r="J16" s="3">
        <v>0.17</v>
      </c>
      <c r="K16" s="36">
        <f t="shared" si="1"/>
        <v>290445</v>
      </c>
    </row>
    <row r="17" spans="2:11">
      <c r="B17" s="34" t="s">
        <v>16</v>
      </c>
      <c r="C17" s="34" t="s">
        <v>14</v>
      </c>
      <c r="D17" s="34" t="s">
        <v>31</v>
      </c>
      <c r="E17" s="35">
        <v>45547</v>
      </c>
      <c r="F17" s="35">
        <v>45752</v>
      </c>
      <c r="G17" s="2">
        <v>108500</v>
      </c>
      <c r="H17" s="2">
        <v>22</v>
      </c>
      <c r="I17" s="2">
        <f t="shared" si="0"/>
        <v>2387000</v>
      </c>
      <c r="J17" s="3">
        <v>0.25</v>
      </c>
      <c r="K17" s="36">
        <f t="shared" si="1"/>
        <v>596750</v>
      </c>
    </row>
    <row r="18" spans="2:11">
      <c r="B18" s="34" t="s">
        <v>10</v>
      </c>
      <c r="C18" s="34" t="s">
        <v>14</v>
      </c>
      <c r="D18" s="34" t="s">
        <v>32</v>
      </c>
      <c r="E18" s="35">
        <v>45558</v>
      </c>
      <c r="F18" s="35">
        <v>45780</v>
      </c>
      <c r="G18" s="2">
        <v>117500</v>
      </c>
      <c r="H18" s="2">
        <v>1</v>
      </c>
      <c r="I18" s="2">
        <f t="shared" si="0"/>
        <v>117500</v>
      </c>
      <c r="J18" s="3">
        <v>0.3</v>
      </c>
      <c r="K18" s="36">
        <f t="shared" si="1"/>
        <v>35250</v>
      </c>
    </row>
    <row r="19" spans="2:11">
      <c r="B19" s="34" t="s">
        <v>13</v>
      </c>
      <c r="C19" s="34" t="s">
        <v>14</v>
      </c>
      <c r="D19" s="34" t="s">
        <v>33</v>
      </c>
      <c r="E19" s="35">
        <v>45564</v>
      </c>
      <c r="F19" s="35">
        <v>45754</v>
      </c>
      <c r="G19" s="2">
        <v>111278</v>
      </c>
      <c r="H19" s="2">
        <v>11</v>
      </c>
      <c r="I19" s="2">
        <f t="shared" si="0"/>
        <v>1224058</v>
      </c>
      <c r="J19" s="3">
        <v>0.28000000000000003</v>
      </c>
      <c r="K19" s="36">
        <f t="shared" si="1"/>
        <v>342736.24000000005</v>
      </c>
    </row>
    <row r="20" spans="2:11">
      <c r="B20" s="34" t="s">
        <v>13</v>
      </c>
      <c r="C20" s="34" t="s">
        <v>11</v>
      </c>
      <c r="D20" s="34" t="s">
        <v>34</v>
      </c>
      <c r="E20" s="35">
        <v>45567</v>
      </c>
      <c r="F20" s="35">
        <v>45700</v>
      </c>
      <c r="G20" s="2">
        <v>111278</v>
      </c>
      <c r="H20" s="2">
        <v>2</v>
      </c>
      <c r="I20" s="2">
        <f t="shared" si="0"/>
        <v>222556</v>
      </c>
      <c r="J20" s="3">
        <v>0.1</v>
      </c>
      <c r="K20" s="36">
        <f t="shared" si="1"/>
        <v>22255.600000000002</v>
      </c>
    </row>
    <row r="21" spans="2:11">
      <c r="B21" s="34" t="s">
        <v>16</v>
      </c>
      <c r="C21" s="34" t="s">
        <v>23</v>
      </c>
      <c r="D21" s="34" t="s">
        <v>35</v>
      </c>
      <c r="E21" s="35">
        <v>45570</v>
      </c>
      <c r="F21" s="35">
        <v>45817</v>
      </c>
      <c r="G21" s="2">
        <v>258500</v>
      </c>
      <c r="H21" s="2">
        <v>21</v>
      </c>
      <c r="I21" s="2">
        <f t="shared" si="0"/>
        <v>5428500</v>
      </c>
      <c r="J21" s="3">
        <v>0.3</v>
      </c>
      <c r="K21" s="36">
        <f t="shared" si="1"/>
        <v>1628550</v>
      </c>
    </row>
    <row r="22" spans="2:11">
      <c r="B22" s="34" t="s">
        <v>16</v>
      </c>
      <c r="C22" s="34" t="s">
        <v>23</v>
      </c>
      <c r="D22" s="34" t="s">
        <v>36</v>
      </c>
      <c r="E22" s="35">
        <v>45573</v>
      </c>
      <c r="F22" s="35">
        <v>45846</v>
      </c>
      <c r="G22" s="2">
        <v>108500</v>
      </c>
      <c r="H22" s="2">
        <v>10</v>
      </c>
      <c r="I22" s="2">
        <f t="shared" si="0"/>
        <v>1085000</v>
      </c>
      <c r="J22" s="3">
        <v>0.2</v>
      </c>
      <c r="K22" s="36">
        <f t="shared" si="1"/>
        <v>217000</v>
      </c>
    </row>
    <row r="23" spans="2:11">
      <c r="B23" s="34" t="s">
        <v>10</v>
      </c>
      <c r="C23" s="34" t="s">
        <v>23</v>
      </c>
      <c r="D23" s="34" t="s">
        <v>37</v>
      </c>
      <c r="E23" s="35">
        <v>45574</v>
      </c>
      <c r="F23" s="35">
        <v>45788</v>
      </c>
      <c r="G23" s="2">
        <v>217500</v>
      </c>
      <c r="H23" s="2">
        <v>4</v>
      </c>
      <c r="I23" s="2">
        <f t="shared" si="0"/>
        <v>870000</v>
      </c>
      <c r="J23" s="3">
        <v>0.3</v>
      </c>
      <c r="K23" s="36">
        <f t="shared" si="1"/>
        <v>261000</v>
      </c>
    </row>
    <row r="24" spans="2:11">
      <c r="B24" s="34" t="s">
        <v>38</v>
      </c>
      <c r="C24" s="34" t="s">
        <v>23</v>
      </c>
      <c r="D24" s="34" t="s">
        <v>39</v>
      </c>
      <c r="E24" s="35">
        <v>45575</v>
      </c>
      <c r="F24" s="35">
        <v>45846</v>
      </c>
      <c r="G24" s="2">
        <v>134750</v>
      </c>
      <c r="H24" s="2">
        <v>8</v>
      </c>
      <c r="I24" s="2">
        <f t="shared" si="0"/>
        <v>1078000</v>
      </c>
      <c r="J24" s="3">
        <v>0.2</v>
      </c>
      <c r="K24" s="36">
        <f t="shared" si="1"/>
        <v>215600</v>
      </c>
    </row>
    <row r="25" spans="2:11">
      <c r="B25" s="34" t="s">
        <v>40</v>
      </c>
      <c r="C25" s="34" t="s">
        <v>11</v>
      </c>
      <c r="D25" s="34" t="s">
        <v>41</v>
      </c>
      <c r="E25" s="35">
        <v>45576</v>
      </c>
      <c r="F25" s="35">
        <v>45817</v>
      </c>
      <c r="G25" s="2">
        <v>267500</v>
      </c>
      <c r="H25" s="2">
        <v>7</v>
      </c>
      <c r="I25" s="2">
        <f t="shared" si="0"/>
        <v>1872500</v>
      </c>
      <c r="J25" s="3">
        <v>0.2</v>
      </c>
      <c r="K25" s="36">
        <f t="shared" si="1"/>
        <v>374500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EEF31-A8DB-4749-8B75-0CE513ED36B1}">
  <sheetPr codeName="Sheet4"/>
  <dimension ref="A1:N29"/>
  <sheetViews>
    <sheetView workbookViewId="0"/>
  </sheetViews>
  <sheetFormatPr defaultRowHeight="17"/>
  <cols>
    <col min="2" max="2" width="12.5" customWidth="1"/>
    <col min="3" max="3" width="12.1640625" customWidth="1"/>
    <col min="4" max="4" width="12.6640625" customWidth="1"/>
    <col min="5" max="5" width="10.1640625" customWidth="1"/>
    <col min="7" max="7" width="18.4140625" customWidth="1"/>
    <col min="8" max="8" width="10.5" customWidth="1"/>
    <col min="9" max="9" width="2.58203125" customWidth="1"/>
    <col min="10" max="10" width="18.1640625" customWidth="1"/>
    <col min="11" max="13" width="10.58203125" customWidth="1"/>
  </cols>
  <sheetData>
    <row r="1" spans="1:14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</row>
    <row r="2" spans="1:14">
      <c r="A2" s="38" t="s">
        <v>42</v>
      </c>
      <c r="B2" s="38" t="s">
        <v>2</v>
      </c>
      <c r="C2" s="38" t="s">
        <v>1</v>
      </c>
      <c r="D2" s="38" t="s">
        <v>4</v>
      </c>
      <c r="E2" s="38" t="s">
        <v>122</v>
      </c>
      <c r="F2" s="38" t="s">
        <v>123</v>
      </c>
      <c r="G2" s="39" t="s">
        <v>124</v>
      </c>
      <c r="H2" s="39" t="s">
        <v>43</v>
      </c>
      <c r="I2" s="37"/>
      <c r="J2" s="37" t="s">
        <v>125</v>
      </c>
      <c r="K2" s="4"/>
      <c r="L2" s="37"/>
      <c r="M2" s="37"/>
      <c r="N2" s="37"/>
    </row>
    <row r="3" spans="1:14">
      <c r="A3" s="34" t="s">
        <v>21</v>
      </c>
      <c r="B3" s="34" t="s">
        <v>17</v>
      </c>
      <c r="C3" s="8" t="s">
        <v>14</v>
      </c>
      <c r="D3" s="5">
        <v>45666</v>
      </c>
      <c r="E3" s="7">
        <v>10</v>
      </c>
      <c r="F3" s="6">
        <v>3</v>
      </c>
      <c r="G3" s="40"/>
      <c r="H3" s="41"/>
      <c r="I3" s="37"/>
      <c r="J3" s="38" t="s">
        <v>2</v>
      </c>
      <c r="K3" s="39" t="s">
        <v>14</v>
      </c>
      <c r="L3" s="39" t="s">
        <v>11</v>
      </c>
      <c r="M3" s="39" t="s">
        <v>23</v>
      </c>
      <c r="N3" s="37"/>
    </row>
    <row r="4" spans="1:14">
      <c r="A4" s="34" t="s">
        <v>16</v>
      </c>
      <c r="B4" s="34" t="s">
        <v>12</v>
      </c>
      <c r="C4" s="8" t="s">
        <v>45</v>
      </c>
      <c r="D4" s="5">
        <v>45689</v>
      </c>
      <c r="E4" s="7">
        <v>50</v>
      </c>
      <c r="F4" s="6">
        <v>54</v>
      </c>
      <c r="G4" s="40"/>
      <c r="H4" s="41"/>
      <c r="I4" s="37"/>
      <c r="J4" s="42" t="s">
        <v>15</v>
      </c>
      <c r="K4" s="7"/>
      <c r="L4" s="7"/>
      <c r="M4" s="7"/>
      <c r="N4" s="37"/>
    </row>
    <row r="5" spans="1:14">
      <c r="A5" s="34" t="s">
        <v>18</v>
      </c>
      <c r="B5" s="34" t="s">
        <v>15</v>
      </c>
      <c r="C5" s="8" t="s">
        <v>23</v>
      </c>
      <c r="D5" s="5">
        <v>45782</v>
      </c>
      <c r="E5" s="7">
        <v>20</v>
      </c>
      <c r="F5" s="6">
        <v>18</v>
      </c>
      <c r="G5" s="40"/>
      <c r="H5" s="41"/>
      <c r="I5" s="37"/>
      <c r="J5" s="42" t="s">
        <v>22</v>
      </c>
      <c r="K5" s="7"/>
      <c r="L5" s="7"/>
      <c r="M5" s="7"/>
      <c r="N5" s="37"/>
    </row>
    <row r="6" spans="1:14">
      <c r="A6" s="34" t="s">
        <v>16</v>
      </c>
      <c r="B6" s="34" t="s">
        <v>19</v>
      </c>
      <c r="C6" s="8" t="s">
        <v>23</v>
      </c>
      <c r="D6" s="5">
        <v>45700</v>
      </c>
      <c r="E6" s="7">
        <v>20</v>
      </c>
      <c r="F6" s="6">
        <v>24</v>
      </c>
      <c r="G6" s="40"/>
      <c r="H6" s="41"/>
      <c r="I6" s="37"/>
      <c r="J6" s="42" t="s">
        <v>17</v>
      </c>
      <c r="K6" s="7"/>
      <c r="L6" s="7"/>
      <c r="M6" s="7"/>
      <c r="N6" s="37"/>
    </row>
    <row r="7" spans="1:14">
      <c r="A7" s="34" t="s">
        <v>46</v>
      </c>
      <c r="B7" s="34" t="s">
        <v>19</v>
      </c>
      <c r="C7" s="8" t="s">
        <v>14</v>
      </c>
      <c r="D7" s="5">
        <v>45740</v>
      </c>
      <c r="E7" s="7">
        <v>10</v>
      </c>
      <c r="F7" s="6">
        <v>7</v>
      </c>
      <c r="G7" s="40"/>
      <c r="H7" s="41"/>
      <c r="I7" s="37"/>
      <c r="J7" s="42" t="s">
        <v>19</v>
      </c>
      <c r="K7" s="7"/>
      <c r="L7" s="7"/>
      <c r="M7" s="7"/>
      <c r="N7" s="37"/>
    </row>
    <row r="8" spans="1:14">
      <c r="A8" s="34" t="s">
        <v>47</v>
      </c>
      <c r="B8" s="34" t="s">
        <v>17</v>
      </c>
      <c r="C8" s="8" t="s">
        <v>45</v>
      </c>
      <c r="D8" s="5">
        <v>45810</v>
      </c>
      <c r="E8" s="7">
        <v>50</v>
      </c>
      <c r="F8" s="6">
        <v>52</v>
      </c>
      <c r="G8" s="40"/>
      <c r="H8" s="41"/>
      <c r="I8" s="37"/>
      <c r="L8" s="37"/>
      <c r="M8" s="37"/>
      <c r="N8" s="37"/>
    </row>
    <row r="9" spans="1:14">
      <c r="A9" s="34" t="s">
        <v>21</v>
      </c>
      <c r="B9" s="34" t="s">
        <v>15</v>
      </c>
      <c r="C9" s="8" t="s">
        <v>14</v>
      </c>
      <c r="D9" s="5">
        <v>45843</v>
      </c>
      <c r="E9" s="7">
        <v>20</v>
      </c>
      <c r="F9" s="6">
        <v>28</v>
      </c>
      <c r="G9" s="40"/>
      <c r="H9" s="41"/>
      <c r="I9" s="37"/>
      <c r="L9" s="37"/>
      <c r="M9" s="37"/>
      <c r="N9" s="37"/>
    </row>
    <row r="10" spans="1:14">
      <c r="A10" s="34" t="s">
        <v>38</v>
      </c>
      <c r="B10" s="34" t="s">
        <v>19</v>
      </c>
      <c r="C10" s="41" t="s">
        <v>126</v>
      </c>
      <c r="D10" s="5">
        <v>45721</v>
      </c>
      <c r="E10" s="7">
        <v>20</v>
      </c>
      <c r="F10" s="6">
        <v>25</v>
      </c>
      <c r="G10" s="40"/>
      <c r="H10" s="41"/>
      <c r="I10" s="37"/>
      <c r="L10" s="37"/>
      <c r="M10" s="37"/>
      <c r="N10" s="37"/>
    </row>
    <row r="11" spans="1:14">
      <c r="A11" s="34" t="s">
        <v>21</v>
      </c>
      <c r="B11" s="34" t="s">
        <v>15</v>
      </c>
      <c r="C11" s="8" t="s">
        <v>23</v>
      </c>
      <c r="D11" s="5">
        <v>45876</v>
      </c>
      <c r="E11" s="7">
        <v>30</v>
      </c>
      <c r="F11" s="6">
        <v>26</v>
      </c>
      <c r="G11" s="40"/>
      <c r="H11" s="41"/>
      <c r="I11" s="37"/>
      <c r="J11" s="37"/>
      <c r="K11" s="9"/>
      <c r="L11" s="37"/>
      <c r="M11" s="37"/>
      <c r="N11" s="37"/>
    </row>
    <row r="12" spans="1:14">
      <c r="A12" s="34" t="s">
        <v>13</v>
      </c>
      <c r="B12" s="34" t="s">
        <v>15</v>
      </c>
      <c r="C12" s="8" t="s">
        <v>45</v>
      </c>
      <c r="D12" s="5">
        <v>45755</v>
      </c>
      <c r="E12" s="7">
        <v>10</v>
      </c>
      <c r="F12" s="6">
        <v>4</v>
      </c>
      <c r="G12" s="40"/>
      <c r="H12" s="41"/>
      <c r="I12" s="37"/>
      <c r="J12" s="37"/>
      <c r="K12" s="9"/>
      <c r="L12" s="37"/>
      <c r="M12" s="37"/>
      <c r="N12" s="37"/>
    </row>
    <row r="13" spans="1:14">
      <c r="A13" s="34" t="s">
        <v>13</v>
      </c>
      <c r="B13" s="34" t="s">
        <v>22</v>
      </c>
      <c r="C13" s="8" t="s">
        <v>23</v>
      </c>
      <c r="D13" s="5">
        <v>45756</v>
      </c>
      <c r="E13" s="7">
        <v>30</v>
      </c>
      <c r="F13" s="6">
        <v>28</v>
      </c>
      <c r="G13" s="40"/>
      <c r="H13" s="41"/>
      <c r="I13" s="37"/>
      <c r="J13" s="37"/>
      <c r="K13" s="37"/>
      <c r="L13" s="37"/>
      <c r="M13" s="37"/>
      <c r="N13" s="37"/>
    </row>
    <row r="14" spans="1:14">
      <c r="A14" s="34" t="s">
        <v>16</v>
      </c>
      <c r="B14" s="34" t="s">
        <v>22</v>
      </c>
      <c r="C14" s="8" t="s">
        <v>45</v>
      </c>
      <c r="D14" s="5">
        <v>45699</v>
      </c>
      <c r="E14" s="7">
        <v>50</v>
      </c>
      <c r="F14" s="6">
        <v>45</v>
      </c>
      <c r="G14" s="40"/>
      <c r="H14" s="41"/>
      <c r="I14" s="37"/>
      <c r="J14" s="37" t="s">
        <v>127</v>
      </c>
      <c r="K14" s="37"/>
      <c r="L14" s="37"/>
      <c r="M14" s="37"/>
      <c r="N14" s="37"/>
    </row>
    <row r="15" spans="1:14">
      <c r="A15" s="34" t="s">
        <v>18</v>
      </c>
      <c r="B15" s="34" t="s">
        <v>15</v>
      </c>
      <c r="C15" s="8" t="s">
        <v>45</v>
      </c>
      <c r="D15" s="5">
        <v>45780</v>
      </c>
      <c r="E15" s="7">
        <v>30</v>
      </c>
      <c r="F15" s="6">
        <v>25</v>
      </c>
      <c r="G15" s="40"/>
      <c r="H15" s="41"/>
      <c r="I15" s="37"/>
      <c r="J15" s="10" t="s">
        <v>48</v>
      </c>
      <c r="K15" s="37"/>
      <c r="L15" s="37"/>
      <c r="M15" s="37"/>
      <c r="N15" s="37"/>
    </row>
    <row r="16" spans="1:14">
      <c r="A16" s="34" t="s">
        <v>49</v>
      </c>
      <c r="B16" s="34" t="s">
        <v>22</v>
      </c>
      <c r="C16" s="8" t="s">
        <v>14</v>
      </c>
      <c r="D16" s="5">
        <v>45784</v>
      </c>
      <c r="E16" s="7">
        <v>40</v>
      </c>
      <c r="F16" s="6">
        <v>39</v>
      </c>
      <c r="G16" s="40"/>
      <c r="H16" s="41"/>
      <c r="I16" s="37"/>
      <c r="J16" s="6"/>
      <c r="K16" s="37"/>
      <c r="L16" s="37"/>
      <c r="M16" s="37"/>
      <c r="N16" s="37"/>
    </row>
    <row r="17" spans="1:14">
      <c r="A17" s="34" t="s">
        <v>13</v>
      </c>
      <c r="B17" s="34" t="s">
        <v>17</v>
      </c>
      <c r="C17" s="8" t="s">
        <v>14</v>
      </c>
      <c r="D17" s="5">
        <v>45785</v>
      </c>
      <c r="E17" s="7">
        <v>50</v>
      </c>
      <c r="F17" s="6">
        <v>47</v>
      </c>
      <c r="G17" s="40"/>
      <c r="H17" s="41"/>
      <c r="I17" s="37"/>
      <c r="J17" s="37"/>
      <c r="K17" s="37"/>
      <c r="L17" s="37"/>
      <c r="M17" s="37"/>
      <c r="N17" s="37"/>
    </row>
    <row r="18" spans="1:14">
      <c r="A18" s="34" t="s">
        <v>49</v>
      </c>
      <c r="B18" s="34" t="s">
        <v>12</v>
      </c>
      <c r="C18" s="8" t="s">
        <v>14</v>
      </c>
      <c r="D18" s="5">
        <v>45785</v>
      </c>
      <c r="E18" s="7">
        <v>30</v>
      </c>
      <c r="F18" s="6">
        <v>26</v>
      </c>
      <c r="G18" s="40"/>
      <c r="H18" s="41"/>
      <c r="I18" s="37"/>
      <c r="J18" s="37"/>
      <c r="K18" s="37"/>
      <c r="L18" s="37"/>
      <c r="M18" s="37"/>
      <c r="N18" s="37"/>
    </row>
    <row r="19" spans="1:14">
      <c r="A19" s="34" t="s">
        <v>40</v>
      </c>
      <c r="B19" s="34" t="s">
        <v>17</v>
      </c>
      <c r="C19" s="8" t="s">
        <v>14</v>
      </c>
      <c r="D19" s="5">
        <v>45796</v>
      </c>
      <c r="E19" s="7">
        <v>50</v>
      </c>
      <c r="F19" s="6">
        <v>46</v>
      </c>
      <c r="G19" s="40"/>
      <c r="H19" s="41"/>
      <c r="I19" s="37"/>
      <c r="J19" s="37"/>
      <c r="K19" s="37"/>
      <c r="L19" s="37"/>
      <c r="M19" s="37"/>
      <c r="N19" s="37"/>
    </row>
    <row r="20" spans="1:14">
      <c r="A20" s="34" t="s">
        <v>10</v>
      </c>
      <c r="B20" s="34" t="s">
        <v>17</v>
      </c>
      <c r="C20" s="8" t="s">
        <v>45</v>
      </c>
      <c r="D20" s="5">
        <v>45810</v>
      </c>
      <c r="E20" s="7">
        <v>50</v>
      </c>
      <c r="F20" s="6">
        <v>54</v>
      </c>
      <c r="G20" s="40"/>
      <c r="H20" s="41"/>
      <c r="I20" s="37"/>
      <c r="J20" s="43" t="s">
        <v>50</v>
      </c>
      <c r="K20" s="43"/>
      <c r="L20" s="43"/>
      <c r="M20" s="37"/>
      <c r="N20" s="37"/>
    </row>
    <row r="21" spans="1:14">
      <c r="A21" s="34" t="s">
        <v>49</v>
      </c>
      <c r="B21" s="34" t="s">
        <v>22</v>
      </c>
      <c r="C21" s="8" t="s">
        <v>14</v>
      </c>
      <c r="D21" s="5">
        <v>45810</v>
      </c>
      <c r="E21" s="7">
        <v>50</v>
      </c>
      <c r="F21" s="6">
        <v>46</v>
      </c>
      <c r="G21" s="40"/>
      <c r="H21" s="41"/>
      <c r="I21" s="37"/>
      <c r="J21" s="38" t="s">
        <v>2</v>
      </c>
      <c r="K21" s="39" t="s">
        <v>14</v>
      </c>
      <c r="L21" s="39" t="s">
        <v>11</v>
      </c>
      <c r="M21" s="39" t="s">
        <v>23</v>
      </c>
      <c r="N21" s="37"/>
    </row>
    <row r="22" spans="1:14">
      <c r="A22" s="34" t="s">
        <v>18</v>
      </c>
      <c r="B22" s="34" t="s">
        <v>22</v>
      </c>
      <c r="C22" s="8" t="s">
        <v>45</v>
      </c>
      <c r="D22" s="5">
        <v>45813</v>
      </c>
      <c r="E22" s="7">
        <v>20</v>
      </c>
      <c r="F22" s="6">
        <v>23</v>
      </c>
      <c r="G22" s="40"/>
      <c r="H22" s="41"/>
      <c r="I22" s="37"/>
      <c r="J22" s="42" t="s">
        <v>15</v>
      </c>
      <c r="K22" s="7"/>
      <c r="L22" s="7"/>
      <c r="M22" s="7"/>
      <c r="N22" s="37"/>
    </row>
    <row r="23" spans="1:14">
      <c r="A23" s="34" t="s">
        <v>10</v>
      </c>
      <c r="B23" s="34" t="s">
        <v>17</v>
      </c>
      <c r="C23" s="8" t="s">
        <v>23</v>
      </c>
      <c r="D23" s="5">
        <v>45817</v>
      </c>
      <c r="E23" s="7">
        <v>30</v>
      </c>
      <c r="F23" s="6">
        <v>25</v>
      </c>
      <c r="G23" s="40"/>
      <c r="H23" s="41"/>
      <c r="I23" s="37"/>
      <c r="J23" s="42" t="s">
        <v>22</v>
      </c>
      <c r="K23" s="7"/>
      <c r="L23" s="7"/>
      <c r="M23" s="7"/>
      <c r="N23" s="37"/>
    </row>
    <row r="24" spans="1:14">
      <c r="A24" s="34" t="s">
        <v>13</v>
      </c>
      <c r="B24" s="34" t="s">
        <v>12</v>
      </c>
      <c r="C24" s="8" t="s">
        <v>23</v>
      </c>
      <c r="D24" s="5">
        <v>45817</v>
      </c>
      <c r="E24" s="7">
        <v>30</v>
      </c>
      <c r="F24" s="6">
        <v>26</v>
      </c>
      <c r="G24" s="40"/>
      <c r="H24" s="41"/>
      <c r="I24" s="37"/>
      <c r="J24" s="42" t="s">
        <v>17</v>
      </c>
      <c r="K24" s="7"/>
      <c r="L24" s="7"/>
      <c r="M24" s="7"/>
      <c r="N24" s="37"/>
    </row>
    <row r="25" spans="1:14">
      <c r="A25" s="34" t="s">
        <v>49</v>
      </c>
      <c r="B25" s="34" t="s">
        <v>19</v>
      </c>
      <c r="C25" s="8" t="s">
        <v>23</v>
      </c>
      <c r="D25" s="5">
        <v>45819</v>
      </c>
      <c r="E25" s="7">
        <v>30</v>
      </c>
      <c r="F25" s="6">
        <v>34</v>
      </c>
      <c r="G25" s="40"/>
      <c r="H25" s="41"/>
      <c r="I25" s="37"/>
      <c r="J25" s="42" t="s">
        <v>19</v>
      </c>
      <c r="K25" s="7"/>
      <c r="L25" s="7"/>
      <c r="M25" s="7"/>
      <c r="N25" s="37"/>
    </row>
    <row r="26" spans="1:14">
      <c r="A26" s="34" t="s">
        <v>16</v>
      </c>
      <c r="B26" s="34" t="s">
        <v>22</v>
      </c>
      <c r="C26" s="8" t="s">
        <v>45</v>
      </c>
      <c r="D26" s="5">
        <v>45846</v>
      </c>
      <c r="E26" s="7">
        <v>20</v>
      </c>
      <c r="F26" s="6">
        <v>27</v>
      </c>
      <c r="G26" s="40"/>
      <c r="H26" s="41"/>
      <c r="I26" s="37"/>
      <c r="J26" s="23"/>
      <c r="K26" s="37"/>
      <c r="L26" s="37"/>
      <c r="M26" s="37"/>
      <c r="N26" s="37"/>
    </row>
    <row r="27" spans="1:14">
      <c r="A27" s="34" t="s">
        <v>21</v>
      </c>
      <c r="B27" s="34" t="s">
        <v>17</v>
      </c>
      <c r="C27" s="8" t="s">
        <v>45</v>
      </c>
      <c r="D27" s="5">
        <v>45853</v>
      </c>
      <c r="E27" s="7">
        <v>30</v>
      </c>
      <c r="F27" s="6">
        <v>24</v>
      </c>
      <c r="G27" s="40"/>
      <c r="H27" s="41"/>
      <c r="I27" s="37"/>
      <c r="J27" s="37"/>
      <c r="K27" s="37"/>
      <c r="L27" s="37"/>
      <c r="M27" s="37"/>
      <c r="N27" s="37"/>
    </row>
    <row r="28" spans="1:14">
      <c r="A28" s="34" t="s">
        <v>40</v>
      </c>
      <c r="B28" s="34" t="s">
        <v>15</v>
      </c>
      <c r="C28" s="8" t="s">
        <v>45</v>
      </c>
      <c r="D28" s="5">
        <v>45883</v>
      </c>
      <c r="E28" s="7">
        <v>30</v>
      </c>
      <c r="F28" s="6">
        <v>25</v>
      </c>
      <c r="G28" s="40"/>
      <c r="H28" s="41"/>
      <c r="I28" s="37"/>
      <c r="J28" s="37"/>
      <c r="K28" s="37"/>
      <c r="L28" s="37"/>
      <c r="M28" s="37"/>
      <c r="N28" s="37"/>
    </row>
    <row r="29" spans="1:14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</row>
  </sheetData>
  <mergeCells count="1">
    <mergeCell ref="J20:L20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workbookViewId="0"/>
  </sheetViews>
  <sheetFormatPr defaultRowHeight="17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40"/>
  <sheetViews>
    <sheetView workbookViewId="0"/>
  </sheetViews>
  <sheetFormatPr defaultRowHeight="17"/>
  <cols>
    <col min="1" max="1" width="10.4140625" bestFit="1" customWidth="1"/>
    <col min="2" max="2" width="10.75" bestFit="1" customWidth="1"/>
    <col min="5" max="5" width="10.58203125" bestFit="1" customWidth="1"/>
    <col min="7" max="7" width="10.58203125" bestFit="1" customWidth="1"/>
  </cols>
  <sheetData>
    <row r="1" spans="1:7">
      <c r="A1" t="s">
        <v>105</v>
      </c>
    </row>
    <row r="2" spans="1:7">
      <c r="A2" s="12" t="s">
        <v>104</v>
      </c>
      <c r="B2" s="13" t="s">
        <v>4</v>
      </c>
      <c r="C2" s="14" t="s">
        <v>5</v>
      </c>
      <c r="D2" s="12" t="s">
        <v>6</v>
      </c>
      <c r="E2" s="14" t="s">
        <v>7</v>
      </c>
      <c r="F2" s="12" t="s">
        <v>8</v>
      </c>
      <c r="G2" s="14" t="s">
        <v>9</v>
      </c>
    </row>
    <row r="3" spans="1:7">
      <c r="A3" s="12" t="s">
        <v>51</v>
      </c>
      <c r="B3" s="13">
        <v>44714</v>
      </c>
      <c r="C3" s="14">
        <v>267500</v>
      </c>
      <c r="D3" s="12">
        <v>3</v>
      </c>
      <c r="E3" s="14">
        <v>802500</v>
      </c>
      <c r="F3" s="15">
        <v>0.2</v>
      </c>
      <c r="G3" s="14">
        <v>160500</v>
      </c>
    </row>
    <row r="4" spans="1:7">
      <c r="A4" s="12" t="s">
        <v>52</v>
      </c>
      <c r="B4" s="13">
        <v>44721</v>
      </c>
      <c r="C4" s="14">
        <v>111278</v>
      </c>
      <c r="D4" s="12">
        <v>4</v>
      </c>
      <c r="E4" s="14">
        <v>445112</v>
      </c>
      <c r="F4" s="15">
        <v>0.22</v>
      </c>
      <c r="G4" s="14">
        <v>97924.64</v>
      </c>
    </row>
    <row r="5" spans="1:7">
      <c r="A5" s="12" t="s">
        <v>53</v>
      </c>
      <c r="B5" s="13">
        <v>44689</v>
      </c>
      <c r="C5" s="14">
        <v>108500</v>
      </c>
      <c r="D5" s="12">
        <v>18</v>
      </c>
      <c r="E5" s="14">
        <v>1953000</v>
      </c>
      <c r="F5" s="15">
        <v>0.3</v>
      </c>
      <c r="G5" s="14">
        <v>585900</v>
      </c>
    </row>
    <row r="6" spans="1:7">
      <c r="A6" s="12" t="s">
        <v>54</v>
      </c>
      <c r="B6" s="13">
        <v>44595</v>
      </c>
      <c r="C6" s="14">
        <v>114500</v>
      </c>
      <c r="D6" s="12">
        <v>15</v>
      </c>
      <c r="E6" s="14">
        <v>1717500</v>
      </c>
      <c r="F6" s="15">
        <v>0.2</v>
      </c>
      <c r="G6" s="14">
        <v>343500</v>
      </c>
    </row>
    <row r="7" spans="1:7">
      <c r="A7" s="12" t="s">
        <v>55</v>
      </c>
      <c r="B7" s="13">
        <v>44593</v>
      </c>
      <c r="C7" s="14">
        <v>211278</v>
      </c>
      <c r="D7" s="12">
        <v>8</v>
      </c>
      <c r="E7" s="14">
        <v>1690224</v>
      </c>
      <c r="F7" s="15">
        <v>0.23</v>
      </c>
      <c r="G7" s="14">
        <v>388751.52</v>
      </c>
    </row>
    <row r="8" spans="1:7">
      <c r="A8" s="12" t="s">
        <v>56</v>
      </c>
      <c r="B8" s="13">
        <v>44624</v>
      </c>
      <c r="C8" s="14">
        <v>134750</v>
      </c>
      <c r="D8" s="12">
        <v>15</v>
      </c>
      <c r="E8" s="14">
        <v>2021250</v>
      </c>
      <c r="F8" s="15">
        <v>0.17</v>
      </c>
      <c r="G8" s="14">
        <v>343612.5</v>
      </c>
    </row>
    <row r="9" spans="1:7">
      <c r="A9" s="12" t="s">
        <v>57</v>
      </c>
      <c r="B9" s="13">
        <v>44570</v>
      </c>
      <c r="C9" s="14">
        <v>111278</v>
      </c>
      <c r="D9" s="12">
        <v>15</v>
      </c>
      <c r="E9" s="14">
        <v>1669170</v>
      </c>
      <c r="F9" s="15">
        <v>0.32</v>
      </c>
      <c r="G9" s="14">
        <v>534134.4</v>
      </c>
    </row>
    <row r="10" spans="1:7">
      <c r="A10" s="12" t="s">
        <v>58</v>
      </c>
      <c r="B10" s="13">
        <v>44597</v>
      </c>
      <c r="C10" s="14">
        <v>214500</v>
      </c>
      <c r="D10" s="12">
        <v>4</v>
      </c>
      <c r="E10" s="14">
        <v>858000</v>
      </c>
      <c r="F10" s="15">
        <v>0.2</v>
      </c>
      <c r="G10" s="14">
        <v>171600</v>
      </c>
    </row>
    <row r="11" spans="1:7">
      <c r="A11" s="12" t="s">
        <v>59</v>
      </c>
      <c r="B11" s="13">
        <v>44597</v>
      </c>
      <c r="C11" s="14">
        <v>284750</v>
      </c>
      <c r="D11" s="12">
        <v>20</v>
      </c>
      <c r="E11" s="14">
        <v>5695000</v>
      </c>
      <c r="F11" s="15">
        <v>0.13</v>
      </c>
      <c r="G11" s="14">
        <v>740350</v>
      </c>
    </row>
    <row r="12" spans="1:7">
      <c r="A12" s="12" t="s">
        <v>60</v>
      </c>
      <c r="B12" s="13">
        <v>44569</v>
      </c>
      <c r="C12" s="14">
        <v>114500</v>
      </c>
      <c r="D12" s="12">
        <v>3</v>
      </c>
      <c r="E12" s="14">
        <v>343500</v>
      </c>
      <c r="F12" s="15">
        <v>0.2</v>
      </c>
      <c r="G12" s="14">
        <v>68700</v>
      </c>
    </row>
    <row r="13" spans="1:7">
      <c r="A13" s="12" t="s">
        <v>60</v>
      </c>
      <c r="B13" s="13">
        <v>44563</v>
      </c>
      <c r="C13" s="14">
        <v>114500</v>
      </c>
      <c r="D13" s="12">
        <v>2</v>
      </c>
      <c r="E13" s="14">
        <v>229000</v>
      </c>
      <c r="F13" s="15">
        <v>0.2</v>
      </c>
      <c r="G13" s="14">
        <v>45800</v>
      </c>
    </row>
    <row r="14" spans="1:7">
      <c r="A14" s="12" t="s">
        <v>61</v>
      </c>
      <c r="B14" s="13">
        <v>44625</v>
      </c>
      <c r="C14" s="14">
        <v>108500</v>
      </c>
      <c r="D14" s="12">
        <v>11</v>
      </c>
      <c r="E14" s="14">
        <v>1193500</v>
      </c>
      <c r="F14" s="15">
        <v>0.35000000000000003</v>
      </c>
      <c r="G14" s="14">
        <v>417725</v>
      </c>
    </row>
    <row r="15" spans="1:7">
      <c r="A15" s="12" t="s">
        <v>62</v>
      </c>
      <c r="B15" s="13">
        <v>44757</v>
      </c>
      <c r="C15" s="14">
        <v>234750</v>
      </c>
      <c r="D15" s="12">
        <v>7</v>
      </c>
      <c r="E15" s="14">
        <v>1643250</v>
      </c>
      <c r="F15" s="15">
        <v>0.15</v>
      </c>
      <c r="G15" s="14">
        <v>246487.5</v>
      </c>
    </row>
    <row r="16" spans="1:7">
      <c r="A16" s="12" t="s">
        <v>63</v>
      </c>
      <c r="B16" s="13">
        <v>44753</v>
      </c>
      <c r="C16" s="14">
        <v>284750</v>
      </c>
      <c r="D16" s="12">
        <v>6</v>
      </c>
      <c r="E16" s="14">
        <v>1708500</v>
      </c>
      <c r="F16" s="15">
        <v>0.17</v>
      </c>
      <c r="G16" s="14">
        <v>290445</v>
      </c>
    </row>
    <row r="17" spans="1:7">
      <c r="A17" s="12" t="s">
        <v>64</v>
      </c>
      <c r="B17" s="13">
        <v>44656</v>
      </c>
      <c r="C17" s="14">
        <v>108500</v>
      </c>
      <c r="D17" s="12">
        <v>22</v>
      </c>
      <c r="E17" s="14">
        <v>2387000</v>
      </c>
      <c r="F17" s="15">
        <v>0.25</v>
      </c>
      <c r="G17" s="14">
        <v>596750</v>
      </c>
    </row>
    <row r="18" spans="1:7">
      <c r="A18" s="12" t="s">
        <v>65</v>
      </c>
      <c r="B18" s="13">
        <v>44684</v>
      </c>
      <c r="C18" s="14">
        <v>117500</v>
      </c>
      <c r="D18" s="12">
        <v>1</v>
      </c>
      <c r="E18" s="14">
        <v>117500</v>
      </c>
      <c r="F18" s="15">
        <v>0.3</v>
      </c>
      <c r="G18" s="14">
        <v>35250</v>
      </c>
    </row>
    <row r="19" spans="1:7">
      <c r="A19" s="12" t="s">
        <v>66</v>
      </c>
      <c r="B19" s="13">
        <v>44658</v>
      </c>
      <c r="C19" s="14">
        <v>111278</v>
      </c>
      <c r="D19" s="12">
        <v>11</v>
      </c>
      <c r="E19" s="14">
        <v>1224058</v>
      </c>
      <c r="F19" s="15">
        <v>0.28000000000000003</v>
      </c>
      <c r="G19" s="14">
        <v>342736.24000000005</v>
      </c>
    </row>
    <row r="20" spans="1:7">
      <c r="A20" s="12" t="s">
        <v>67</v>
      </c>
      <c r="B20" s="13">
        <v>44604</v>
      </c>
      <c r="C20" s="14">
        <v>111278</v>
      </c>
      <c r="D20" s="12">
        <v>2</v>
      </c>
      <c r="E20" s="14">
        <v>222556</v>
      </c>
      <c r="F20" s="15">
        <v>0.1</v>
      </c>
      <c r="G20" s="14">
        <v>22255.600000000002</v>
      </c>
    </row>
    <row r="21" spans="1:7">
      <c r="A21" s="12" t="s">
        <v>68</v>
      </c>
      <c r="B21" s="13">
        <v>44721</v>
      </c>
      <c r="C21" s="14">
        <v>258500</v>
      </c>
      <c r="D21" s="12">
        <v>21</v>
      </c>
      <c r="E21" s="14">
        <v>5428500</v>
      </c>
      <c r="F21" s="15">
        <v>0.3</v>
      </c>
      <c r="G21" s="14">
        <v>1628550</v>
      </c>
    </row>
    <row r="22" spans="1:7">
      <c r="A22" s="12" t="s">
        <v>69</v>
      </c>
      <c r="B22" s="13">
        <v>44750</v>
      </c>
      <c r="C22" s="14">
        <v>108500</v>
      </c>
      <c r="D22" s="12">
        <v>10</v>
      </c>
      <c r="E22" s="14">
        <v>1085000</v>
      </c>
      <c r="F22" s="15">
        <v>0.2</v>
      </c>
      <c r="G22" s="14">
        <v>217000</v>
      </c>
    </row>
    <row r="23" spans="1:7">
      <c r="A23" s="12" t="s">
        <v>70</v>
      </c>
      <c r="B23" s="13">
        <v>44692</v>
      </c>
      <c r="C23" s="14">
        <v>217500</v>
      </c>
      <c r="D23" s="12">
        <v>4</v>
      </c>
      <c r="E23" s="14">
        <v>870000</v>
      </c>
      <c r="F23" s="15">
        <v>0.3</v>
      </c>
      <c r="G23" s="14">
        <v>261000</v>
      </c>
    </row>
    <row r="24" spans="1:7">
      <c r="A24" s="12" t="s">
        <v>71</v>
      </c>
      <c r="B24" s="13">
        <v>44750</v>
      </c>
      <c r="C24" s="14">
        <v>134750</v>
      </c>
      <c r="D24" s="12">
        <v>8</v>
      </c>
      <c r="E24" s="14">
        <v>1078000</v>
      </c>
      <c r="F24" s="15">
        <v>0.2</v>
      </c>
      <c r="G24" s="14">
        <v>215600</v>
      </c>
    </row>
    <row r="25" spans="1:7">
      <c r="A25" s="12" t="s">
        <v>72</v>
      </c>
      <c r="B25" s="13">
        <v>44721</v>
      </c>
      <c r="C25" s="14">
        <v>267500</v>
      </c>
      <c r="D25" s="12">
        <v>7</v>
      </c>
      <c r="E25" s="14">
        <v>1872500</v>
      </c>
      <c r="F25" s="15">
        <v>0.2</v>
      </c>
      <c r="G25" s="14">
        <v>374500</v>
      </c>
    </row>
    <row r="26" spans="1:7">
      <c r="A26" s="12" t="s">
        <v>73</v>
      </c>
      <c r="B26" s="13">
        <v>44656</v>
      </c>
      <c r="C26" s="14">
        <v>111278</v>
      </c>
      <c r="D26" s="12">
        <v>3</v>
      </c>
      <c r="E26" s="14">
        <v>333834</v>
      </c>
      <c r="F26" s="15">
        <v>0.15</v>
      </c>
      <c r="G26" s="14">
        <v>50075.1</v>
      </c>
    </row>
    <row r="27" spans="1:7">
      <c r="A27" s="12" t="s">
        <v>74</v>
      </c>
      <c r="B27" s="13">
        <v>44624</v>
      </c>
      <c r="C27" s="14">
        <v>114500</v>
      </c>
      <c r="D27" s="12">
        <v>9</v>
      </c>
      <c r="E27" s="14">
        <v>1030500</v>
      </c>
      <c r="F27" s="15">
        <v>0.2</v>
      </c>
      <c r="G27" s="14">
        <v>206100</v>
      </c>
    </row>
    <row r="28" spans="1:7">
      <c r="A28" s="12" t="s">
        <v>75</v>
      </c>
      <c r="B28" s="13">
        <v>44700</v>
      </c>
      <c r="C28" s="14">
        <v>222500</v>
      </c>
      <c r="D28" s="12">
        <v>21</v>
      </c>
      <c r="E28" s="14">
        <v>4672500</v>
      </c>
      <c r="F28" s="15">
        <v>0.4</v>
      </c>
      <c r="G28" s="14">
        <v>1869000</v>
      </c>
    </row>
    <row r="29" spans="1:7">
      <c r="A29" s="12" t="s">
        <v>76</v>
      </c>
      <c r="B29" s="13">
        <v>44780</v>
      </c>
      <c r="C29" s="14">
        <v>217500</v>
      </c>
      <c r="D29" s="12">
        <v>8</v>
      </c>
      <c r="E29" s="14">
        <v>1740000</v>
      </c>
      <c r="F29" s="15">
        <v>0.3</v>
      </c>
      <c r="G29" s="14">
        <v>522000</v>
      </c>
    </row>
    <row r="30" spans="1:7">
      <c r="A30" s="12" t="s">
        <v>77</v>
      </c>
      <c r="B30" s="13">
        <v>44644</v>
      </c>
      <c r="C30" s="14">
        <v>263580</v>
      </c>
      <c r="D30" s="12">
        <v>4</v>
      </c>
      <c r="E30" s="14">
        <v>1054320</v>
      </c>
      <c r="F30" s="15">
        <v>0.05</v>
      </c>
      <c r="G30" s="14">
        <v>52716</v>
      </c>
    </row>
    <row r="31" spans="1:7">
      <c r="A31" s="12" t="s">
        <v>78</v>
      </c>
      <c r="B31" s="13">
        <v>44750</v>
      </c>
      <c r="C31" s="14">
        <v>122500</v>
      </c>
      <c r="D31" s="12">
        <v>10</v>
      </c>
      <c r="E31" s="14">
        <v>1225000</v>
      </c>
      <c r="F31" s="15">
        <v>0.25</v>
      </c>
      <c r="G31" s="14">
        <v>306250</v>
      </c>
    </row>
    <row r="32" spans="1:7">
      <c r="A32" s="12" t="s">
        <v>79</v>
      </c>
      <c r="B32" s="13">
        <v>44719</v>
      </c>
      <c r="C32" s="14">
        <v>122500</v>
      </c>
      <c r="D32" s="12">
        <v>1</v>
      </c>
      <c r="E32" s="14">
        <v>122500</v>
      </c>
      <c r="F32" s="15">
        <v>0.17</v>
      </c>
      <c r="G32" s="14">
        <v>20825</v>
      </c>
    </row>
    <row r="33" spans="1:7">
      <c r="A33" s="12" t="s">
        <v>80</v>
      </c>
      <c r="B33" s="13">
        <v>44890</v>
      </c>
      <c r="C33" s="14">
        <v>113580</v>
      </c>
      <c r="D33" s="12">
        <v>8</v>
      </c>
      <c r="E33" s="14">
        <v>908640</v>
      </c>
      <c r="F33" s="15">
        <v>7.0000000000000007E-2</v>
      </c>
      <c r="G33" s="14">
        <v>63604.800000000003</v>
      </c>
    </row>
    <row r="34" spans="1:7">
      <c r="A34" s="12" t="s">
        <v>81</v>
      </c>
      <c r="B34" s="13">
        <v>44784</v>
      </c>
      <c r="C34" s="14">
        <v>213580</v>
      </c>
      <c r="D34" s="12">
        <v>9</v>
      </c>
      <c r="E34" s="14">
        <v>1922220</v>
      </c>
      <c r="F34" s="15">
        <v>0.03</v>
      </c>
      <c r="G34" s="14">
        <v>57666.6</v>
      </c>
    </row>
    <row r="35" spans="1:7">
      <c r="A35" s="12" t="s">
        <v>82</v>
      </c>
      <c r="B35" s="13">
        <v>44781</v>
      </c>
      <c r="C35" s="14">
        <v>108500</v>
      </c>
      <c r="D35" s="12">
        <v>9</v>
      </c>
      <c r="E35" s="14">
        <v>976500</v>
      </c>
      <c r="F35" s="15">
        <v>0.25</v>
      </c>
      <c r="G35" s="14">
        <v>244125</v>
      </c>
    </row>
    <row r="36" spans="1:7">
      <c r="A36" s="12" t="s">
        <v>83</v>
      </c>
      <c r="B36" s="13">
        <v>44622</v>
      </c>
      <c r="C36" s="14">
        <v>272500</v>
      </c>
      <c r="D36" s="12">
        <v>17</v>
      </c>
      <c r="E36" s="14">
        <v>4632500</v>
      </c>
      <c r="F36" s="15">
        <v>0.1</v>
      </c>
      <c r="G36" s="14">
        <v>463250</v>
      </c>
    </row>
    <row r="37" spans="1:7">
      <c r="A37" s="12" t="s">
        <v>84</v>
      </c>
      <c r="B37" s="13">
        <v>44787</v>
      </c>
      <c r="C37" s="14">
        <v>113580</v>
      </c>
      <c r="D37" s="12">
        <v>12</v>
      </c>
      <c r="E37" s="14">
        <v>1362960</v>
      </c>
      <c r="F37" s="15">
        <v>0.12</v>
      </c>
      <c r="G37" s="14">
        <v>163555.19999999998</v>
      </c>
    </row>
    <row r="38" spans="1:7">
      <c r="A38" s="12" t="s">
        <v>85</v>
      </c>
      <c r="B38" s="13">
        <v>44563</v>
      </c>
      <c r="C38" s="14">
        <v>234750</v>
      </c>
      <c r="D38" s="12">
        <v>19</v>
      </c>
      <c r="E38" s="14">
        <v>4460250</v>
      </c>
      <c r="F38" s="15">
        <v>0.11</v>
      </c>
      <c r="G38" s="14">
        <v>490627.5</v>
      </c>
    </row>
    <row r="39" spans="1:7">
      <c r="A39" s="12" t="s">
        <v>86</v>
      </c>
      <c r="B39" s="13">
        <v>44753</v>
      </c>
      <c r="C39" s="14">
        <v>284750</v>
      </c>
      <c r="D39" s="12">
        <v>9</v>
      </c>
      <c r="E39" s="14">
        <v>2562750</v>
      </c>
      <c r="F39" s="15">
        <v>0.3</v>
      </c>
      <c r="G39" s="14">
        <v>768825</v>
      </c>
    </row>
    <row r="40" spans="1:7">
      <c r="A40" s="12" t="s">
        <v>87</v>
      </c>
      <c r="B40" s="13">
        <v>44806</v>
      </c>
      <c r="C40" s="14">
        <v>217500</v>
      </c>
      <c r="D40" s="12">
        <v>11</v>
      </c>
      <c r="E40" s="14">
        <v>2392500</v>
      </c>
      <c r="F40" s="15">
        <v>0.70000000000000007</v>
      </c>
      <c r="G40" s="14">
        <v>1674750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8"/>
  <sheetViews>
    <sheetView workbookViewId="0">
      <selection sqref="A1:D1"/>
    </sheetView>
  </sheetViews>
  <sheetFormatPr defaultRowHeight="17"/>
  <cols>
    <col min="1" max="1" width="12.08203125" customWidth="1"/>
    <col min="2" max="4" width="21.83203125" customWidth="1"/>
  </cols>
  <sheetData>
    <row r="1" spans="1:4" ht="21">
      <c r="A1" s="44" t="s">
        <v>88</v>
      </c>
      <c r="B1" s="44"/>
      <c r="C1" s="44"/>
      <c r="D1" s="44"/>
    </row>
    <row r="2" spans="1:4" ht="17.5">
      <c r="A2" s="16"/>
      <c r="B2" s="16"/>
      <c r="C2" s="16"/>
      <c r="D2" s="16"/>
    </row>
    <row r="3" spans="1:4">
      <c r="A3" s="17" t="s">
        <v>89</v>
      </c>
      <c r="B3" s="18" t="s">
        <v>90</v>
      </c>
      <c r="C3" s="18" t="s">
        <v>91</v>
      </c>
      <c r="D3" s="18" t="s">
        <v>92</v>
      </c>
    </row>
    <row r="4" spans="1:4">
      <c r="A4" s="17" t="s">
        <v>93</v>
      </c>
      <c r="B4" s="17">
        <v>37200</v>
      </c>
      <c r="C4" s="17">
        <v>33145</v>
      </c>
      <c r="D4" s="17">
        <v>71766</v>
      </c>
    </row>
    <row r="5" spans="1:4">
      <c r="A5" s="17" t="s">
        <v>94</v>
      </c>
      <c r="B5" s="17">
        <v>332601</v>
      </c>
      <c r="C5" s="17">
        <v>78432</v>
      </c>
      <c r="D5" s="17">
        <v>411059</v>
      </c>
    </row>
    <row r="6" spans="1:4">
      <c r="A6" s="17" t="s">
        <v>95</v>
      </c>
      <c r="B6" s="17">
        <v>202235</v>
      </c>
      <c r="C6" s="17">
        <v>104205</v>
      </c>
      <c r="D6" s="17">
        <v>306554</v>
      </c>
    </row>
    <row r="7" spans="1:4">
      <c r="A7" s="17" t="s">
        <v>96</v>
      </c>
      <c r="B7" s="17">
        <v>733539</v>
      </c>
      <c r="C7" s="17">
        <v>115372</v>
      </c>
      <c r="D7" s="17">
        <v>850356</v>
      </c>
    </row>
    <row r="8" spans="1:4">
      <c r="A8" s="17" t="s">
        <v>97</v>
      </c>
      <c r="B8" s="17">
        <v>209384</v>
      </c>
      <c r="C8" s="17">
        <v>257351</v>
      </c>
      <c r="D8" s="17">
        <v>469882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B6:F17"/>
  <sheetViews>
    <sheetView workbookViewId="0"/>
  </sheetViews>
  <sheetFormatPr defaultRowHeight="17"/>
  <cols>
    <col min="1" max="1" width="8.6640625" style="23"/>
    <col min="2" max="3" width="11.58203125" style="23" customWidth="1"/>
    <col min="4" max="5" width="11.58203125" style="30" customWidth="1"/>
    <col min="6" max="6" width="11.58203125" style="23" customWidth="1"/>
    <col min="7" max="16384" width="8.6640625" style="23"/>
  </cols>
  <sheetData>
    <row r="6" spans="2:6">
      <c r="B6" s="24" t="s">
        <v>106</v>
      </c>
      <c r="C6" s="25" t="s">
        <v>107</v>
      </c>
      <c r="D6" s="28" t="s">
        <v>108</v>
      </c>
      <c r="E6" s="28" t="s">
        <v>109</v>
      </c>
      <c r="F6" s="25" t="s">
        <v>110</v>
      </c>
    </row>
    <row r="7" spans="2:6">
      <c r="B7" s="26" t="s">
        <v>111</v>
      </c>
      <c r="C7" s="27">
        <v>20</v>
      </c>
      <c r="D7" s="29">
        <v>80000</v>
      </c>
      <c r="E7" s="29">
        <v>83200</v>
      </c>
      <c r="F7" s="31">
        <f>(E7-D7)/D7*100</f>
        <v>4</v>
      </c>
    </row>
    <row r="8" spans="2:6">
      <c r="B8" s="26" t="s">
        <v>112</v>
      </c>
      <c r="C8" s="27">
        <v>30</v>
      </c>
      <c r="D8" s="29">
        <v>95000</v>
      </c>
      <c r="E8" s="29">
        <v>125000</v>
      </c>
      <c r="F8" s="31">
        <f t="shared" ref="F8:F17" si="0">(E8-D8)/D8*100</f>
        <v>31.578947368421051</v>
      </c>
    </row>
    <row r="9" spans="2:6">
      <c r="B9" s="26" t="s">
        <v>113</v>
      </c>
      <c r="C9" s="27">
        <v>25</v>
      </c>
      <c r="D9" s="29">
        <v>75000</v>
      </c>
      <c r="E9" s="29">
        <v>70000</v>
      </c>
      <c r="F9" s="31">
        <f t="shared" si="0"/>
        <v>-6.666666666666667</v>
      </c>
    </row>
    <row r="10" spans="2:6">
      <c r="B10" s="26" t="s">
        <v>114</v>
      </c>
      <c r="C10" s="27">
        <v>10</v>
      </c>
      <c r="D10" s="29">
        <v>110500</v>
      </c>
      <c r="E10" s="29">
        <v>145000</v>
      </c>
      <c r="F10" s="31">
        <f t="shared" si="0"/>
        <v>31.221719457013574</v>
      </c>
    </row>
    <row r="11" spans="2:6">
      <c r="B11" s="26" t="s">
        <v>115</v>
      </c>
      <c r="C11" s="27">
        <v>35</v>
      </c>
      <c r="D11" s="29">
        <v>306000</v>
      </c>
      <c r="E11" s="29">
        <v>385500</v>
      </c>
      <c r="F11" s="31">
        <f t="shared" si="0"/>
        <v>25.980392156862749</v>
      </c>
    </row>
    <row r="12" spans="2:6">
      <c r="B12" s="26" t="s">
        <v>116</v>
      </c>
      <c r="C12" s="27">
        <v>50</v>
      </c>
      <c r="D12" s="29">
        <v>290000</v>
      </c>
      <c r="E12" s="29">
        <v>290000</v>
      </c>
      <c r="F12" s="31">
        <f t="shared" si="0"/>
        <v>0</v>
      </c>
    </row>
    <row r="13" spans="2:6">
      <c r="B13" s="26" t="s">
        <v>117</v>
      </c>
      <c r="C13" s="27">
        <v>40</v>
      </c>
      <c r="D13" s="29">
        <v>248000</v>
      </c>
      <c r="E13" s="29">
        <v>332000</v>
      </c>
      <c r="F13" s="31">
        <f t="shared" si="0"/>
        <v>33.87096774193548</v>
      </c>
    </row>
    <row r="14" spans="2:6">
      <c r="B14" s="26" t="s">
        <v>118</v>
      </c>
      <c r="C14" s="27">
        <v>45</v>
      </c>
      <c r="D14" s="29">
        <v>75000</v>
      </c>
      <c r="E14" s="29">
        <v>72000</v>
      </c>
      <c r="F14" s="31">
        <f t="shared" si="0"/>
        <v>-4</v>
      </c>
    </row>
    <row r="15" spans="2:6">
      <c r="B15" s="26" t="s">
        <v>119</v>
      </c>
      <c r="C15" s="27">
        <v>28</v>
      </c>
      <c r="D15" s="29">
        <v>320000</v>
      </c>
      <c r="E15" s="29">
        <v>301500</v>
      </c>
      <c r="F15" s="31">
        <f t="shared" si="0"/>
        <v>-5.78125</v>
      </c>
    </row>
    <row r="16" spans="2:6">
      <c r="B16" s="26" t="s">
        <v>120</v>
      </c>
      <c r="C16" s="27">
        <v>60</v>
      </c>
      <c r="D16" s="29">
        <v>50800</v>
      </c>
      <c r="E16" s="29">
        <v>59000</v>
      </c>
      <c r="F16" s="31">
        <f t="shared" si="0"/>
        <v>16.141732283464567</v>
      </c>
    </row>
    <row r="17" spans="2:6">
      <c r="B17" s="26" t="s">
        <v>121</v>
      </c>
      <c r="C17" s="27">
        <v>5</v>
      </c>
      <c r="D17" s="29">
        <v>76900</v>
      </c>
      <c r="E17" s="29">
        <v>76900</v>
      </c>
      <c r="F17" s="31">
        <f t="shared" si="0"/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B1:K14"/>
  <sheetViews>
    <sheetView workbookViewId="0"/>
  </sheetViews>
  <sheetFormatPr defaultRowHeight="17"/>
  <cols>
    <col min="2" max="4" width="12.08203125" customWidth="1"/>
    <col min="5" max="5" width="17.6640625" customWidth="1"/>
    <col min="6" max="6" width="12.08203125" customWidth="1"/>
    <col min="11" max="11" width="9.58203125" customWidth="1"/>
  </cols>
  <sheetData>
    <row r="1" spans="2:11" ht="21">
      <c r="B1" s="45" t="s">
        <v>98</v>
      </c>
      <c r="C1" s="45"/>
      <c r="D1" s="45"/>
      <c r="E1" s="45"/>
      <c r="F1" s="45"/>
    </row>
    <row r="2" spans="2:11">
      <c r="B2" s="11"/>
      <c r="C2" s="11"/>
      <c r="D2" s="11"/>
      <c r="E2" s="11"/>
      <c r="F2" s="11"/>
    </row>
    <row r="3" spans="2:11">
      <c r="B3" s="19" t="s">
        <v>99</v>
      </c>
      <c r="C3" s="20" t="s">
        <v>44</v>
      </c>
      <c r="D3" s="19" t="s">
        <v>100</v>
      </c>
      <c r="E3" s="20" t="s">
        <v>101</v>
      </c>
      <c r="F3" s="21" t="s">
        <v>102</v>
      </c>
      <c r="K3" s="20" t="s">
        <v>103</v>
      </c>
    </row>
    <row r="4" spans="2:11">
      <c r="B4" s="19"/>
      <c r="C4" s="20"/>
      <c r="D4" s="19"/>
      <c r="E4" s="20"/>
      <c r="F4" s="19"/>
      <c r="K4" s="19" t="s">
        <v>59</v>
      </c>
    </row>
    <row r="5" spans="2:11">
      <c r="B5" s="19"/>
      <c r="C5" s="20"/>
      <c r="D5" s="19"/>
      <c r="E5" s="20"/>
      <c r="F5" s="19"/>
      <c r="K5" s="19" t="s">
        <v>64</v>
      </c>
    </row>
    <row r="6" spans="2:11">
      <c r="B6" s="19"/>
      <c r="C6" s="19"/>
      <c r="D6" s="20"/>
      <c r="E6" s="20"/>
      <c r="F6" s="19"/>
      <c r="K6" s="19" t="s">
        <v>56</v>
      </c>
    </row>
    <row r="7" spans="2:11">
      <c r="B7" s="19"/>
      <c r="C7" s="19"/>
      <c r="D7" s="20"/>
      <c r="E7" s="20"/>
      <c r="F7" s="19"/>
      <c r="K7" s="19" t="s">
        <v>53</v>
      </c>
    </row>
    <row r="8" spans="2:11">
      <c r="B8" s="19"/>
      <c r="C8" s="19"/>
      <c r="D8" s="20"/>
      <c r="E8" s="20"/>
      <c r="F8" s="19"/>
      <c r="K8" s="19" t="s">
        <v>54</v>
      </c>
    </row>
    <row r="9" spans="2:11">
      <c r="B9" s="19"/>
      <c r="C9" s="19"/>
      <c r="D9" s="20"/>
      <c r="E9" s="20"/>
      <c r="F9" s="19"/>
    </row>
    <row r="10" spans="2:11">
      <c r="B10" s="19"/>
      <c r="C10" s="19"/>
      <c r="D10" s="20"/>
      <c r="E10" s="22"/>
      <c r="F10" s="19"/>
    </row>
    <row r="11" spans="2:11">
      <c r="B11" s="19"/>
      <c r="C11" s="19"/>
      <c r="D11" s="20"/>
      <c r="E11" s="22"/>
      <c r="F11" s="19"/>
    </row>
    <row r="12" spans="2:11">
      <c r="B12" s="19"/>
      <c r="C12" s="19"/>
      <c r="D12" s="20"/>
      <c r="E12" s="20"/>
      <c r="F12" s="19"/>
    </row>
    <row r="13" spans="2:11">
      <c r="B13" s="19"/>
      <c r="C13" s="19"/>
      <c r="D13" s="20"/>
      <c r="E13" s="22"/>
      <c r="F13" s="19"/>
    </row>
    <row r="14" spans="2:11">
      <c r="B14" s="19"/>
      <c r="C14" s="19"/>
      <c r="D14" s="20"/>
      <c r="E14" s="22"/>
      <c r="F14" s="19"/>
    </row>
  </sheetData>
  <mergeCells count="1">
    <mergeCell ref="B1:F1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자전거구입">
          <controlPr defaultSize="0" autoLine="0" r:id="rId4">
            <anchor moveWithCells="1">
              <from>
                <xdr:col>7</xdr:col>
                <xdr:colOff>0</xdr:colOff>
                <xdr:row>2</xdr:row>
                <xdr:rowOff>19050</xdr:rowOff>
              </from>
              <to>
                <xdr:col>9</xdr:col>
                <xdr:colOff>241300</xdr:colOff>
                <xdr:row>3</xdr:row>
                <xdr:rowOff>152400</xdr:rowOff>
              </to>
            </anchor>
          </controlPr>
        </control>
      </mc:Choice>
      <mc:Fallback>
        <control shapeId="7169" r:id="rId3" name="자전거구입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기본작업1</vt:lpstr>
      <vt:lpstr>기본작업2</vt:lpstr>
      <vt:lpstr>계산작업</vt:lpstr>
      <vt:lpstr>분석작업1</vt:lpstr>
      <vt:lpstr>분석작업2</vt:lpstr>
      <vt:lpstr>기타작업1</vt:lpstr>
      <vt:lpstr>기타작업2</vt:lpstr>
      <vt:lpstr>기타작업3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2020-04-07T06:00:22Z</dcterms:created>
  <dcterms:modified xsi:type="dcterms:W3CDTF">2023-07-03T08:53:52Z</dcterms:modified>
</cp:coreProperties>
</file>