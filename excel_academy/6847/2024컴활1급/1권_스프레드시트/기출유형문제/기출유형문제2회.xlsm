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D8577DE2-31F8-46AB-ADCA-D987B4FFB325}" xr6:coauthVersionLast="47" xr6:coauthVersionMax="47" xr10:uidLastSave="{00000000-0000-0000-0000-000000000000}"/>
  <bookViews>
    <workbookView xWindow="14220" yWindow="1120" windowWidth="16690" windowHeight="18470" tabRatio="862" xr2:uid="{00000000-000D-0000-FFFF-FFFF00000000}"/>
  </bookViews>
  <sheets>
    <sheet name="기본작업-1" sheetId="2" r:id="rId1"/>
    <sheet name="기본작업-2" sheetId="9" r:id="rId2"/>
    <sheet name="계산작업" sheetId="12" r:id="rId3"/>
    <sheet name="분석작업-1" sheetId="8" r:id="rId4"/>
    <sheet name="분석작업-2" sheetId="10" r:id="rId5"/>
    <sheet name="기타작업-1" sheetId="6" r:id="rId6"/>
    <sheet name="기타작업-2" sheetId="4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9" l="1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H8" i="6"/>
  <c r="G8" i="6"/>
  <c r="H7" i="6"/>
  <c r="G7" i="6"/>
  <c r="H6" i="6"/>
  <c r="G6" i="6"/>
  <c r="H5" i="6"/>
  <c r="G5" i="6"/>
  <c r="H4" i="6"/>
  <c r="G4" i="6"/>
  <c r="H3" i="6"/>
  <c r="G3" i="6"/>
</calcChain>
</file>

<file path=xl/sharedStrings.xml><?xml version="1.0" encoding="utf-8"?>
<sst xmlns="http://schemas.openxmlformats.org/spreadsheetml/2006/main" count="305" uniqueCount="168">
  <si>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</si>
  <si>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</si>
  <si>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</si>
  <si>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</si>
  <si>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</si>
  <si>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</si>
  <si>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</si>
  <si>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</si>
  <si>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</si>
  <si>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</si>
  <si>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</si>
  <si>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</si>
  <si>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</si>
  <si>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PR-004</t>
  </si>
  <si>
    <t>한성현</t>
  </si>
  <si>
    <t>도봉</t>
  </si>
  <si>
    <t>PR-005</t>
  </si>
  <si>
    <t>김영득</t>
  </si>
  <si>
    <t>PR-006</t>
  </si>
  <si>
    <t>정은희</t>
  </si>
  <si>
    <t>여</t>
  </si>
  <si>
    <t>노원</t>
    <phoneticPr fontId="5" type="noConversion"/>
  </si>
  <si>
    <t>PR-008</t>
  </si>
  <si>
    <t>김양현</t>
  </si>
  <si>
    <t>중랑</t>
  </si>
  <si>
    <t>PR-009</t>
  </si>
  <si>
    <t>이미라</t>
  </si>
  <si>
    <t>PR-010</t>
  </si>
  <si>
    <t>심지영</t>
  </si>
  <si>
    <t>여</t>
    <phoneticPr fontId="5" type="noConversion"/>
  </si>
  <si>
    <t>노원</t>
  </si>
  <si>
    <t>PR-011</t>
  </si>
  <si>
    <t>고수정</t>
  </si>
  <si>
    <t>PR-012</t>
  </si>
  <si>
    <t>유응구</t>
  </si>
  <si>
    <t>PR-014</t>
  </si>
  <si>
    <t>이병열</t>
  </si>
  <si>
    <t>PR-016</t>
  </si>
  <si>
    <t>강흥석</t>
  </si>
  <si>
    <t>SP-001</t>
  </si>
  <si>
    <t>백준걸</t>
  </si>
  <si>
    <t>SP-005</t>
  </si>
  <si>
    <t>이지영</t>
  </si>
  <si>
    <t>SP-006</t>
  </si>
  <si>
    <t>김미현</t>
  </si>
  <si>
    <t>SP-008</t>
  </si>
  <si>
    <t>한미우</t>
  </si>
  <si>
    <t>SP-011</t>
  </si>
  <si>
    <t>최재석</t>
  </si>
  <si>
    <t>SP-012</t>
  </si>
  <si>
    <t>안성윤</t>
  </si>
  <si>
    <t>SP-014</t>
  </si>
  <si>
    <t>하인화</t>
  </si>
  <si>
    <t>[표1]</t>
    <phoneticPr fontId="5" type="noConversion"/>
  </si>
  <si>
    <t>[표2]</t>
    <phoneticPr fontId="5" type="noConversion"/>
  </si>
  <si>
    <t>부서별 평균</t>
    <phoneticPr fontId="5" type="noConversion"/>
  </si>
  <si>
    <t>번호</t>
    <phoneticPr fontId="5" type="noConversion"/>
  </si>
  <si>
    <t>이름</t>
    <phoneticPr fontId="5" type="noConversion"/>
  </si>
  <si>
    <t>부서명</t>
    <phoneticPr fontId="5" type="noConversion"/>
  </si>
  <si>
    <t>직무수행</t>
    <phoneticPr fontId="5" type="noConversion"/>
  </si>
  <si>
    <t>이해판단</t>
    <phoneticPr fontId="5" type="noConversion"/>
  </si>
  <si>
    <t>성실책임</t>
    <phoneticPr fontId="5" type="noConversion"/>
  </si>
  <si>
    <t>절충협조</t>
    <phoneticPr fontId="5" type="noConversion"/>
  </si>
  <si>
    <t>총점</t>
    <phoneticPr fontId="5" type="noConversion"/>
  </si>
  <si>
    <t>부서</t>
    <phoneticPr fontId="5" type="noConversion"/>
  </si>
  <si>
    <t>성실책임 평균</t>
    <phoneticPr fontId="5" type="noConversion"/>
  </si>
  <si>
    <t>이나영</t>
    <phoneticPr fontId="5" type="noConversion"/>
  </si>
  <si>
    <t>기획실</t>
    <phoneticPr fontId="5" type="noConversion"/>
  </si>
  <si>
    <t>관리부</t>
    <phoneticPr fontId="5" type="noConversion"/>
  </si>
  <si>
    <t>방극준</t>
    <phoneticPr fontId="5" type="noConversion"/>
  </si>
  <si>
    <t>기술부</t>
    <phoneticPr fontId="5" type="noConversion"/>
  </si>
  <si>
    <t>이원섭</t>
    <phoneticPr fontId="5" type="noConversion"/>
  </si>
  <si>
    <t>정태은</t>
    <phoneticPr fontId="5" type="noConversion"/>
  </si>
  <si>
    <t>기술부</t>
    <phoneticPr fontId="5" type="noConversion"/>
  </si>
  <si>
    <t>인사부</t>
    <phoneticPr fontId="5" type="noConversion"/>
  </si>
  <si>
    <t>최재석</t>
    <phoneticPr fontId="5" type="noConversion"/>
  </si>
  <si>
    <t>최준기</t>
    <phoneticPr fontId="5" type="noConversion"/>
  </si>
  <si>
    <t>이원형</t>
    <phoneticPr fontId="5" type="noConversion"/>
  </si>
  <si>
    <t>관리부</t>
    <phoneticPr fontId="5" type="noConversion"/>
  </si>
  <si>
    <t>[표3]</t>
    <phoneticPr fontId="5" type="noConversion"/>
  </si>
  <si>
    <t>홍지원</t>
    <phoneticPr fontId="5" type="noConversion"/>
  </si>
  <si>
    <t>부서명</t>
    <phoneticPr fontId="5" type="noConversion"/>
  </si>
  <si>
    <t>정은숙</t>
    <phoneticPr fontId="5" type="noConversion"/>
  </si>
  <si>
    <t>김지영</t>
    <phoneticPr fontId="5" type="noConversion"/>
  </si>
  <si>
    <t>박영훈</t>
    <phoneticPr fontId="5" type="noConversion"/>
  </si>
  <si>
    <t>이준성</t>
    <phoneticPr fontId="5" type="noConversion"/>
  </si>
  <si>
    <t>[표4]</t>
    <phoneticPr fontId="5" type="noConversion"/>
  </si>
  <si>
    <t>전광일</t>
    <phoneticPr fontId="5" type="noConversion"/>
  </si>
  <si>
    <t>유제관</t>
    <phoneticPr fontId="5" type="noConversion"/>
  </si>
  <si>
    <t>김민영</t>
    <phoneticPr fontId="5" type="noConversion"/>
  </si>
  <si>
    <t>도경민</t>
    <phoneticPr fontId="5" type="noConversion"/>
  </si>
  <si>
    <t>인정제</t>
    <phoneticPr fontId="5" type="noConversion"/>
  </si>
  <si>
    <t>최대훈</t>
    <phoneticPr fontId="5" type="noConversion"/>
  </si>
  <si>
    <t>윤여송</t>
    <phoneticPr fontId="5" type="noConversion"/>
  </si>
  <si>
    <t>유근선</t>
    <phoneticPr fontId="5" type="noConversion"/>
  </si>
  <si>
    <t>정환호</t>
    <phoneticPr fontId="5" type="noConversion"/>
  </si>
  <si>
    <t>이응표</t>
    <phoneticPr fontId="5" type="noConversion"/>
  </si>
  <si>
    <t>이지수</t>
    <phoneticPr fontId="5" type="noConversion"/>
  </si>
  <si>
    <t>신미래</t>
  </si>
  <si>
    <t>김선영</t>
  </si>
  <si>
    <t>마성일</t>
  </si>
  <si>
    <t>김일목</t>
  </si>
  <si>
    <t>이나영</t>
  </si>
  <si>
    <t>방극준</t>
  </si>
  <si>
    <t>피승현</t>
  </si>
  <si>
    <t>신상호</t>
  </si>
  <si>
    <t>김영호</t>
  </si>
  <si>
    <t>하진철</t>
  </si>
  <si>
    <t>이준성</t>
  </si>
  <si>
    <t>전광일</t>
  </si>
  <si>
    <t>김형섭</t>
  </si>
  <si>
    <t>김순영</t>
  </si>
  <si>
    <t>조용호</t>
  </si>
  <si>
    <t>배대승</t>
  </si>
  <si>
    <t>유제관</t>
  </si>
  <si>
    <t>김민영</t>
  </si>
  <si>
    <t>도경민</t>
  </si>
  <si>
    <t>판매현황</t>
    <phoneticPr fontId="5" type="noConversion"/>
  </si>
  <si>
    <t>품목</t>
    <phoneticPr fontId="5" type="noConversion"/>
  </si>
  <si>
    <t>판매가</t>
    <phoneticPr fontId="5" type="noConversion"/>
  </si>
  <si>
    <t>전년도판매량</t>
    <phoneticPr fontId="5" type="noConversion"/>
  </si>
  <si>
    <t>목표량</t>
    <phoneticPr fontId="5" type="noConversion"/>
  </si>
  <si>
    <t>판매량</t>
    <phoneticPr fontId="5" type="noConversion"/>
  </si>
  <si>
    <t>달성율</t>
    <phoneticPr fontId="5" type="noConversion"/>
  </si>
  <si>
    <t>판매총액</t>
    <phoneticPr fontId="5" type="noConversion"/>
  </si>
  <si>
    <t>노트</t>
    <phoneticPr fontId="5" type="noConversion"/>
  </si>
  <si>
    <t>연필</t>
    <phoneticPr fontId="5" type="noConversion"/>
  </si>
  <si>
    <t>매직</t>
    <phoneticPr fontId="5" type="noConversion"/>
  </si>
  <si>
    <t>잉크</t>
    <phoneticPr fontId="5" type="noConversion"/>
  </si>
  <si>
    <t>파일</t>
    <phoneticPr fontId="5" type="noConversion"/>
  </si>
  <si>
    <t>레이저</t>
    <phoneticPr fontId="5" type="noConversion"/>
  </si>
  <si>
    <t>인사고과 입력</t>
    <phoneticPr fontId="5" type="noConversion"/>
  </si>
  <si>
    <t>이름</t>
    <phoneticPr fontId="5" type="noConversion"/>
  </si>
  <si>
    <t>직무수행능력</t>
    <phoneticPr fontId="5" type="noConversion"/>
  </si>
  <si>
    <t>이해판단력</t>
    <phoneticPr fontId="5" type="noConversion"/>
  </si>
  <si>
    <t>평균</t>
    <phoneticPr fontId="5" type="noConversion"/>
  </si>
  <si>
    <t>김선애</t>
    <phoneticPr fontId="5" type="noConversion"/>
  </si>
  <si>
    <t>부서</t>
    <phoneticPr fontId="5" type="noConversion"/>
  </si>
  <si>
    <t>총무부</t>
    <phoneticPr fontId="5" type="noConversion"/>
  </si>
  <si>
    <t>도서관명</t>
    <phoneticPr fontId="1" type="noConversion"/>
  </si>
  <si>
    <t>운영시작
시각</t>
    <phoneticPr fontId="1" type="noConversion"/>
  </si>
  <si>
    <t>운영종료
시각</t>
    <phoneticPr fontId="1" type="noConversion"/>
  </si>
  <si>
    <t>열람
좌석수</t>
    <phoneticPr fontId="1" type="noConversion"/>
  </si>
  <si>
    <t>자료수
(도서)</t>
    <phoneticPr fontId="1" type="noConversion"/>
  </si>
  <si>
    <t>자료수
(비도서)</t>
    <phoneticPr fontId="1" type="noConversion"/>
  </si>
  <si>
    <t>대출가능
권수</t>
    <phoneticPr fontId="1" type="noConversion"/>
  </si>
  <si>
    <t>대출가능
일수</t>
    <phoneticPr fontId="1" type="noConversion"/>
  </si>
  <si>
    <t>시립중앙도서관</t>
    <phoneticPr fontId="1" type="noConversion"/>
  </si>
  <si>
    <t>아름다운작은도서관</t>
    <phoneticPr fontId="1" type="noConversion"/>
  </si>
  <si>
    <t>해나루작은도서관</t>
    <phoneticPr fontId="1" type="noConversion"/>
  </si>
  <si>
    <t>상록수작은도서관</t>
    <phoneticPr fontId="1" type="noConversion"/>
  </si>
  <si>
    <t>꿈의도서관</t>
    <phoneticPr fontId="1" type="noConversion"/>
  </si>
  <si>
    <t>생각나무작은도서관</t>
    <phoneticPr fontId="1" type="noConversion"/>
  </si>
  <si>
    <t>개미작은도서관</t>
    <phoneticPr fontId="1" type="noConversion"/>
  </si>
  <si>
    <t>웃음꽃작은도서관</t>
    <phoneticPr fontId="1" type="noConversion"/>
  </si>
  <si>
    <t>반딧불이작은도서관</t>
    <phoneticPr fontId="1" type="noConversion"/>
  </si>
  <si>
    <t>영어</t>
    <phoneticPr fontId="1" type="noConversion"/>
  </si>
  <si>
    <t>수학</t>
    <phoneticPr fontId="1" type="noConversion"/>
  </si>
  <si>
    <t>수업 만족도</t>
    <phoneticPr fontId="1" type="noConversion"/>
  </si>
  <si>
    <t>미응답</t>
    <phoneticPr fontId="1" type="noConversion"/>
  </si>
  <si>
    <t>미응답</t>
    <phoneticPr fontId="1" type="noConversion"/>
  </si>
  <si>
    <t>노원</t>
    <phoneticPr fontId="1" type="noConversion"/>
  </si>
  <si>
    <t>비율</t>
    <phoneticPr fontId="5" type="noConversion"/>
  </si>
  <si>
    <t>직무수행 점수분석</t>
    <phoneticPr fontId="5" type="noConversion"/>
  </si>
  <si>
    <t>백분위</t>
    <phoneticPr fontId="5" type="noConversion"/>
  </si>
  <si>
    <t>점수</t>
    <phoneticPr fontId="5" type="noConversion"/>
  </si>
  <si>
    <t>이해판단 성적분석</t>
    <phoneticPr fontId="5" type="noConversion"/>
  </si>
  <si>
    <t>분포도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</si>
</sst>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yyyy&quot;/&quot;mm&quot;/&quot;dd;@"/>
    <numFmt numFmtId="177" formatCode="#,##0_ "/>
    <numFmt numFmtId="178" formatCode="#,##0_);[Red]\(#,##0\)"/>
    <numFmt numFmtId="179" formatCode="0\ &quot;초&quot;&quot;과&quot;"/>
    <numFmt numFmtId="180" formatCode="0\ &quot;이&quot;&quot;하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77" fontId="6" fillId="0" borderId="1" xfId="1" applyNumberFormat="1" applyFont="1" applyFill="1" applyBorder="1" applyAlignment="1">
      <alignment horizontal="right" vertical="center"/>
    </xf>
    <xf numFmtId="178" fontId="6" fillId="0" borderId="1" xfId="1" applyNumberFormat="1" applyFont="1" applyFill="1" applyBorder="1" applyAlignment="1">
      <alignment horizontal="right" vertical="center"/>
    </xf>
    <xf numFmtId="9" fontId="7" fillId="0" borderId="1" xfId="3" applyFont="1" applyFill="1" applyBorder="1" applyAlignment="1">
      <alignment horizontal="right" vertical="center"/>
    </xf>
    <xf numFmtId="0" fontId="6" fillId="0" borderId="1" xfId="2" applyNumberFormat="1" applyFont="1" applyFill="1" applyBorder="1" applyAlignment="1">
      <alignment vertical="center"/>
    </xf>
    <xf numFmtId="0" fontId="8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20" fontId="0" fillId="0" borderId="1" xfId="0" applyNumberForma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9" fontId="0" fillId="0" borderId="1" xfId="3" applyFont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9" fontId="4" fillId="0" borderId="1" xfId="0" applyNumberFormat="1" applyFont="1" applyBorder="1">
      <alignment vertical="center"/>
    </xf>
    <xf numFmtId="180" fontId="4" fillId="0" borderId="1" xfId="0" applyNumberFormat="1" applyFont="1" applyBorder="1">
      <alignment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'기타작업-1'!$D$2</c:f>
              <c:strCache>
                <c:ptCount val="1"/>
                <c:pt idx="0">
                  <c:v>전년도판매량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'기타작업-1'!$D$3:$D$8</c:f>
              <c:numCache>
                <c:formatCode>#,##0_ </c:formatCode>
                <c:ptCount val="6"/>
                <c:pt idx="0">
                  <c:v>500</c:v>
                </c:pt>
                <c:pt idx="1">
                  <c:v>450</c:v>
                </c:pt>
                <c:pt idx="2">
                  <c:v>500</c:v>
                </c:pt>
                <c:pt idx="3">
                  <c:v>400</c:v>
                </c:pt>
                <c:pt idx="4">
                  <c:v>250</c:v>
                </c:pt>
                <c:pt idx="5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84-45C3-8DF5-7B9A193586D3}"/>
            </c:ext>
          </c:extLst>
        </c:ser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'기타작업-1'!$E$3:$E$8</c:f>
              <c:numCache>
                <c:formatCode>#,##0_);[Red]\(#,##0\)</c:formatCode>
                <c:ptCount val="6"/>
                <c:pt idx="0">
                  <c:v>800</c:v>
                </c:pt>
                <c:pt idx="1">
                  <c:v>600</c:v>
                </c:pt>
                <c:pt idx="2">
                  <c:v>550</c:v>
                </c:pt>
                <c:pt idx="3">
                  <c:v>500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4-45C3-8DF5-7B9A193586D3}"/>
            </c:ext>
          </c:extLst>
        </c:ser>
        <c:ser>
          <c:idx val="2"/>
          <c:order val="2"/>
          <c:tx>
            <c:strRef>
              <c:f>'기타작업-1'!$F$2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'기타작업-1'!$B$3:$B$8</c:f>
              <c:strCache>
                <c:ptCount val="6"/>
                <c:pt idx="0">
                  <c:v>노트</c:v>
                </c:pt>
                <c:pt idx="1">
                  <c:v>연필</c:v>
                </c:pt>
                <c:pt idx="2">
                  <c:v>매직</c:v>
                </c:pt>
                <c:pt idx="3">
                  <c:v>잉크</c:v>
                </c:pt>
                <c:pt idx="4">
                  <c:v>파일</c:v>
                </c:pt>
                <c:pt idx="5">
                  <c:v>레이저</c:v>
                </c:pt>
              </c:strCache>
            </c:strRef>
          </c:cat>
          <c:val>
            <c:numRef>
              <c:f>'기타작업-1'!$F$3:$F$8</c:f>
              <c:numCache>
                <c:formatCode>#,##0_);[Red]\(#,##0\)</c:formatCode>
                <c:ptCount val="6"/>
                <c:pt idx="0">
                  <c:v>880</c:v>
                </c:pt>
                <c:pt idx="1">
                  <c:v>560</c:v>
                </c:pt>
                <c:pt idx="2">
                  <c:v>620</c:v>
                </c:pt>
                <c:pt idx="3">
                  <c:v>540</c:v>
                </c:pt>
                <c:pt idx="4">
                  <c:v>300</c:v>
                </c:pt>
                <c:pt idx="5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84-45C3-8DF5-7B9A1935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61551263"/>
        <c:axId val="1961554591"/>
      </c:barChart>
      <c:catAx>
        <c:axId val="196155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4591"/>
        <c:crosses val="autoZero"/>
        <c:auto val="1"/>
        <c:lblAlgn val="ctr"/>
        <c:lblOffset val="100"/>
        <c:noMultiLvlLbl val="0"/>
      </c:catAx>
      <c:valAx>
        <c:axId val="196155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6155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158750</xdr:rowOff>
        </xdr:from>
        <xdr:to>
          <xdr:col>8</xdr:col>
          <xdr:colOff>0</xdr:colOff>
          <xdr:row>2</xdr:row>
          <xdr:rowOff>69850</xdr:rowOff>
        </xdr:to>
        <xdr:sp macro="" textlink="">
          <xdr:nvSpPr>
            <xdr:cNvPr id="7169" name="인사고과입력현황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2:I20"/>
  <sheetViews>
    <sheetView tabSelected="1" workbookViewId="0"/>
  </sheetViews>
  <sheetFormatPr defaultRowHeight="17"/>
  <cols>
    <col min="5" max="5" width="10.75" bestFit="1" customWidth="1"/>
    <col min="6" max="8" width="12.4140625" bestFit="1" customWidth="1"/>
    <col min="9" max="9" width="12.5" bestFit="1" customWidth="1"/>
  </cols>
  <sheetData>
    <row r="2" spans="1:9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21" t="s">
        <v>7</v>
      </c>
      <c r="I2" s="21" t="s">
        <v>8</v>
      </c>
    </row>
    <row r="3" spans="1:9">
      <c r="A3" s="22" t="s">
        <v>9</v>
      </c>
      <c r="B3" s="22" t="s">
        <v>10</v>
      </c>
      <c r="C3" s="22" t="s">
        <v>11</v>
      </c>
      <c r="D3" s="22" t="s">
        <v>12</v>
      </c>
      <c r="E3" s="23">
        <v>45433</v>
      </c>
      <c r="F3" s="22">
        <v>135000</v>
      </c>
      <c r="G3" s="22">
        <v>55000</v>
      </c>
      <c r="H3" s="22">
        <v>135000</v>
      </c>
      <c r="I3" s="22">
        <f>SUM(F3:H3)</f>
        <v>325000</v>
      </c>
    </row>
    <row r="4" spans="1:9">
      <c r="A4" s="22" t="s">
        <v>13</v>
      </c>
      <c r="B4" s="22" t="s">
        <v>14</v>
      </c>
      <c r="C4" s="22" t="s">
        <v>11</v>
      </c>
      <c r="D4" s="22" t="s">
        <v>21</v>
      </c>
      <c r="E4" s="23">
        <v>45363</v>
      </c>
      <c r="F4" s="22">
        <v>38700</v>
      </c>
      <c r="G4" s="22">
        <v>78000</v>
      </c>
      <c r="H4" s="22">
        <v>98700</v>
      </c>
      <c r="I4" s="22">
        <f t="shared" ref="I4:I20" si="0">SUM(F4:H4)</f>
        <v>215400</v>
      </c>
    </row>
    <row r="5" spans="1:9">
      <c r="A5" s="22" t="s">
        <v>16</v>
      </c>
      <c r="B5" s="22" t="s">
        <v>17</v>
      </c>
      <c r="C5" s="22" t="s">
        <v>11</v>
      </c>
      <c r="D5" s="22" t="s">
        <v>15</v>
      </c>
      <c r="E5" s="23">
        <v>45730</v>
      </c>
      <c r="F5" s="22">
        <v>7700</v>
      </c>
      <c r="G5" s="22">
        <v>52200</v>
      </c>
      <c r="H5" s="22">
        <v>7700</v>
      </c>
      <c r="I5" s="22">
        <f t="shared" si="0"/>
        <v>67600</v>
      </c>
    </row>
    <row r="6" spans="1:9">
      <c r="A6" s="22" t="s">
        <v>18</v>
      </c>
      <c r="B6" s="22" t="s">
        <v>19</v>
      </c>
      <c r="C6" s="22" t="s">
        <v>20</v>
      </c>
      <c r="D6" s="22" t="s">
        <v>21</v>
      </c>
      <c r="E6" s="23">
        <v>45396</v>
      </c>
      <c r="F6" s="22">
        <v>55000</v>
      </c>
      <c r="G6" s="22">
        <v>122500</v>
      </c>
      <c r="H6" s="22">
        <v>92500</v>
      </c>
      <c r="I6" s="22">
        <f t="shared" si="0"/>
        <v>270000</v>
      </c>
    </row>
    <row r="7" spans="1:9">
      <c r="A7" s="22" t="s">
        <v>22</v>
      </c>
      <c r="B7" s="22" t="s">
        <v>23</v>
      </c>
      <c r="C7" s="22" t="s">
        <v>11</v>
      </c>
      <c r="D7" s="22" t="s">
        <v>24</v>
      </c>
      <c r="E7" s="23">
        <v>45762</v>
      </c>
      <c r="F7" s="22">
        <v>38700</v>
      </c>
      <c r="G7" s="22">
        <v>21020</v>
      </c>
      <c r="H7" s="22">
        <v>37000</v>
      </c>
      <c r="I7" s="22">
        <f t="shared" si="0"/>
        <v>96720</v>
      </c>
    </row>
    <row r="8" spans="1:9">
      <c r="A8" s="22" t="s">
        <v>25</v>
      </c>
      <c r="B8" s="22" t="s">
        <v>26</v>
      </c>
      <c r="C8" s="22" t="s">
        <v>20</v>
      </c>
      <c r="D8" s="22" t="s">
        <v>24</v>
      </c>
      <c r="E8" s="23">
        <v>45002</v>
      </c>
      <c r="F8" s="22">
        <v>78000</v>
      </c>
      <c r="G8" s="22">
        <v>2020</v>
      </c>
      <c r="H8" s="22">
        <v>135000</v>
      </c>
      <c r="I8" s="22">
        <f t="shared" si="0"/>
        <v>215020</v>
      </c>
    </row>
    <row r="9" spans="1:9">
      <c r="A9" s="22" t="s">
        <v>27</v>
      </c>
      <c r="B9" s="22" t="s">
        <v>28</v>
      </c>
      <c r="C9" s="22" t="s">
        <v>29</v>
      </c>
      <c r="D9" s="22" t="s">
        <v>30</v>
      </c>
      <c r="E9" s="23">
        <v>45877</v>
      </c>
      <c r="F9" s="22">
        <v>52200</v>
      </c>
      <c r="G9" s="22">
        <v>87800</v>
      </c>
      <c r="H9" s="22">
        <v>97900</v>
      </c>
      <c r="I9" s="22">
        <f t="shared" si="0"/>
        <v>237900</v>
      </c>
    </row>
    <row r="10" spans="1:9">
      <c r="A10" s="22" t="s">
        <v>31</v>
      </c>
      <c r="B10" s="22" t="s">
        <v>32</v>
      </c>
      <c r="C10" s="22" t="s">
        <v>20</v>
      </c>
      <c r="D10" s="22" t="s">
        <v>30</v>
      </c>
      <c r="E10" s="23">
        <v>45332</v>
      </c>
      <c r="F10" s="22">
        <v>122500</v>
      </c>
      <c r="G10" s="22">
        <v>140520</v>
      </c>
      <c r="H10" s="22">
        <v>78000</v>
      </c>
      <c r="I10" s="22">
        <f t="shared" si="0"/>
        <v>341020</v>
      </c>
    </row>
    <row r="11" spans="1:9">
      <c r="A11" s="22" t="s">
        <v>33</v>
      </c>
      <c r="B11" s="22" t="s">
        <v>34</v>
      </c>
      <c r="C11" s="22" t="s">
        <v>20</v>
      </c>
      <c r="D11" s="22" t="s">
        <v>30</v>
      </c>
      <c r="E11" s="23">
        <v>46068</v>
      </c>
      <c r="F11" s="22">
        <v>11250</v>
      </c>
      <c r="G11" s="22">
        <v>22020</v>
      </c>
      <c r="H11" s="22">
        <v>52200</v>
      </c>
      <c r="I11" s="22">
        <f t="shared" si="0"/>
        <v>85470</v>
      </c>
    </row>
    <row r="12" spans="1:9">
      <c r="A12" s="22" t="s">
        <v>35</v>
      </c>
      <c r="B12" s="22" t="s">
        <v>36</v>
      </c>
      <c r="C12" s="22" t="s">
        <v>11</v>
      </c>
      <c r="D12" s="22" t="s">
        <v>12</v>
      </c>
      <c r="E12" s="23">
        <v>45536</v>
      </c>
      <c r="F12" s="22">
        <v>2020</v>
      </c>
      <c r="G12" s="22">
        <v>80250</v>
      </c>
      <c r="H12" s="22">
        <v>11250</v>
      </c>
      <c r="I12" s="22">
        <f t="shared" si="0"/>
        <v>93520</v>
      </c>
    </row>
    <row r="13" spans="1:9">
      <c r="A13" s="22" t="s">
        <v>37</v>
      </c>
      <c r="B13" s="22" t="s">
        <v>38</v>
      </c>
      <c r="C13" s="22" t="s">
        <v>11</v>
      </c>
      <c r="D13" s="22" t="s">
        <v>161</v>
      </c>
      <c r="E13" s="23">
        <v>45807</v>
      </c>
      <c r="F13" s="22">
        <v>140520</v>
      </c>
      <c r="G13" s="22">
        <v>135000</v>
      </c>
      <c r="H13" s="22">
        <v>152000</v>
      </c>
      <c r="I13" s="22">
        <f t="shared" si="0"/>
        <v>427520</v>
      </c>
    </row>
    <row r="14" spans="1:9">
      <c r="A14" s="22" t="s">
        <v>39</v>
      </c>
      <c r="B14" s="22" t="s">
        <v>40</v>
      </c>
      <c r="C14" s="22" t="s">
        <v>29</v>
      </c>
      <c r="D14" s="22" t="s">
        <v>30</v>
      </c>
      <c r="E14" s="23">
        <v>45229</v>
      </c>
      <c r="F14" s="22">
        <v>37000</v>
      </c>
      <c r="G14" s="22">
        <v>38000</v>
      </c>
      <c r="H14" s="22">
        <v>29000</v>
      </c>
      <c r="I14" s="22">
        <f t="shared" si="0"/>
        <v>104000</v>
      </c>
    </row>
    <row r="15" spans="1:9">
      <c r="A15" s="22" t="s">
        <v>41</v>
      </c>
      <c r="B15" s="22" t="s">
        <v>42</v>
      </c>
      <c r="C15" s="22" t="s">
        <v>20</v>
      </c>
      <c r="D15" s="22" t="s">
        <v>12</v>
      </c>
      <c r="E15" s="23">
        <v>45384</v>
      </c>
      <c r="F15" s="22">
        <v>135000</v>
      </c>
      <c r="G15" s="22">
        <v>178000</v>
      </c>
      <c r="H15" s="22">
        <v>120200</v>
      </c>
      <c r="I15" s="22">
        <f t="shared" si="0"/>
        <v>433200</v>
      </c>
    </row>
    <row r="16" spans="1:9">
      <c r="A16" s="22" t="s">
        <v>43</v>
      </c>
      <c r="B16" s="22" t="s">
        <v>44</v>
      </c>
      <c r="C16" s="22" t="s">
        <v>11</v>
      </c>
      <c r="D16" s="22" t="s">
        <v>21</v>
      </c>
      <c r="E16" s="23">
        <v>45803</v>
      </c>
      <c r="F16" s="22">
        <v>37000</v>
      </c>
      <c r="G16" s="22">
        <v>135000</v>
      </c>
      <c r="H16" s="22">
        <v>78000</v>
      </c>
      <c r="I16" s="22">
        <f t="shared" si="0"/>
        <v>250000</v>
      </c>
    </row>
    <row r="17" spans="1:9">
      <c r="A17" s="22" t="s">
        <v>45</v>
      </c>
      <c r="B17" s="22" t="s">
        <v>46</v>
      </c>
      <c r="C17" s="22" t="s">
        <v>11</v>
      </c>
      <c r="D17" s="22" t="s">
        <v>15</v>
      </c>
      <c r="E17" s="23">
        <v>45732</v>
      </c>
      <c r="F17" s="22">
        <v>7000</v>
      </c>
      <c r="G17" s="22">
        <v>38700</v>
      </c>
      <c r="H17" s="22">
        <v>122500</v>
      </c>
      <c r="I17" s="22">
        <f t="shared" si="0"/>
        <v>168200</v>
      </c>
    </row>
    <row r="18" spans="1:9">
      <c r="A18" s="22" t="s">
        <v>47</v>
      </c>
      <c r="B18" s="22" t="s">
        <v>48</v>
      </c>
      <c r="C18" s="22" t="s">
        <v>11</v>
      </c>
      <c r="D18" s="22" t="s">
        <v>21</v>
      </c>
      <c r="E18" s="23">
        <v>45542</v>
      </c>
      <c r="F18" s="22">
        <v>5800</v>
      </c>
      <c r="G18" s="22">
        <v>135000</v>
      </c>
      <c r="H18" s="22">
        <v>82020</v>
      </c>
      <c r="I18" s="22">
        <f t="shared" si="0"/>
        <v>222820</v>
      </c>
    </row>
    <row r="19" spans="1:9">
      <c r="A19" s="22" t="s">
        <v>49</v>
      </c>
      <c r="B19" s="22" t="s">
        <v>50</v>
      </c>
      <c r="C19" s="22" t="s">
        <v>11</v>
      </c>
      <c r="D19" s="22" t="s">
        <v>24</v>
      </c>
      <c r="E19" s="23">
        <v>45969</v>
      </c>
      <c r="F19" s="22">
        <v>38700</v>
      </c>
      <c r="G19" s="22">
        <v>37000</v>
      </c>
      <c r="H19" s="22">
        <v>14560</v>
      </c>
      <c r="I19" s="22">
        <f t="shared" si="0"/>
        <v>90260</v>
      </c>
    </row>
    <row r="20" spans="1:9">
      <c r="A20" s="22" t="s">
        <v>51</v>
      </c>
      <c r="B20" s="22" t="s">
        <v>52</v>
      </c>
      <c r="C20" s="22" t="s">
        <v>20</v>
      </c>
      <c r="D20" s="22" t="s">
        <v>30</v>
      </c>
      <c r="E20" s="23">
        <v>46023</v>
      </c>
      <c r="F20" s="22">
        <v>32500</v>
      </c>
      <c r="G20" s="22">
        <v>118000</v>
      </c>
      <c r="H20" s="22">
        <v>79020</v>
      </c>
      <c r="I20" s="22">
        <f t="shared" si="0"/>
        <v>229520</v>
      </c>
    </row>
  </sheetData>
  <phoneticPr fontId="1" type="noConversion"/>
  <pageMargins left="0.7" right="0.7" top="0.75" bottom="0.75" header="0.3" footer="0.3"/>
  <ignoredErrors>
    <ignoredError sqref="I3:I2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2:I20"/>
  <sheetViews>
    <sheetView workbookViewId="0"/>
  </sheetViews>
  <sheetFormatPr defaultRowHeight="17"/>
  <cols>
    <col min="5" max="5" width="10.75" bestFit="1" customWidth="1"/>
    <col min="6" max="8" width="12.4140625" bestFit="1" customWidth="1"/>
    <col min="9" max="9" width="12.5" bestFit="1" customWidth="1"/>
  </cols>
  <sheetData>
    <row r="2" spans="1:9">
      <c r="A2" s="21" t="s">
        <v>0</v>
      </c>
      <c r="B2" s="21" t="s">
        <v>1</v>
      </c>
      <c r="C2" s="21" t="s">
        <v>2</v>
      </c>
      <c r="D2" s="21" t="s">
        <v>3</v>
      </c>
      <c r="E2" s="21" t="s">
        <v>4</v>
      </c>
      <c r="F2" s="21" t="s">
        <v>5</v>
      </c>
      <c r="G2" s="21" t="s">
        <v>6</v>
      </c>
      <c r="H2" s="21" t="s">
        <v>7</v>
      </c>
      <c r="I2" s="21" t="s">
        <v>8</v>
      </c>
    </row>
    <row r="3" spans="1:9">
      <c r="A3" s="22" t="s">
        <v>9</v>
      </c>
      <c r="B3" s="22" t="s">
        <v>10</v>
      </c>
      <c r="C3" s="22" t="s">
        <v>11</v>
      </c>
      <c r="D3" s="22" t="s">
        <v>12</v>
      </c>
      <c r="E3" s="23">
        <v>45433</v>
      </c>
      <c r="F3" s="22">
        <v>135000</v>
      </c>
      <c r="G3" s="22">
        <v>55000</v>
      </c>
      <c r="H3" s="22">
        <v>135000</v>
      </c>
      <c r="I3" s="22">
        <f>SUM(F3:H3)</f>
        <v>325000</v>
      </c>
    </row>
    <row r="4" spans="1:9">
      <c r="A4" s="22" t="s">
        <v>13</v>
      </c>
      <c r="B4" s="22" t="s">
        <v>14</v>
      </c>
      <c r="C4" s="22" t="s">
        <v>11</v>
      </c>
      <c r="D4" s="22" t="s">
        <v>21</v>
      </c>
      <c r="E4" s="23">
        <v>45363</v>
      </c>
      <c r="F4" s="22">
        <v>38700</v>
      </c>
      <c r="G4" s="22">
        <v>78000</v>
      </c>
      <c r="H4" s="22">
        <v>98700</v>
      </c>
      <c r="I4" s="22">
        <f t="shared" ref="I4:I20" si="0">SUM(F4:H4)</f>
        <v>215400</v>
      </c>
    </row>
    <row r="5" spans="1:9">
      <c r="A5" s="22" t="s">
        <v>16</v>
      </c>
      <c r="B5" s="22" t="s">
        <v>17</v>
      </c>
      <c r="C5" s="22" t="s">
        <v>11</v>
      </c>
      <c r="D5" s="22" t="s">
        <v>15</v>
      </c>
      <c r="E5" s="23">
        <v>45730</v>
      </c>
      <c r="F5" s="22">
        <v>7700</v>
      </c>
      <c r="G5" s="22">
        <v>52200</v>
      </c>
      <c r="H5" s="22">
        <v>7700</v>
      </c>
      <c r="I5" s="22">
        <f t="shared" si="0"/>
        <v>67600</v>
      </c>
    </row>
    <row r="6" spans="1:9">
      <c r="A6" s="22" t="s">
        <v>18</v>
      </c>
      <c r="B6" s="22" t="s">
        <v>19</v>
      </c>
      <c r="C6" s="22" t="s">
        <v>20</v>
      </c>
      <c r="D6" s="22" t="s">
        <v>21</v>
      </c>
      <c r="E6" s="23">
        <v>45396</v>
      </c>
      <c r="F6" s="22">
        <v>55000</v>
      </c>
      <c r="G6" s="22">
        <v>122500</v>
      </c>
      <c r="H6" s="22">
        <v>92500</v>
      </c>
      <c r="I6" s="22">
        <f t="shared" si="0"/>
        <v>270000</v>
      </c>
    </row>
    <row r="7" spans="1:9">
      <c r="A7" s="22" t="s">
        <v>22</v>
      </c>
      <c r="B7" s="22" t="s">
        <v>23</v>
      </c>
      <c r="C7" s="22" t="s">
        <v>11</v>
      </c>
      <c r="D7" s="22" t="s">
        <v>24</v>
      </c>
      <c r="E7" s="23">
        <v>45762</v>
      </c>
      <c r="F7" s="22">
        <v>38700</v>
      </c>
      <c r="G7" s="22">
        <v>21020</v>
      </c>
      <c r="H7" s="22">
        <v>37000</v>
      </c>
      <c r="I7" s="22">
        <f t="shared" si="0"/>
        <v>96720</v>
      </c>
    </row>
    <row r="8" spans="1:9">
      <c r="A8" s="22" t="s">
        <v>25</v>
      </c>
      <c r="B8" s="22" t="s">
        <v>26</v>
      </c>
      <c r="C8" s="22" t="s">
        <v>20</v>
      </c>
      <c r="D8" s="22" t="s">
        <v>24</v>
      </c>
      <c r="E8" s="23">
        <v>45002</v>
      </c>
      <c r="F8" s="22">
        <v>78000</v>
      </c>
      <c r="G8" s="22">
        <v>2020</v>
      </c>
      <c r="H8" s="22">
        <v>135000</v>
      </c>
      <c r="I8" s="22">
        <f t="shared" si="0"/>
        <v>215020</v>
      </c>
    </row>
    <row r="9" spans="1:9">
      <c r="A9" s="22" t="s">
        <v>27</v>
      </c>
      <c r="B9" s="22" t="s">
        <v>28</v>
      </c>
      <c r="C9" s="22" t="s">
        <v>29</v>
      </c>
      <c r="D9" s="22" t="s">
        <v>30</v>
      </c>
      <c r="E9" s="23">
        <v>45877</v>
      </c>
      <c r="F9" s="22">
        <v>52200</v>
      </c>
      <c r="G9" s="22">
        <v>87800</v>
      </c>
      <c r="H9" s="22">
        <v>97900</v>
      </c>
      <c r="I9" s="22">
        <f t="shared" si="0"/>
        <v>237900</v>
      </c>
    </row>
    <row r="10" spans="1:9">
      <c r="A10" s="22" t="s">
        <v>31</v>
      </c>
      <c r="B10" s="22" t="s">
        <v>32</v>
      </c>
      <c r="C10" s="22" t="s">
        <v>20</v>
      </c>
      <c r="D10" s="22" t="s">
        <v>30</v>
      </c>
      <c r="E10" s="23">
        <v>45332</v>
      </c>
      <c r="F10" s="22">
        <v>122500</v>
      </c>
      <c r="G10" s="22">
        <v>140520</v>
      </c>
      <c r="H10" s="22">
        <v>78000</v>
      </c>
      <c r="I10" s="22">
        <f t="shared" si="0"/>
        <v>341020</v>
      </c>
    </row>
    <row r="11" spans="1:9">
      <c r="A11" s="22" t="s">
        <v>33</v>
      </c>
      <c r="B11" s="22" t="s">
        <v>34</v>
      </c>
      <c r="C11" s="22" t="s">
        <v>20</v>
      </c>
      <c r="D11" s="22" t="s">
        <v>30</v>
      </c>
      <c r="E11" s="23">
        <v>46068</v>
      </c>
      <c r="F11" s="22">
        <v>11250</v>
      </c>
      <c r="G11" s="22">
        <v>22020</v>
      </c>
      <c r="H11" s="22">
        <v>52200</v>
      </c>
      <c r="I11" s="22">
        <f t="shared" si="0"/>
        <v>85470</v>
      </c>
    </row>
    <row r="12" spans="1:9">
      <c r="A12" s="22" t="s">
        <v>35</v>
      </c>
      <c r="B12" s="22" t="s">
        <v>36</v>
      </c>
      <c r="C12" s="22" t="s">
        <v>11</v>
      </c>
      <c r="D12" s="22" t="s">
        <v>12</v>
      </c>
      <c r="E12" s="23">
        <v>45536</v>
      </c>
      <c r="F12" s="22">
        <v>2020</v>
      </c>
      <c r="G12" s="22">
        <v>80250</v>
      </c>
      <c r="H12" s="22">
        <v>11250</v>
      </c>
      <c r="I12" s="22">
        <f t="shared" si="0"/>
        <v>93520</v>
      </c>
    </row>
    <row r="13" spans="1:9">
      <c r="A13" s="22" t="s">
        <v>37</v>
      </c>
      <c r="B13" s="22" t="s">
        <v>38</v>
      </c>
      <c r="C13" s="22" t="s">
        <v>11</v>
      </c>
      <c r="D13" s="22" t="s">
        <v>161</v>
      </c>
      <c r="E13" s="23">
        <v>45807</v>
      </c>
      <c r="F13" s="22">
        <v>140520</v>
      </c>
      <c r="G13" s="22">
        <v>135000</v>
      </c>
      <c r="H13" s="22">
        <v>152000</v>
      </c>
      <c r="I13" s="22">
        <f t="shared" si="0"/>
        <v>427520</v>
      </c>
    </row>
    <row r="14" spans="1:9">
      <c r="A14" s="22" t="s">
        <v>39</v>
      </c>
      <c r="B14" s="22" t="s">
        <v>40</v>
      </c>
      <c r="C14" s="22" t="s">
        <v>29</v>
      </c>
      <c r="D14" s="22" t="s">
        <v>30</v>
      </c>
      <c r="E14" s="23">
        <v>45229</v>
      </c>
      <c r="F14" s="22">
        <v>37000</v>
      </c>
      <c r="G14" s="22">
        <v>38000</v>
      </c>
      <c r="H14" s="22">
        <v>29000</v>
      </c>
      <c r="I14" s="22">
        <f t="shared" si="0"/>
        <v>104000</v>
      </c>
    </row>
    <row r="15" spans="1:9">
      <c r="A15" s="22" t="s">
        <v>41</v>
      </c>
      <c r="B15" s="22" t="s">
        <v>42</v>
      </c>
      <c r="C15" s="22" t="s">
        <v>20</v>
      </c>
      <c r="D15" s="22" t="s">
        <v>12</v>
      </c>
      <c r="E15" s="23">
        <v>45384</v>
      </c>
      <c r="F15" s="22">
        <v>135000</v>
      </c>
      <c r="G15" s="22">
        <v>178000</v>
      </c>
      <c r="H15" s="22">
        <v>120200</v>
      </c>
      <c r="I15" s="22">
        <f t="shared" si="0"/>
        <v>433200</v>
      </c>
    </row>
    <row r="16" spans="1:9">
      <c r="A16" s="22" t="s">
        <v>43</v>
      </c>
      <c r="B16" s="22" t="s">
        <v>44</v>
      </c>
      <c r="C16" s="22" t="s">
        <v>11</v>
      </c>
      <c r="D16" s="22" t="s">
        <v>21</v>
      </c>
      <c r="E16" s="23">
        <v>45803</v>
      </c>
      <c r="F16" s="22">
        <v>37000</v>
      </c>
      <c r="G16" s="22">
        <v>135000</v>
      </c>
      <c r="H16" s="22">
        <v>78000</v>
      </c>
      <c r="I16" s="22">
        <f t="shared" si="0"/>
        <v>250000</v>
      </c>
    </row>
    <row r="17" spans="1:9">
      <c r="A17" s="22" t="s">
        <v>45</v>
      </c>
      <c r="B17" s="22" t="s">
        <v>46</v>
      </c>
      <c r="C17" s="22" t="s">
        <v>11</v>
      </c>
      <c r="D17" s="22" t="s">
        <v>15</v>
      </c>
      <c r="E17" s="23">
        <v>45732</v>
      </c>
      <c r="F17" s="22">
        <v>7000</v>
      </c>
      <c r="G17" s="22">
        <v>38700</v>
      </c>
      <c r="H17" s="22">
        <v>122500</v>
      </c>
      <c r="I17" s="22">
        <f t="shared" si="0"/>
        <v>168200</v>
      </c>
    </row>
    <row r="18" spans="1:9">
      <c r="A18" s="22" t="s">
        <v>47</v>
      </c>
      <c r="B18" s="22" t="s">
        <v>48</v>
      </c>
      <c r="C18" s="22" t="s">
        <v>11</v>
      </c>
      <c r="D18" s="22" t="s">
        <v>21</v>
      </c>
      <c r="E18" s="23">
        <v>45542</v>
      </c>
      <c r="F18" s="22">
        <v>5800</v>
      </c>
      <c r="G18" s="22">
        <v>135000</v>
      </c>
      <c r="H18" s="22">
        <v>82020</v>
      </c>
      <c r="I18" s="22">
        <f t="shared" si="0"/>
        <v>222820</v>
      </c>
    </row>
    <row r="19" spans="1:9">
      <c r="A19" s="22" t="s">
        <v>49</v>
      </c>
      <c r="B19" s="22" t="s">
        <v>50</v>
      </c>
      <c r="C19" s="22" t="s">
        <v>11</v>
      </c>
      <c r="D19" s="22" t="s">
        <v>24</v>
      </c>
      <c r="E19" s="23">
        <v>45969</v>
      </c>
      <c r="F19" s="22">
        <v>38700</v>
      </c>
      <c r="G19" s="22">
        <v>37000</v>
      </c>
      <c r="H19" s="22">
        <v>14560</v>
      </c>
      <c r="I19" s="22">
        <f t="shared" si="0"/>
        <v>90260</v>
      </c>
    </row>
    <row r="20" spans="1:9">
      <c r="A20" s="22" t="s">
        <v>51</v>
      </c>
      <c r="B20" s="22" t="s">
        <v>52</v>
      </c>
      <c r="C20" s="22" t="s">
        <v>20</v>
      </c>
      <c r="D20" s="22" t="s">
        <v>30</v>
      </c>
      <c r="E20" s="23">
        <v>46023</v>
      </c>
      <c r="F20" s="22">
        <v>32500</v>
      </c>
      <c r="G20" s="22">
        <v>118000</v>
      </c>
      <c r="H20" s="22">
        <v>79020</v>
      </c>
      <c r="I20" s="22">
        <f t="shared" si="0"/>
        <v>229520</v>
      </c>
    </row>
  </sheetData>
  <phoneticPr fontId="1" type="noConversion"/>
  <pageMargins left="0.7" right="0.7" top="0.75" bottom="0.75" header="0.3" footer="0.3"/>
  <ignoredErrors>
    <ignoredError sqref="I3:I20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A45F5-1374-4EC8-AAA4-CFF1633FFF41}">
  <sheetPr codeName="Sheet4"/>
  <dimension ref="A2:M26"/>
  <sheetViews>
    <sheetView workbookViewId="0"/>
  </sheetViews>
  <sheetFormatPr defaultRowHeight="17"/>
  <cols>
    <col min="11" max="11" width="12.83203125" customWidth="1"/>
    <col min="12" max="12" width="14" customWidth="1"/>
  </cols>
  <sheetData>
    <row r="2" spans="1:13">
      <c r="A2" s="22" t="s">
        <v>53</v>
      </c>
      <c r="B2" s="22"/>
      <c r="C2" s="22"/>
      <c r="D2" s="22"/>
      <c r="E2" s="22"/>
      <c r="F2" s="22"/>
      <c r="G2" s="22"/>
      <c r="H2" s="22"/>
      <c r="I2" s="22"/>
      <c r="J2" s="22" t="s">
        <v>54</v>
      </c>
      <c r="K2" s="22" t="s">
        <v>55</v>
      </c>
    </row>
    <row r="3" spans="1:13">
      <c r="A3" s="16" t="s">
        <v>56</v>
      </c>
      <c r="B3" s="16" t="s">
        <v>57</v>
      </c>
      <c r="C3" s="16" t="s">
        <v>58</v>
      </c>
      <c r="D3" s="16" t="s">
        <v>59</v>
      </c>
      <c r="E3" s="16" t="s">
        <v>60</v>
      </c>
      <c r="F3" s="16" t="s">
        <v>61</v>
      </c>
      <c r="G3" s="16" t="s">
        <v>62</v>
      </c>
      <c r="H3" s="8" t="s">
        <v>63</v>
      </c>
      <c r="I3" s="22"/>
      <c r="J3" s="16" t="s">
        <v>64</v>
      </c>
      <c r="K3" s="8" t="s">
        <v>65</v>
      </c>
    </row>
    <row r="4" spans="1:13">
      <c r="A4" s="4">
        <v>1</v>
      </c>
      <c r="B4" s="4" t="s">
        <v>66</v>
      </c>
      <c r="C4" s="4" t="s">
        <v>67</v>
      </c>
      <c r="D4" s="24">
        <v>82</v>
      </c>
      <c r="E4" s="24">
        <v>56</v>
      </c>
      <c r="F4" s="24">
        <v>77</v>
      </c>
      <c r="G4" s="24">
        <v>91</v>
      </c>
      <c r="H4" s="24"/>
      <c r="I4" s="22"/>
      <c r="J4" s="4" t="s">
        <v>68</v>
      </c>
      <c r="K4" s="24"/>
    </row>
    <row r="5" spans="1:13">
      <c r="A5" s="4">
        <v>2</v>
      </c>
      <c r="B5" s="4" t="s">
        <v>69</v>
      </c>
      <c r="C5" s="4" t="s">
        <v>67</v>
      </c>
      <c r="D5" s="24">
        <v>85</v>
      </c>
      <c r="E5" s="24">
        <v>70</v>
      </c>
      <c r="F5" s="24">
        <v>78</v>
      </c>
      <c r="G5" s="24">
        <v>62</v>
      </c>
      <c r="H5" s="24"/>
      <c r="I5" s="22"/>
      <c r="J5" s="4" t="s">
        <v>70</v>
      </c>
      <c r="K5" s="24"/>
    </row>
    <row r="6" spans="1:13">
      <c r="A6" s="4">
        <v>3</v>
      </c>
      <c r="B6" s="4" t="s">
        <v>71</v>
      </c>
      <c r="C6" s="25" t="s">
        <v>70</v>
      </c>
      <c r="D6" s="24">
        <v>91</v>
      </c>
      <c r="E6" s="24">
        <v>62</v>
      </c>
      <c r="F6" s="24">
        <v>70</v>
      </c>
      <c r="G6" s="24">
        <v>82</v>
      </c>
      <c r="H6" s="24"/>
      <c r="I6" s="22"/>
      <c r="J6" s="4" t="s">
        <v>67</v>
      </c>
      <c r="K6" s="24"/>
    </row>
    <row r="7" spans="1:13">
      <c r="A7" s="4">
        <v>4</v>
      </c>
      <c r="B7" s="4" t="s">
        <v>72</v>
      </c>
      <c r="C7" s="25" t="s">
        <v>70</v>
      </c>
      <c r="D7" s="24">
        <v>92</v>
      </c>
      <c r="E7" s="24">
        <v>90</v>
      </c>
      <c r="F7" s="24">
        <v>78</v>
      </c>
      <c r="G7" s="24">
        <v>85</v>
      </c>
      <c r="H7" s="24"/>
      <c r="I7" s="22"/>
      <c r="J7" s="4" t="s">
        <v>74</v>
      </c>
      <c r="K7" s="24"/>
    </row>
    <row r="8" spans="1:13">
      <c r="A8" s="4">
        <v>5</v>
      </c>
      <c r="B8" s="4" t="s">
        <v>75</v>
      </c>
      <c r="C8" s="7" t="s">
        <v>67</v>
      </c>
      <c r="D8" s="24">
        <v>87</v>
      </c>
      <c r="E8" s="24">
        <v>85</v>
      </c>
      <c r="F8" s="24">
        <v>82</v>
      </c>
      <c r="G8" s="24">
        <v>70</v>
      </c>
      <c r="H8" s="24"/>
      <c r="I8" s="22"/>
      <c r="J8" s="22"/>
      <c r="K8" s="22"/>
    </row>
    <row r="9" spans="1:13">
      <c r="A9" s="4">
        <v>6</v>
      </c>
      <c r="B9" s="4" t="s">
        <v>76</v>
      </c>
      <c r="C9" s="25" t="s">
        <v>68</v>
      </c>
      <c r="D9" s="24">
        <v>78</v>
      </c>
      <c r="E9" s="24">
        <v>68</v>
      </c>
      <c r="F9" s="24">
        <v>78</v>
      </c>
      <c r="G9" s="24">
        <v>91</v>
      </c>
      <c r="H9" s="24"/>
      <c r="I9" s="22"/>
      <c r="J9" s="26" t="s">
        <v>79</v>
      </c>
      <c r="K9" s="26" t="s">
        <v>163</v>
      </c>
    </row>
    <row r="10" spans="1:13">
      <c r="A10" s="4">
        <v>7</v>
      </c>
      <c r="B10" s="4" t="s">
        <v>77</v>
      </c>
      <c r="C10" s="25" t="s">
        <v>68</v>
      </c>
      <c r="D10" s="24">
        <v>77</v>
      </c>
      <c r="E10" s="24">
        <v>78</v>
      </c>
      <c r="F10" s="24">
        <v>82</v>
      </c>
      <c r="G10" s="24">
        <v>91</v>
      </c>
      <c r="H10" s="24"/>
      <c r="I10" s="22"/>
      <c r="J10" s="16" t="s">
        <v>164</v>
      </c>
      <c r="K10" s="8" t="s">
        <v>165</v>
      </c>
    </row>
    <row r="11" spans="1:13">
      <c r="A11" s="4">
        <v>8</v>
      </c>
      <c r="B11" s="4" t="s">
        <v>80</v>
      </c>
      <c r="C11" s="25" t="s">
        <v>74</v>
      </c>
      <c r="D11" s="24">
        <v>77</v>
      </c>
      <c r="E11" s="24">
        <v>78</v>
      </c>
      <c r="F11" s="24">
        <v>76</v>
      </c>
      <c r="G11" s="24">
        <v>80</v>
      </c>
      <c r="H11" s="24"/>
      <c r="I11" s="22"/>
      <c r="J11" s="28">
        <v>0.5</v>
      </c>
      <c r="K11" s="4"/>
    </row>
    <row r="12" spans="1:13">
      <c r="A12" s="4">
        <v>9</v>
      </c>
      <c r="B12" s="4" t="s">
        <v>82</v>
      </c>
      <c r="C12" s="25" t="s">
        <v>70</v>
      </c>
      <c r="D12" s="24">
        <v>96</v>
      </c>
      <c r="E12" s="24">
        <v>82</v>
      </c>
      <c r="F12" s="24">
        <v>78</v>
      </c>
      <c r="G12" s="24">
        <v>56</v>
      </c>
      <c r="H12" s="24"/>
      <c r="I12" s="22"/>
      <c r="J12" s="28">
        <v>0.7</v>
      </c>
      <c r="K12" s="4"/>
    </row>
    <row r="13" spans="1:13">
      <c r="A13" s="4">
        <v>10</v>
      </c>
      <c r="B13" s="4" t="s">
        <v>83</v>
      </c>
      <c r="C13" s="4" t="s">
        <v>67</v>
      </c>
      <c r="D13" s="24">
        <v>84</v>
      </c>
      <c r="E13" s="24">
        <v>78</v>
      </c>
      <c r="F13" s="24">
        <v>69</v>
      </c>
      <c r="G13" s="24">
        <v>70</v>
      </c>
      <c r="H13" s="24"/>
      <c r="I13" s="22"/>
      <c r="J13" s="29">
        <v>0.9</v>
      </c>
      <c r="K13" s="4"/>
    </row>
    <row r="14" spans="1:13">
      <c r="A14" s="4">
        <v>11</v>
      </c>
      <c r="B14" s="4" t="s">
        <v>84</v>
      </c>
      <c r="C14" s="4" t="s">
        <v>67</v>
      </c>
      <c r="D14" s="24">
        <v>75</v>
      </c>
      <c r="E14" s="24">
        <v>95</v>
      </c>
      <c r="F14" s="24">
        <v>82</v>
      </c>
      <c r="G14" s="24">
        <v>82</v>
      </c>
      <c r="H14" s="24"/>
      <c r="I14" s="22"/>
      <c r="J14" s="22"/>
      <c r="K14" s="22"/>
    </row>
    <row r="15" spans="1:13">
      <c r="A15" s="4">
        <v>12</v>
      </c>
      <c r="B15" s="4" t="s">
        <v>85</v>
      </c>
      <c r="C15" s="25" t="s">
        <v>74</v>
      </c>
      <c r="D15" s="24">
        <v>72</v>
      </c>
      <c r="E15" s="24">
        <v>92</v>
      </c>
      <c r="F15" s="24">
        <v>95</v>
      </c>
      <c r="G15" s="24">
        <v>90</v>
      </c>
      <c r="H15" s="24"/>
      <c r="I15" s="22"/>
      <c r="J15" s="22" t="s">
        <v>86</v>
      </c>
      <c r="K15" s="22" t="s">
        <v>166</v>
      </c>
    </row>
    <row r="16" spans="1:13">
      <c r="A16" s="4">
        <v>13</v>
      </c>
      <c r="B16" s="4" t="s">
        <v>87</v>
      </c>
      <c r="C16" s="25" t="s">
        <v>74</v>
      </c>
      <c r="D16" s="24">
        <v>88</v>
      </c>
      <c r="E16" s="24">
        <v>95</v>
      </c>
      <c r="F16" s="24">
        <v>59</v>
      </c>
      <c r="G16" s="24">
        <v>82</v>
      </c>
      <c r="H16" s="24"/>
      <c r="I16" s="22"/>
      <c r="J16" s="30" t="s">
        <v>60</v>
      </c>
      <c r="K16" s="30"/>
      <c r="L16" s="8" t="s">
        <v>167</v>
      </c>
      <c r="M16" s="8" t="s">
        <v>162</v>
      </c>
    </row>
    <row r="17" spans="1:13">
      <c r="A17" s="4">
        <v>14</v>
      </c>
      <c r="B17" s="4" t="s">
        <v>88</v>
      </c>
      <c r="C17" s="25" t="s">
        <v>70</v>
      </c>
      <c r="D17" s="24">
        <v>92</v>
      </c>
      <c r="E17" s="24">
        <v>68</v>
      </c>
      <c r="F17" s="24">
        <v>77</v>
      </c>
      <c r="G17" s="24">
        <v>75</v>
      </c>
      <c r="H17" s="24"/>
      <c r="I17" s="22"/>
      <c r="J17" s="31">
        <v>0</v>
      </c>
      <c r="K17" s="32">
        <v>60</v>
      </c>
      <c r="L17" s="24"/>
      <c r="M17" s="27"/>
    </row>
    <row r="18" spans="1:13">
      <c r="A18" s="4">
        <v>15</v>
      </c>
      <c r="B18" s="4" t="s">
        <v>89</v>
      </c>
      <c r="C18" s="25" t="s">
        <v>74</v>
      </c>
      <c r="D18" s="24">
        <v>84</v>
      </c>
      <c r="E18" s="24">
        <v>56</v>
      </c>
      <c r="F18" s="24">
        <v>67</v>
      </c>
      <c r="G18" s="24">
        <v>87</v>
      </c>
      <c r="H18" s="24"/>
      <c r="I18" s="22"/>
      <c r="J18" s="31">
        <v>60</v>
      </c>
      <c r="K18" s="32">
        <v>70</v>
      </c>
      <c r="L18" s="24"/>
      <c r="M18" s="27"/>
    </row>
    <row r="19" spans="1:13">
      <c r="A19" s="4">
        <v>16</v>
      </c>
      <c r="B19" s="4" t="s">
        <v>90</v>
      </c>
      <c r="C19" s="7" t="s">
        <v>67</v>
      </c>
      <c r="D19" s="24">
        <v>97</v>
      </c>
      <c r="E19" s="24">
        <v>89</v>
      </c>
      <c r="F19" s="24">
        <v>88</v>
      </c>
      <c r="G19" s="24">
        <v>77</v>
      </c>
      <c r="H19" s="24"/>
      <c r="I19" s="22"/>
      <c r="J19" s="31">
        <v>70</v>
      </c>
      <c r="K19" s="32">
        <v>80</v>
      </c>
      <c r="L19" s="24"/>
      <c r="M19" s="27"/>
    </row>
    <row r="20" spans="1:13">
      <c r="A20" s="4">
        <v>17</v>
      </c>
      <c r="B20" s="4" t="s">
        <v>91</v>
      </c>
      <c r="C20" s="25" t="s">
        <v>68</v>
      </c>
      <c r="D20" s="24">
        <v>88</v>
      </c>
      <c r="E20" s="24">
        <v>69</v>
      </c>
      <c r="F20" s="24">
        <v>72</v>
      </c>
      <c r="G20" s="24">
        <v>68</v>
      </c>
      <c r="H20" s="24"/>
      <c r="I20" s="22"/>
      <c r="J20" s="31">
        <v>80</v>
      </c>
      <c r="K20" s="32">
        <v>90</v>
      </c>
      <c r="L20" s="24"/>
      <c r="M20" s="27"/>
    </row>
    <row r="21" spans="1:13">
      <c r="A21" s="4">
        <v>18</v>
      </c>
      <c r="B21" s="4" t="s">
        <v>92</v>
      </c>
      <c r="C21" s="25" t="s">
        <v>70</v>
      </c>
      <c r="D21" s="24">
        <v>88</v>
      </c>
      <c r="E21" s="24">
        <v>91</v>
      </c>
      <c r="F21" s="24">
        <v>78</v>
      </c>
      <c r="G21" s="24">
        <v>85</v>
      </c>
      <c r="H21" s="24"/>
      <c r="I21" s="22"/>
      <c r="J21" s="31">
        <v>90</v>
      </c>
      <c r="K21" s="32">
        <v>100</v>
      </c>
      <c r="L21" s="24"/>
      <c r="M21" s="27"/>
    </row>
    <row r="22" spans="1:13">
      <c r="A22" s="4">
        <v>19</v>
      </c>
      <c r="B22" s="4" t="s">
        <v>93</v>
      </c>
      <c r="C22" s="25" t="s">
        <v>74</v>
      </c>
      <c r="D22" s="24">
        <v>66</v>
      </c>
      <c r="E22" s="24">
        <v>92</v>
      </c>
      <c r="F22" s="24">
        <v>90</v>
      </c>
      <c r="G22" s="24">
        <v>97</v>
      </c>
      <c r="H22" s="24"/>
      <c r="I22" s="22"/>
      <c r="J22" s="22"/>
      <c r="K22" s="22"/>
    </row>
    <row r="23" spans="1:13">
      <c r="A23" s="4">
        <v>20</v>
      </c>
      <c r="B23" s="4" t="s">
        <v>94</v>
      </c>
      <c r="C23" s="7" t="s">
        <v>67</v>
      </c>
      <c r="D23" s="24">
        <v>92</v>
      </c>
      <c r="E23" s="24">
        <v>68</v>
      </c>
      <c r="F23" s="24">
        <v>91</v>
      </c>
      <c r="G23" s="24">
        <v>91</v>
      </c>
      <c r="H23" s="24"/>
      <c r="I23" s="22"/>
      <c r="J23" s="22"/>
      <c r="K23" s="22"/>
    </row>
    <row r="24" spans="1:13">
      <c r="A24" s="4">
        <v>21</v>
      </c>
      <c r="B24" s="4" t="s">
        <v>95</v>
      </c>
      <c r="C24" s="25" t="s">
        <v>68</v>
      </c>
      <c r="D24" s="24">
        <v>81</v>
      </c>
      <c r="E24" s="24">
        <v>78</v>
      </c>
      <c r="F24" s="24">
        <v>82</v>
      </c>
      <c r="G24" s="24">
        <v>77</v>
      </c>
      <c r="H24" s="24"/>
      <c r="I24" s="22"/>
      <c r="J24" s="22"/>
      <c r="K24" s="22"/>
    </row>
    <row r="25" spans="1:13">
      <c r="A25" s="4">
        <v>22</v>
      </c>
      <c r="B25" s="4" t="s">
        <v>96</v>
      </c>
      <c r="C25" s="25" t="s">
        <v>68</v>
      </c>
      <c r="D25" s="24">
        <v>76</v>
      </c>
      <c r="E25" s="24">
        <v>82</v>
      </c>
      <c r="F25" s="24">
        <v>80</v>
      </c>
      <c r="G25" s="24">
        <v>75</v>
      </c>
      <c r="H25" s="24"/>
      <c r="I25" s="22"/>
      <c r="J25" s="22"/>
      <c r="K25" s="22"/>
    </row>
    <row r="26" spans="1:13">
      <c r="A26" s="4">
        <v>23</v>
      </c>
      <c r="B26" s="4" t="s">
        <v>97</v>
      </c>
      <c r="C26" s="25" t="s">
        <v>74</v>
      </c>
      <c r="D26" s="24">
        <v>98</v>
      </c>
      <c r="E26" s="24">
        <v>98</v>
      </c>
      <c r="F26" s="24">
        <v>90</v>
      </c>
      <c r="G26" s="24">
        <v>80</v>
      </c>
      <c r="H26" s="24"/>
      <c r="I26" s="22"/>
      <c r="J26" s="22"/>
      <c r="K26" s="22"/>
    </row>
  </sheetData>
  <mergeCells count="1">
    <mergeCell ref="J16:K1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I11"/>
  <sheetViews>
    <sheetView workbookViewId="0"/>
  </sheetViews>
  <sheetFormatPr defaultRowHeight="17"/>
  <cols>
    <col min="2" max="2" width="18.25" bestFit="1" customWidth="1"/>
  </cols>
  <sheetData>
    <row r="2" spans="2:9" ht="34">
      <c r="B2" s="17" t="s">
        <v>139</v>
      </c>
      <c r="C2" s="18" t="s">
        <v>140</v>
      </c>
      <c r="D2" s="18" t="s">
        <v>141</v>
      </c>
      <c r="E2" s="18" t="s">
        <v>142</v>
      </c>
      <c r="F2" s="18" t="s">
        <v>143</v>
      </c>
      <c r="G2" s="18" t="s">
        <v>144</v>
      </c>
      <c r="H2" s="18" t="s">
        <v>145</v>
      </c>
      <c r="I2" s="18" t="s">
        <v>146</v>
      </c>
    </row>
    <row r="3" spans="2:9">
      <c r="B3" s="19" t="s">
        <v>147</v>
      </c>
      <c r="C3" s="20">
        <v>0.375</v>
      </c>
      <c r="D3" s="20">
        <v>0.83333333333333337</v>
      </c>
      <c r="E3" s="17">
        <v>100</v>
      </c>
      <c r="F3" s="17">
        <v>3000</v>
      </c>
      <c r="G3" s="17">
        <v>1000</v>
      </c>
      <c r="H3" s="17">
        <v>14</v>
      </c>
      <c r="I3" s="17">
        <v>7</v>
      </c>
    </row>
    <row r="4" spans="2:9">
      <c r="B4" s="19" t="s">
        <v>148</v>
      </c>
      <c r="C4" s="20">
        <v>0.41666666666666669</v>
      </c>
      <c r="D4" s="20">
        <v>0.66666666666666663</v>
      </c>
      <c r="E4" s="17">
        <v>28</v>
      </c>
      <c r="F4" s="17">
        <v>15000</v>
      </c>
      <c r="G4" s="17">
        <v>150</v>
      </c>
      <c r="H4" s="17">
        <v>6</v>
      </c>
      <c r="I4" s="17">
        <v>7</v>
      </c>
    </row>
    <row r="5" spans="2:9">
      <c r="B5" s="19" t="s">
        <v>149</v>
      </c>
      <c r="C5" s="20">
        <v>0.41666666666666669</v>
      </c>
      <c r="D5" s="20">
        <v>0.875</v>
      </c>
      <c r="E5" s="17">
        <v>30</v>
      </c>
      <c r="F5" s="17">
        <v>1000</v>
      </c>
      <c r="G5" s="17">
        <v>100</v>
      </c>
      <c r="H5" s="17">
        <v>14</v>
      </c>
      <c r="I5" s="17">
        <v>14</v>
      </c>
    </row>
    <row r="6" spans="2:9">
      <c r="B6" s="19" t="s">
        <v>150</v>
      </c>
      <c r="C6" s="20">
        <v>0.375</v>
      </c>
      <c r="D6" s="20">
        <v>0.83333333333333337</v>
      </c>
      <c r="E6" s="17">
        <v>8</v>
      </c>
      <c r="F6" s="17">
        <v>800</v>
      </c>
      <c r="G6" s="17">
        <v>200</v>
      </c>
      <c r="H6" s="17">
        <v>5</v>
      </c>
      <c r="I6" s="17">
        <v>7</v>
      </c>
    </row>
    <row r="7" spans="2:9">
      <c r="B7" s="19" t="s">
        <v>151</v>
      </c>
      <c r="C7" s="20">
        <v>0.41666666666666669</v>
      </c>
      <c r="D7" s="20">
        <v>0.875</v>
      </c>
      <c r="E7" s="17">
        <v>15</v>
      </c>
      <c r="F7" s="17">
        <v>840</v>
      </c>
      <c r="G7" s="17">
        <v>500</v>
      </c>
      <c r="H7" s="17">
        <v>7</v>
      </c>
      <c r="I7" s="17">
        <v>14</v>
      </c>
    </row>
    <row r="8" spans="2:9">
      <c r="B8" s="19" t="s">
        <v>152</v>
      </c>
      <c r="C8" s="20">
        <v>0.375</v>
      </c>
      <c r="D8" s="20">
        <v>0.79166666666666663</v>
      </c>
      <c r="E8" s="17">
        <v>18</v>
      </c>
      <c r="F8" s="17">
        <v>560</v>
      </c>
      <c r="G8" s="17">
        <v>300</v>
      </c>
      <c r="H8" s="17">
        <v>7</v>
      </c>
      <c r="I8" s="17">
        <v>7</v>
      </c>
    </row>
    <row r="9" spans="2:9">
      <c r="B9" s="19" t="s">
        <v>153</v>
      </c>
      <c r="C9" s="20">
        <v>0.375</v>
      </c>
      <c r="D9" s="20">
        <v>0.83333333333333337</v>
      </c>
      <c r="E9" s="17">
        <v>20</v>
      </c>
      <c r="F9" s="17">
        <v>500</v>
      </c>
      <c r="G9" s="17">
        <v>100</v>
      </c>
      <c r="H9" s="17">
        <v>5</v>
      </c>
      <c r="I9" s="17">
        <v>7</v>
      </c>
    </row>
    <row r="10" spans="2:9">
      <c r="B10" s="19" t="s">
        <v>154</v>
      </c>
      <c r="C10" s="20">
        <v>0.375</v>
      </c>
      <c r="D10" s="20">
        <v>0.83333333333333337</v>
      </c>
      <c r="E10" s="17">
        <v>24</v>
      </c>
      <c r="F10" s="17">
        <v>1000</v>
      </c>
      <c r="G10" s="17">
        <v>400</v>
      </c>
      <c r="H10" s="17">
        <v>5</v>
      </c>
      <c r="I10" s="17">
        <v>7</v>
      </c>
    </row>
    <row r="11" spans="2:9">
      <c r="B11" s="19" t="s">
        <v>155</v>
      </c>
      <c r="C11" s="20">
        <v>0.45833333333333331</v>
      </c>
      <c r="D11" s="20">
        <v>0.91666666666666663</v>
      </c>
      <c r="E11" s="17">
        <v>30</v>
      </c>
      <c r="F11" s="17">
        <v>2000</v>
      </c>
      <c r="G11" s="17">
        <v>200</v>
      </c>
      <c r="H11" s="17">
        <v>14</v>
      </c>
      <c r="I11" s="17">
        <v>14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H8"/>
  <sheetViews>
    <sheetView workbookViewId="0"/>
  </sheetViews>
  <sheetFormatPr defaultRowHeight="17"/>
  <cols>
    <col min="4" max="4" width="12.33203125" bestFit="1" customWidth="1"/>
  </cols>
  <sheetData>
    <row r="1" spans="2:8">
      <c r="B1" s="2"/>
      <c r="C1" s="2"/>
      <c r="D1" s="2"/>
      <c r="E1" s="2"/>
      <c r="F1" s="1" t="s">
        <v>117</v>
      </c>
      <c r="G1" s="2"/>
      <c r="H1" s="2"/>
    </row>
    <row r="2" spans="2:8">
      <c r="B2" s="9" t="s">
        <v>118</v>
      </c>
      <c r="C2" s="9" t="s">
        <v>119</v>
      </c>
      <c r="D2" s="9" t="s">
        <v>120</v>
      </c>
      <c r="E2" s="9" t="s">
        <v>121</v>
      </c>
      <c r="F2" s="9" t="s">
        <v>122</v>
      </c>
      <c r="G2" s="6" t="s">
        <v>123</v>
      </c>
      <c r="H2" s="6" t="s">
        <v>124</v>
      </c>
    </row>
    <row r="3" spans="2:8">
      <c r="B3" s="9" t="s">
        <v>125</v>
      </c>
      <c r="C3" s="10">
        <v>1500</v>
      </c>
      <c r="D3" s="10">
        <v>500</v>
      </c>
      <c r="E3" s="11">
        <v>800</v>
      </c>
      <c r="F3" s="11">
        <v>880</v>
      </c>
      <c r="G3" s="12">
        <f t="shared" ref="G3:G8" si="0">F3/E3</f>
        <v>1.1000000000000001</v>
      </c>
      <c r="H3" s="13">
        <f t="shared" ref="H3:H8" si="1">C3*F3</f>
        <v>1320000</v>
      </c>
    </row>
    <row r="4" spans="2:8">
      <c r="B4" s="9" t="s">
        <v>126</v>
      </c>
      <c r="C4" s="10">
        <v>2200</v>
      </c>
      <c r="D4" s="10">
        <v>450</v>
      </c>
      <c r="E4" s="11">
        <v>600</v>
      </c>
      <c r="F4" s="11">
        <v>560</v>
      </c>
      <c r="G4" s="12">
        <f t="shared" si="0"/>
        <v>0.93333333333333335</v>
      </c>
      <c r="H4" s="13">
        <f t="shared" si="1"/>
        <v>1232000</v>
      </c>
    </row>
    <row r="5" spans="2:8">
      <c r="B5" s="9" t="s">
        <v>127</v>
      </c>
      <c r="C5" s="10">
        <v>2800</v>
      </c>
      <c r="D5" s="10">
        <v>500</v>
      </c>
      <c r="E5" s="11">
        <v>550</v>
      </c>
      <c r="F5" s="11">
        <v>620</v>
      </c>
      <c r="G5" s="12">
        <f t="shared" si="0"/>
        <v>1.1272727272727272</v>
      </c>
      <c r="H5" s="13">
        <f t="shared" si="1"/>
        <v>1736000</v>
      </c>
    </row>
    <row r="6" spans="2:8">
      <c r="B6" s="9" t="s">
        <v>128</v>
      </c>
      <c r="C6" s="10">
        <v>3500</v>
      </c>
      <c r="D6" s="10">
        <v>400</v>
      </c>
      <c r="E6" s="11">
        <v>500</v>
      </c>
      <c r="F6" s="11">
        <v>540</v>
      </c>
      <c r="G6" s="12">
        <f t="shared" si="0"/>
        <v>1.08</v>
      </c>
      <c r="H6" s="13">
        <f t="shared" si="1"/>
        <v>1890000</v>
      </c>
    </row>
    <row r="7" spans="2:8">
      <c r="B7" s="9" t="s">
        <v>129</v>
      </c>
      <c r="C7" s="10">
        <v>4200</v>
      </c>
      <c r="D7" s="10">
        <v>250</v>
      </c>
      <c r="E7" s="11">
        <v>300</v>
      </c>
      <c r="F7" s="11">
        <v>300</v>
      </c>
      <c r="G7" s="12">
        <f t="shared" si="0"/>
        <v>1</v>
      </c>
      <c r="H7" s="13">
        <f t="shared" si="1"/>
        <v>1260000</v>
      </c>
    </row>
    <row r="8" spans="2:8">
      <c r="B8" s="9" t="s">
        <v>130</v>
      </c>
      <c r="C8" s="10">
        <v>5800</v>
      </c>
      <c r="D8" s="10">
        <v>400</v>
      </c>
      <c r="E8" s="11">
        <v>450</v>
      </c>
      <c r="F8" s="11">
        <v>540</v>
      </c>
      <c r="G8" s="12">
        <f t="shared" si="0"/>
        <v>1.2</v>
      </c>
      <c r="H8" s="13">
        <f t="shared" si="1"/>
        <v>3132000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D21"/>
  <sheetViews>
    <sheetView workbookViewId="0">
      <selection activeCell="S18" sqref="S18"/>
    </sheetView>
  </sheetViews>
  <sheetFormatPr defaultRowHeight="17"/>
  <cols>
    <col min="4" max="4" width="11.1640625" bestFit="1" customWidth="1"/>
  </cols>
  <sheetData>
    <row r="2" spans="1:4">
      <c r="A2" s="9" t="s">
        <v>1</v>
      </c>
      <c r="B2" s="9" t="s">
        <v>156</v>
      </c>
      <c r="C2" s="9" t="s">
        <v>157</v>
      </c>
      <c r="D2" s="9" t="s">
        <v>158</v>
      </c>
    </row>
    <row r="3" spans="1:4">
      <c r="A3" s="9" t="s">
        <v>106</v>
      </c>
      <c r="B3" s="9">
        <v>72</v>
      </c>
      <c r="C3" s="9">
        <v>82</v>
      </c>
      <c r="D3" s="9">
        <v>10</v>
      </c>
    </row>
    <row r="4" spans="1:4">
      <c r="A4" s="9" t="s">
        <v>108</v>
      </c>
      <c r="B4" s="9">
        <v>56</v>
      </c>
      <c r="C4" s="9">
        <v>77</v>
      </c>
      <c r="D4" s="9">
        <v>8</v>
      </c>
    </row>
    <row r="5" spans="1:4">
      <c r="A5" s="9" t="s">
        <v>115</v>
      </c>
      <c r="B5" s="9">
        <v>72</v>
      </c>
      <c r="C5" s="9">
        <v>68</v>
      </c>
      <c r="D5" s="9">
        <v>5</v>
      </c>
    </row>
    <row r="6" spans="1:4">
      <c r="A6" s="9" t="s">
        <v>100</v>
      </c>
      <c r="B6" s="9">
        <v>77</v>
      </c>
      <c r="C6" s="9">
        <v>75</v>
      </c>
      <c r="D6" s="9">
        <v>3</v>
      </c>
    </row>
    <row r="7" spans="1:4">
      <c r="A7" s="9" t="s">
        <v>101</v>
      </c>
      <c r="B7" s="9">
        <v>67</v>
      </c>
      <c r="C7" s="9">
        <v>87</v>
      </c>
      <c r="D7" s="9">
        <v>7</v>
      </c>
    </row>
    <row r="8" spans="1:4">
      <c r="A8" s="9" t="s">
        <v>109</v>
      </c>
      <c r="B8" s="9">
        <v>70</v>
      </c>
      <c r="C8" s="9">
        <v>78</v>
      </c>
      <c r="D8" s="9" t="s">
        <v>159</v>
      </c>
    </row>
    <row r="9" spans="1:4">
      <c r="A9" s="9" t="s">
        <v>98</v>
      </c>
      <c r="B9" s="9">
        <v>82</v>
      </c>
      <c r="C9" s="9">
        <v>89</v>
      </c>
      <c r="D9" s="9">
        <v>0</v>
      </c>
    </row>
    <row r="10" spans="1:4">
      <c r="A10" s="9" t="s">
        <v>99</v>
      </c>
      <c r="B10" s="9">
        <v>89</v>
      </c>
      <c r="C10" s="9">
        <v>82</v>
      </c>
      <c r="D10" s="9" t="s">
        <v>159</v>
      </c>
    </row>
    <row r="11" spans="1:4">
      <c r="A11" s="9" t="s">
        <v>102</v>
      </c>
      <c r="B11" s="9">
        <v>78</v>
      </c>
      <c r="C11" s="9">
        <v>85</v>
      </c>
      <c r="D11" s="9">
        <v>10</v>
      </c>
    </row>
    <row r="12" spans="1:4">
      <c r="A12" s="9" t="s">
        <v>103</v>
      </c>
      <c r="B12" s="9">
        <v>90</v>
      </c>
      <c r="C12" s="9">
        <v>97</v>
      </c>
      <c r="D12" s="9">
        <v>10</v>
      </c>
    </row>
    <row r="13" spans="1:4">
      <c r="A13" s="9" t="s">
        <v>104</v>
      </c>
      <c r="B13" s="9">
        <v>90</v>
      </c>
      <c r="C13" s="9">
        <v>80</v>
      </c>
      <c r="D13" s="9">
        <v>9</v>
      </c>
    </row>
    <row r="14" spans="1:4">
      <c r="A14" s="9" t="s">
        <v>105</v>
      </c>
      <c r="B14" s="9">
        <v>76</v>
      </c>
      <c r="C14" s="9">
        <v>84</v>
      </c>
      <c r="D14" s="9">
        <v>9</v>
      </c>
    </row>
    <row r="15" spans="1:4">
      <c r="A15" s="9" t="s">
        <v>107</v>
      </c>
      <c r="B15" s="9">
        <v>80</v>
      </c>
      <c r="C15" s="9">
        <v>82</v>
      </c>
      <c r="D15" s="9">
        <v>6</v>
      </c>
    </row>
    <row r="16" spans="1:4">
      <c r="A16" s="9" t="s">
        <v>110</v>
      </c>
      <c r="B16" s="9">
        <v>61</v>
      </c>
      <c r="C16" s="9">
        <v>62</v>
      </c>
      <c r="D16" s="9">
        <v>5</v>
      </c>
    </row>
    <row r="17" spans="1:4">
      <c r="A17" s="9" t="s">
        <v>111</v>
      </c>
      <c r="B17" s="9">
        <v>85</v>
      </c>
      <c r="C17" s="9">
        <v>82</v>
      </c>
      <c r="D17" s="9">
        <v>4</v>
      </c>
    </row>
    <row r="18" spans="1:4">
      <c r="A18" s="9" t="s">
        <v>112</v>
      </c>
      <c r="B18" s="9">
        <v>68</v>
      </c>
      <c r="C18" s="9">
        <v>77</v>
      </c>
      <c r="D18" s="9">
        <v>9</v>
      </c>
    </row>
    <row r="19" spans="1:4">
      <c r="A19" s="9" t="s">
        <v>113</v>
      </c>
      <c r="B19" s="9">
        <v>78</v>
      </c>
      <c r="C19" s="9">
        <v>91</v>
      </c>
      <c r="D19" s="9">
        <v>7</v>
      </c>
    </row>
    <row r="20" spans="1:4">
      <c r="A20" s="9" t="s">
        <v>114</v>
      </c>
      <c r="B20" s="9">
        <v>72</v>
      </c>
      <c r="C20" s="9">
        <v>67</v>
      </c>
      <c r="D20" s="9">
        <v>0</v>
      </c>
    </row>
    <row r="21" spans="1:4">
      <c r="A21" s="9" t="s">
        <v>116</v>
      </c>
      <c r="B21" s="9">
        <v>90</v>
      </c>
      <c r="C21" s="9">
        <v>92</v>
      </c>
      <c r="D21" s="9" t="s">
        <v>160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G15"/>
  <sheetViews>
    <sheetView workbookViewId="0"/>
  </sheetViews>
  <sheetFormatPr defaultRowHeight="17"/>
  <cols>
    <col min="1" max="1" width="10.33203125" customWidth="1"/>
    <col min="2" max="2" width="10.83203125" customWidth="1"/>
    <col min="3" max="3" width="13.9140625" customWidth="1"/>
    <col min="4" max="4" width="12.58203125" customWidth="1"/>
    <col min="5" max="5" width="12.25" customWidth="1"/>
  </cols>
  <sheetData>
    <row r="1" spans="1:7" ht="17.5">
      <c r="A1" s="14" t="s">
        <v>131</v>
      </c>
      <c r="B1" s="15"/>
      <c r="C1" s="15"/>
      <c r="D1" s="15"/>
      <c r="E1" s="15"/>
    </row>
    <row r="2" spans="1:7">
      <c r="A2" s="2"/>
      <c r="B2" s="2"/>
      <c r="C2" s="2"/>
      <c r="D2" s="2"/>
      <c r="E2" s="2"/>
    </row>
    <row r="3" spans="1:7">
      <c r="A3" s="2"/>
      <c r="B3" s="2"/>
      <c r="C3" s="2"/>
      <c r="D3" s="2"/>
      <c r="E3" s="2"/>
    </row>
    <row r="4" spans="1:7">
      <c r="A4" s="16" t="s">
        <v>81</v>
      </c>
      <c r="B4" s="16" t="s">
        <v>132</v>
      </c>
      <c r="C4" s="16" t="s">
        <v>133</v>
      </c>
      <c r="D4" s="16" t="s">
        <v>134</v>
      </c>
      <c r="E4" s="3" t="s">
        <v>135</v>
      </c>
      <c r="G4" s="1" t="s">
        <v>137</v>
      </c>
    </row>
    <row r="5" spans="1:7">
      <c r="A5" s="5" t="s">
        <v>78</v>
      </c>
      <c r="B5" s="5" t="s">
        <v>136</v>
      </c>
      <c r="C5" s="5">
        <v>100</v>
      </c>
      <c r="D5" s="5">
        <v>100</v>
      </c>
      <c r="E5" s="5">
        <v>100</v>
      </c>
      <c r="G5" s="2" t="s">
        <v>78</v>
      </c>
    </row>
    <row r="6" spans="1:7">
      <c r="A6" s="5"/>
      <c r="B6" s="5"/>
      <c r="C6" s="5"/>
      <c r="D6" s="5"/>
      <c r="E6" s="5"/>
      <c r="G6" s="2" t="s">
        <v>73</v>
      </c>
    </row>
    <row r="7" spans="1:7">
      <c r="A7" s="5"/>
      <c r="B7" s="5"/>
      <c r="C7" s="5"/>
      <c r="D7" s="5"/>
      <c r="E7" s="5"/>
      <c r="G7" s="2" t="s">
        <v>67</v>
      </c>
    </row>
    <row r="8" spans="1:7">
      <c r="A8" s="5"/>
      <c r="B8" s="5"/>
      <c r="C8" s="5"/>
      <c r="D8" s="5"/>
      <c r="E8" s="5"/>
      <c r="G8" s="2" t="s">
        <v>74</v>
      </c>
    </row>
    <row r="9" spans="1:7">
      <c r="A9" s="5"/>
      <c r="B9" s="5"/>
      <c r="C9" s="5"/>
      <c r="D9" s="5"/>
      <c r="E9" s="5"/>
      <c r="G9" s="2" t="s">
        <v>138</v>
      </c>
    </row>
    <row r="10" spans="1:7">
      <c r="A10" s="5"/>
      <c r="B10" s="5"/>
      <c r="C10" s="5"/>
      <c r="D10" s="5"/>
      <c r="E10" s="5"/>
    </row>
    <row r="11" spans="1:7">
      <c r="A11" s="5"/>
      <c r="B11" s="5"/>
      <c r="C11" s="5"/>
      <c r="D11" s="5"/>
      <c r="E11" s="5"/>
    </row>
    <row r="12" spans="1:7">
      <c r="A12" s="5"/>
      <c r="B12" s="5"/>
      <c r="C12" s="5"/>
      <c r="D12" s="5"/>
      <c r="E12" s="5"/>
    </row>
    <row r="13" spans="1:7">
      <c r="A13" s="5"/>
      <c r="B13" s="5"/>
      <c r="C13" s="5"/>
      <c r="D13" s="5"/>
      <c r="E13" s="5"/>
    </row>
    <row r="14" spans="1:7">
      <c r="A14" s="5"/>
      <c r="B14" s="5"/>
      <c r="C14" s="5"/>
      <c r="D14" s="5"/>
      <c r="E14" s="5"/>
    </row>
    <row r="15" spans="1:7">
      <c r="A15" s="5"/>
      <c r="B15" s="5"/>
      <c r="C15" s="5"/>
      <c r="D15" s="5"/>
      <c r="E15" s="5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인사고과입력현황">
          <controlPr defaultSize="0" autoLine="0" r:id="rId4">
            <anchor moveWithCells="1">
              <from>
                <xdr:col>6</xdr:col>
                <xdr:colOff>0</xdr:colOff>
                <xdr:row>0</xdr:row>
                <xdr:rowOff>158750</xdr:rowOff>
              </from>
              <to>
                <xdr:col>8</xdr:col>
                <xdr:colOff>0</xdr:colOff>
                <xdr:row>2</xdr:row>
                <xdr:rowOff>69850</xdr:rowOff>
              </to>
            </anchor>
          </controlPr>
        </control>
      </mc:Choice>
      <mc:Fallback>
        <control shapeId="7169" r:id="rId3" name="인사고과입력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2023-04-23T05:11:49Z</dcterms:modified>
</cp:coreProperties>
</file>