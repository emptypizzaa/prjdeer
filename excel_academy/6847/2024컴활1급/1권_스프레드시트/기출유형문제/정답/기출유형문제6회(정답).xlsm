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기출변형문제\정답\"/>
    </mc:Choice>
  </mc:AlternateContent>
  <xr:revisionPtr revIDLastSave="0" documentId="13_ncr:1_{2D49632B-8EB9-4DE7-881D-27104503EF25}" xr6:coauthVersionLast="47" xr6:coauthVersionMax="47" xr10:uidLastSave="{00000000-0000-0000-0000-000000000000}"/>
  <bookViews>
    <workbookView xWindow="17505" yWindow="1485" windowWidth="20895" windowHeight="12510" tabRatio="937" activeTab="2" xr2:uid="{00000000-000D-0000-FFFF-FFFF00000000}"/>
  </bookViews>
  <sheets>
    <sheet name="기본작업-1" sheetId="2" r:id="rId1"/>
    <sheet name="기본작업-2" sheetId="9" r:id="rId2"/>
    <sheet name="계산작업-1" sheetId="3" r:id="rId3"/>
    <sheet name="계산작업-2" sheetId="4" r:id="rId4"/>
    <sheet name="분석작업-1" sheetId="5" r:id="rId5"/>
    <sheet name="상반기" sheetId="12" r:id="rId6"/>
    <sheet name="하반기" sheetId="13" r:id="rId7"/>
    <sheet name="기타작업-1" sheetId="7" r:id="rId8"/>
    <sheet name="기타작업-2" sheetId="11" r:id="rId9"/>
    <sheet name="기타작업-3" sheetId="8" r:id="rId10"/>
  </sheets>
  <functionGroups builtInGroupCount="19"/>
  <definedNames>
    <definedName name="_xlnm._FilterDatabase" localSheetId="0" hidden="1">'기본작업-1'!$A$2:$F$28</definedName>
    <definedName name="_xlnm.Criteria" localSheetId="0">'기본작업-1'!$A$30:$A$31</definedName>
    <definedName name="_xlnm.Extract" localSheetId="0">'기본작업-1'!$A$35:$D$35</definedName>
    <definedName name="_xlnm.Print_Area" localSheetId="1">'기본작업-2'!$A$1:$F$28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직급부서" name="직급부서" connection="직급부서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3" l="1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10" i="3"/>
  <c r="B3" i="3" a="1"/>
  <c r="B3" i="3" s="1"/>
  <c r="B4" i="3" a="1"/>
  <c r="B4" i="3" s="1"/>
  <c r="B5" i="3" a="1"/>
  <c r="B5" i="3" s="1"/>
  <c r="C3" i="3" a="1"/>
  <c r="C3" i="3" s="1"/>
  <c r="C4" i="3" a="1"/>
  <c r="C4" i="3" s="1"/>
  <c r="C5" i="3" a="1"/>
  <c r="C5" i="3" s="1"/>
  <c r="D4" i="4"/>
  <c r="D5" i="4"/>
  <c r="D6" i="4"/>
  <c r="D7" i="4"/>
  <c r="D8" i="4"/>
  <c r="D9" i="4"/>
  <c r="D10" i="4"/>
  <c r="D11" i="4"/>
  <c r="D12" i="4"/>
  <c r="D13" i="4"/>
  <c r="D14" i="4"/>
  <c r="D15" i="4"/>
  <c r="D3" i="4"/>
  <c r="E13" i="4" a="1"/>
  <c r="E12" i="4" a="1"/>
  <c r="E9" i="4" a="1"/>
  <c r="E8" i="4" a="1"/>
  <c r="E7" i="4" a="1"/>
  <c r="E6" i="4" a="1"/>
  <c r="E4" i="4" a="1"/>
  <c r="E10" i="4" a="1"/>
  <c r="E11" i="4" a="1"/>
  <c r="E5" i="4" a="1"/>
  <c r="E3" i="4" a="1"/>
  <c r="E15" i="4" a="1"/>
  <c r="E14" i="4" a="1"/>
  <c r="E13" i="4" l="1"/>
  <c r="E12" i="4"/>
  <c r="E11" i="4"/>
  <c r="E10" i="4"/>
  <c r="E9" i="4"/>
  <c r="E8" i="4"/>
  <c r="E7" i="4"/>
  <c r="E6" i="4"/>
  <c r="E15" i="4"/>
  <c r="E5" i="4"/>
  <c r="E14" i="4"/>
  <c r="E4" i="4"/>
  <c r="E3" i="4"/>
  <c r="A31" i="2" l="1"/>
  <c r="F4" i="3" l="1" a="1"/>
  <c r="F4" i="3" s="1"/>
  <c r="F5" i="3" a="1"/>
  <c r="F5" i="3" s="1"/>
  <c r="F6" i="3" a="1"/>
  <c r="F6" i="3" s="1"/>
  <c r="F7" i="3" a="1"/>
  <c r="F7" i="3" s="1"/>
  <c r="F3" i="3" a="1"/>
  <c r="F3" i="3" s="1"/>
  <c r="E8" i="7" l="1"/>
  <c r="D8" i="7"/>
  <c r="C8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모의고사\직급부서.accdb;DefaultDir=E:\영진(2021년)\1급\excel\스프레드시트(파일) - 최종\모의고사;DriverId=25;FIL=MS Access;MaxBufferSize=2048;PageTimeout=5;" command="SELECT 급여현황.부서, 급여현황.직급, 급여현황.기본급, 급여현황.상여금, 급여현황.급여합계_x000d__x000a_FROM 급여현황 급여현황"/>
  </connection>
  <connection id="2" xr16:uid="{00000000-0015-0000-FFFF-FFFF01000000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name="직급부서" type="103" refreshedVersion="6" minRefreshableVersion="5">
    <extLst>
      <ext xmlns:x15="http://schemas.microsoft.com/office/spreadsheetml/2010/11/main" uri="{DE250136-89BD-433C-8126-D09CA5730AF9}">
        <x15:connection id="직급부서" autoDelete="1">
          <x15:textPr prompt="0" codePage="949" sourceFile="E:\영진(2022년)\기본서\1급\2022컴활1급\스프레드시트\기출변형문제\직급부서.csv" tab="0" comma="1">
            <textFields count="8">
              <textField/>
              <textField type="skip"/>
              <textField/>
              <textField/>
              <textField/>
              <textField/>
              <textField type="skip"/>
              <textField type="skip"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<sst xmlns="http://schemas.openxmlformats.org/spreadsheetml/2006/main" count="622" uniqueCount="241">
  <si>
    <t>[표1] 자격증 취득현황</t>
    <phoneticPr fontId="4" type="noConversion"/>
  </si>
  <si>
    <t>학번</t>
  </si>
  <si>
    <t>성명</t>
  </si>
  <si>
    <t>학과</t>
    <phoneticPr fontId="5" type="noConversion"/>
  </si>
  <si>
    <t>자격증명</t>
  </si>
  <si>
    <t>시행청</t>
  </si>
  <si>
    <t>취득일자</t>
  </si>
  <si>
    <t>김미분</t>
  </si>
  <si>
    <t>경영학과</t>
    <phoneticPr fontId="4" type="noConversion"/>
  </si>
  <si>
    <t>컴퓨터활용능력 2급</t>
  </si>
  <si>
    <t>대한상공회의소</t>
  </si>
  <si>
    <t>워드프로세서 1급</t>
  </si>
  <si>
    <t>박용훈</t>
  </si>
  <si>
    <t>사무자동화산업기사</t>
  </si>
  <si>
    <t>한국산업인력공단</t>
  </si>
  <si>
    <t>최유리</t>
  </si>
  <si>
    <t>정보처리산업기사</t>
  </si>
  <si>
    <t>경영학과</t>
    <phoneticPr fontId="4" type="noConversion"/>
  </si>
  <si>
    <t>이은영</t>
  </si>
  <si>
    <t>이은지</t>
  </si>
  <si>
    <t>홍은지</t>
  </si>
  <si>
    <t>김영철</t>
    <phoneticPr fontId="4" type="noConversion"/>
  </si>
  <si>
    <t>회계학과</t>
    <phoneticPr fontId="4" type="noConversion"/>
  </si>
  <si>
    <t>정보기기운용기능사</t>
  </si>
  <si>
    <t>김영철</t>
    <phoneticPr fontId="4" type="noConversion"/>
  </si>
  <si>
    <t>정보처리기능사</t>
  </si>
  <si>
    <t>회계학과</t>
    <phoneticPr fontId="4" type="noConversion"/>
  </si>
  <si>
    <t>전산회계 2급</t>
  </si>
  <si>
    <t>한국세무사회</t>
  </si>
  <si>
    <t>김민혜</t>
  </si>
  <si>
    <t>전산회계운용사 1급</t>
  </si>
  <si>
    <t>이근영</t>
  </si>
  <si>
    <t>김은정</t>
  </si>
  <si>
    <t>회계학과</t>
    <phoneticPr fontId="4" type="noConversion"/>
  </si>
  <si>
    <t>최종두</t>
  </si>
  <si>
    <t>이영주</t>
    <phoneticPr fontId="4" type="noConversion"/>
  </si>
  <si>
    <t>교육학과</t>
    <phoneticPr fontId="4" type="noConversion"/>
  </si>
  <si>
    <t>전산회계운용사 2급</t>
  </si>
  <si>
    <t>교육학과</t>
    <phoneticPr fontId="4" type="noConversion"/>
  </si>
  <si>
    <t>비서 2급</t>
  </si>
  <si>
    <t>김진아</t>
    <phoneticPr fontId="4" type="noConversion"/>
  </si>
  <si>
    <t>김진아</t>
    <phoneticPr fontId="4" type="noConversion"/>
  </si>
  <si>
    <t>김주영</t>
    <phoneticPr fontId="4" type="noConversion"/>
  </si>
  <si>
    <t>비서 1급</t>
  </si>
  <si>
    <t>[표1] 시행청별 자격증 취득 현황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</si>
  <si>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</t>
    </r>
    <r>
      <rPr>
        <sz val="11"/>
        <rFont val="맑은 고딕"/>
        <family val="3"/>
        <charset val="129"/>
        <scheme val="minor"/>
      </rPr>
      <t>]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자격증명별 취득 현황</t>
    </r>
    <phoneticPr fontId="4" type="noConversion"/>
  </si>
  <si>
    <t>학과명</t>
    <phoneticPr fontId="4" type="noConversion"/>
  </si>
  <si>
    <t>대한상공회의소</t>
    <phoneticPr fontId="4" type="noConversion"/>
  </si>
  <si>
    <t>한국산업인력공단</t>
    <phoneticPr fontId="4" type="noConversion"/>
  </si>
  <si>
    <t>자격증</t>
    <phoneticPr fontId="4" type="noConversion"/>
  </si>
  <si>
    <t>취득명수</t>
    <phoneticPr fontId="4" type="noConversion"/>
  </si>
  <si>
    <t>경영학과</t>
    <phoneticPr fontId="4" type="noConversion"/>
  </si>
  <si>
    <t>컴퓨터활용</t>
    <phoneticPr fontId="4" type="noConversion"/>
  </si>
  <si>
    <t>경제학과</t>
    <phoneticPr fontId="4" type="noConversion"/>
  </si>
  <si>
    <t>비서</t>
    <phoneticPr fontId="4" type="noConversion"/>
  </si>
  <si>
    <t>비서학과</t>
    <phoneticPr fontId="4" type="noConversion"/>
  </si>
  <si>
    <t>워드</t>
    <phoneticPr fontId="4" type="noConversion"/>
  </si>
  <si>
    <t>전자상거래</t>
    <phoneticPr fontId="4" type="noConversion"/>
  </si>
  <si>
    <t>전산회계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</si>
  <si>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</t>
    </r>
    <r>
      <rPr>
        <sz val="11"/>
        <rFont val="맑은 고딕"/>
        <family val="3"/>
        <charset val="129"/>
        <scheme val="minor"/>
      </rPr>
      <t>] 자격증 취득현황</t>
    </r>
    <phoneticPr fontId="4" type="noConversion"/>
  </si>
  <si>
    <t>학과</t>
    <phoneticPr fontId="5" type="noConversion"/>
  </si>
  <si>
    <t>자격증 장학금</t>
    <phoneticPr fontId="4" type="noConversion"/>
  </si>
  <si>
    <t>김주영</t>
    <phoneticPr fontId="4" type="noConversion"/>
  </si>
  <si>
    <t>비서학과</t>
    <phoneticPr fontId="4" type="noConversion"/>
  </si>
  <si>
    <t>김영철</t>
    <phoneticPr fontId="4" type="noConversion"/>
  </si>
  <si>
    <t>경제학과</t>
    <phoneticPr fontId="4" type="noConversion"/>
  </si>
  <si>
    <t>경제학과</t>
    <phoneticPr fontId="4" type="noConversion"/>
  </si>
  <si>
    <t>김진아</t>
    <phoneticPr fontId="4" type="noConversion"/>
  </si>
  <si>
    <t>비서학과</t>
    <phoneticPr fontId="4" type="noConversion"/>
  </si>
  <si>
    <t>김영철</t>
    <phoneticPr fontId="4" type="noConversion"/>
  </si>
  <si>
    <t>전자상거래운용사</t>
  </si>
  <si>
    <t>이영주</t>
    <phoneticPr fontId="4" type="noConversion"/>
  </si>
  <si>
    <t>김주영</t>
    <phoneticPr fontId="4" type="noConversion"/>
  </si>
  <si>
    <t>비서 3급</t>
  </si>
  <si>
    <t>김주영</t>
    <phoneticPr fontId="4" type="noConversion"/>
  </si>
  <si>
    <t>워드프로세서 2급</t>
  </si>
  <si>
    <t>최일우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</si>
  <si>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 자격증별 장학금</t>
    </r>
    <phoneticPr fontId="4" type="noConversion"/>
  </si>
  <si>
    <t>금액</t>
    <phoneticPr fontId="4" type="noConversion"/>
  </si>
  <si>
    <t>부서</t>
  </si>
  <si>
    <t>직급</t>
  </si>
  <si>
    <t>인사부</t>
  </si>
  <si>
    <t>사원</t>
  </si>
  <si>
    <t>기획부</t>
  </si>
  <si>
    <t>판매부</t>
  </si>
  <si>
    <t>대리</t>
  </si>
  <si>
    <t>총무부</t>
  </si>
  <si>
    <t>부장</t>
  </si>
  <si>
    <t>생산부</t>
  </si>
  <si>
    <t>과장</t>
  </si>
  <si>
    <t>[표1] 담배판매량</t>
    <phoneticPr fontId="4" type="noConversion"/>
  </si>
  <si>
    <t>구분</t>
    <phoneticPr fontId="4" type="noConversion"/>
  </si>
  <si>
    <t>A사</t>
    <phoneticPr fontId="4" type="noConversion"/>
  </si>
  <si>
    <t>B사</t>
    <phoneticPr fontId="4" type="noConversion"/>
  </si>
  <si>
    <t>C사</t>
    <phoneticPr fontId="4" type="noConversion"/>
  </si>
  <si>
    <t>D사</t>
    <phoneticPr fontId="4" type="noConversion"/>
  </si>
  <si>
    <t>합계</t>
    <phoneticPr fontId="4" type="noConversion"/>
  </si>
  <si>
    <t>은행명</t>
    <phoneticPr fontId="4" type="noConversion"/>
  </si>
  <si>
    <t>계좌번호</t>
    <phoneticPr fontId="4" type="noConversion"/>
  </si>
  <si>
    <t>예금주</t>
    <phoneticPr fontId="4" type="noConversion"/>
  </si>
  <si>
    <t>하나은행</t>
    <phoneticPr fontId="4" type="noConversion"/>
  </si>
  <si>
    <t>924-01234-333</t>
    <phoneticPr fontId="4" type="noConversion"/>
  </si>
  <si>
    <t>주)대한상</t>
    <phoneticPr fontId="4" type="noConversion"/>
  </si>
  <si>
    <t>국민은행</t>
    <phoneticPr fontId="4" type="noConversion"/>
  </si>
  <si>
    <t>137-18340-251</t>
    <phoneticPr fontId="4" type="noConversion"/>
  </si>
  <si>
    <t>신한은행</t>
    <phoneticPr fontId="4" type="noConversion"/>
  </si>
  <si>
    <t>016-24891-555</t>
    <phoneticPr fontId="4" type="noConversion"/>
  </si>
  <si>
    <t>주)대한상</t>
    <phoneticPr fontId="4" type="noConversion"/>
  </si>
  <si>
    <t>카드명</t>
    <phoneticPr fontId="4" type="noConversion"/>
  </si>
  <si>
    <t>국민카드</t>
    <phoneticPr fontId="4" type="noConversion"/>
  </si>
  <si>
    <t>비씨카드</t>
    <phoneticPr fontId="4" type="noConversion"/>
  </si>
  <si>
    <t>신한카드</t>
    <phoneticPr fontId="4" type="noConversion"/>
  </si>
  <si>
    <t>외환카드</t>
    <phoneticPr fontId="4" type="noConversion"/>
  </si>
  <si>
    <t>[표1] 결제내역</t>
    <phoneticPr fontId="4" type="noConversion"/>
  </si>
  <si>
    <t/>
  </si>
  <si>
    <t>결제종류</t>
    <phoneticPr fontId="4" type="noConversion"/>
  </si>
  <si>
    <t>카드/은행명</t>
    <phoneticPr fontId="4" type="noConversion"/>
  </si>
  <si>
    <t>금액</t>
    <phoneticPr fontId="4" type="noConversion"/>
  </si>
  <si>
    <t>값</t>
  </si>
  <si>
    <t>접수번호</t>
  </si>
  <si>
    <t>주소</t>
  </si>
  <si>
    <t>대출지점</t>
  </si>
  <si>
    <t>대출금액</t>
  </si>
  <si>
    <t>대출기간</t>
  </si>
  <si>
    <t>김진석</t>
  </si>
  <si>
    <t>대전시 유성구 온천동</t>
  </si>
  <si>
    <t>충청</t>
  </si>
  <si>
    <t>구준식</t>
  </si>
  <si>
    <t>서울시 종로구 팔판동</t>
  </si>
  <si>
    <t>서울</t>
  </si>
  <si>
    <t>이진태</t>
  </si>
  <si>
    <t>경기도 안양시 동안구</t>
  </si>
  <si>
    <t>경기</t>
  </si>
  <si>
    <t>이재철</t>
  </si>
  <si>
    <t>박세희</t>
  </si>
  <si>
    <t>서울시 서대문구 역촌동</t>
  </si>
  <si>
    <t>박순영</t>
  </si>
  <si>
    <t>부산시 중구 대창동</t>
  </si>
  <si>
    <t>부산</t>
  </si>
  <si>
    <t>이성재</t>
  </si>
  <si>
    <t>경기도 부천시 원미구</t>
  </si>
  <si>
    <t>설진구</t>
  </si>
  <si>
    <t>이영민</t>
  </si>
  <si>
    <t>경기도 시흥시 은행동</t>
  </si>
  <si>
    <t>도희철</t>
  </si>
  <si>
    <t>서울시 강남구 역삼동</t>
  </si>
  <si>
    <t>우진우</t>
  </si>
  <si>
    <t>대전시 유성구 어은동</t>
  </si>
  <si>
    <t>민애라</t>
  </si>
  <si>
    <t>부산시 동구 범일동</t>
  </si>
  <si>
    <t>민승렬</t>
  </si>
  <si>
    <t>부산시 부산진구 동평동</t>
  </si>
  <si>
    <t>최만용</t>
  </si>
  <si>
    <t>서울시 중구 필동</t>
  </si>
  <si>
    <t>오태열</t>
  </si>
  <si>
    <t>서울시 양천구 목동</t>
  </si>
  <si>
    <t>장우석</t>
  </si>
  <si>
    <t>대전시 서구 둔산동</t>
  </si>
  <si>
    <t>형연주</t>
  </si>
  <si>
    <t>경기도 수원시 장안구</t>
  </si>
  <si>
    <t>이민주</t>
  </si>
  <si>
    <t>경기도 성남시 분당구</t>
  </si>
  <si>
    <t>부산시중구대창동</t>
  </si>
  <si>
    <t>조건</t>
    <phoneticPr fontId="2" type="noConversion"/>
  </si>
  <si>
    <t>펀드명</t>
    <phoneticPr fontId="4" type="noConversion"/>
  </si>
  <si>
    <t>운용사</t>
    <phoneticPr fontId="4" type="noConversion"/>
  </si>
  <si>
    <t>미래에셋</t>
    <phoneticPr fontId="4" type="noConversion"/>
  </si>
  <si>
    <t>하나USB 인베스트연금 주식S</t>
    <phoneticPr fontId="4" type="noConversion"/>
  </si>
  <si>
    <t>미래에셋 라이프사이클2030</t>
    <phoneticPr fontId="4" type="noConversion"/>
  </si>
  <si>
    <t>한국골드플랜 연금주식1</t>
    <phoneticPr fontId="4" type="noConversion"/>
  </si>
  <si>
    <t>한국밸류 10년투자연금주식</t>
    <phoneticPr fontId="4" type="noConversion"/>
  </si>
  <si>
    <t>수익률</t>
    <phoneticPr fontId="2" type="noConversion"/>
  </si>
  <si>
    <t>코리아몰캡증권투자</t>
    <phoneticPr fontId="2" type="noConversion"/>
  </si>
  <si>
    <t>메리츠</t>
    <phoneticPr fontId="2" type="noConversion"/>
  </si>
  <si>
    <t>미국배당프리미엄</t>
    <phoneticPr fontId="2" type="noConversion"/>
  </si>
  <si>
    <t>미래에셋</t>
    <phoneticPr fontId="4" type="noConversion"/>
  </si>
  <si>
    <t>차이나증권투자</t>
    <phoneticPr fontId="2" type="noConversion"/>
  </si>
  <si>
    <t>코스닥벤처증권투자</t>
    <phoneticPr fontId="4" type="noConversion"/>
  </si>
  <si>
    <t>베트남레버리지증권투자</t>
    <phoneticPr fontId="4" type="noConversion"/>
  </si>
  <si>
    <t>NH</t>
    <phoneticPr fontId="4" type="noConversion"/>
  </si>
  <si>
    <t>성장유망중소형주증권투자</t>
    <phoneticPr fontId="4" type="noConversion"/>
  </si>
  <si>
    <t>미래에셋</t>
    <phoneticPr fontId="4" type="noConversion"/>
  </si>
  <si>
    <t>부동산투자신탁</t>
    <phoneticPr fontId="4" type="noConversion"/>
  </si>
  <si>
    <t>삼성</t>
    <phoneticPr fontId="4" type="noConversion"/>
  </si>
  <si>
    <t>베스트공모주10 증권투자</t>
    <phoneticPr fontId="4" type="noConversion"/>
  </si>
  <si>
    <t>마이다스 책임투자증권투자</t>
    <phoneticPr fontId="4" type="noConversion"/>
  </si>
  <si>
    <t>한국투자</t>
    <phoneticPr fontId="4" type="noConversion"/>
  </si>
  <si>
    <t>하나투자</t>
    <phoneticPr fontId="4" type="noConversion"/>
  </si>
  <si>
    <t>신한금융</t>
    <phoneticPr fontId="4" type="noConversion"/>
  </si>
  <si>
    <t>키움</t>
    <phoneticPr fontId="4" type="noConversion"/>
  </si>
  <si>
    <t>대신</t>
    <phoneticPr fontId="4" type="noConversion"/>
  </si>
  <si>
    <t>[표1]</t>
    <phoneticPr fontId="2" type="noConversion"/>
  </si>
  <si>
    <t>[표2]</t>
    <phoneticPr fontId="2" type="noConversion"/>
  </si>
  <si>
    <t>대출지점</t>
    <phoneticPr fontId="2" type="noConversion"/>
  </si>
  <si>
    <t>대출금액</t>
    <phoneticPr fontId="2" type="noConversion"/>
  </si>
  <si>
    <t>대출기간</t>
    <phoneticPr fontId="2" type="noConversion"/>
  </si>
  <si>
    <t>합계: 기본급</t>
  </si>
  <si>
    <t>전체 합계: 기본급</t>
  </si>
  <si>
    <t>전체 합계: 상여금</t>
  </si>
  <si>
    <t>합계: 상여금</t>
  </si>
  <si>
    <t>전체 합계: 급여합계</t>
  </si>
  <si>
    <t>합계: 급여합계</t>
  </si>
  <si>
    <t>*</t>
  </si>
  <si>
    <t>기준일</t>
    <phoneticPr fontId="4" type="noConversion"/>
  </si>
  <si>
    <t>잔액</t>
    <phoneticPr fontId="4" type="noConversion"/>
  </si>
  <si>
    <t>개설일자</t>
    <phoneticPr fontId="4" type="noConversion"/>
  </si>
  <si>
    <t>이자</t>
    <phoneticPr fontId="4" type="noConversion"/>
  </si>
  <si>
    <t>비고</t>
    <phoneticPr fontId="4" type="noConversion"/>
  </si>
  <si>
    <t>[표1]</t>
    <phoneticPr fontId="4" type="noConversion"/>
  </si>
  <si>
    <t>[표2]</t>
    <phoneticPr fontId="4" type="noConversion"/>
  </si>
  <si>
    <t>2023년</t>
    <phoneticPr fontId="2" type="noConversion"/>
  </si>
  <si>
    <t>2024년</t>
    <phoneticPr fontId="2" type="noConversion"/>
  </si>
  <si>
    <t>2025년</t>
  </si>
  <si>
    <t>서울</t>
    <phoneticPr fontId="2" type="noConversion"/>
  </si>
  <si>
    <t>경기</t>
    <phoneticPr fontId="2" type="noConversion"/>
  </si>
  <si>
    <t>부산</t>
    <phoneticPr fontId="2" type="noConversion"/>
  </si>
  <si>
    <t>충청</t>
    <phoneticPr fontId="2" type="noConversion"/>
  </si>
  <si>
    <t>서울시 용산구 원효로</t>
    <phoneticPr fontId="2" type="noConversion"/>
  </si>
  <si>
    <t>서울시 마포구 합정동</t>
    <phoneticPr fontId="2" type="noConversion"/>
  </si>
  <si>
    <t>서울시 금천구 시흥동</t>
    <phoneticPr fontId="2" type="noConversion"/>
  </si>
  <si>
    <t>서울시 노원구 월계동</t>
    <phoneticPr fontId="2" type="noConversion"/>
  </si>
  <si>
    <t>경기도 수원시 망포동</t>
    <phoneticPr fontId="2" type="noConversion"/>
  </si>
  <si>
    <t>경기도 화성시 향남읍</t>
    <phoneticPr fontId="2" type="noConversion"/>
  </si>
  <si>
    <t>경기도 김포시 김포한강</t>
    <phoneticPr fontId="2" type="noConversion"/>
  </si>
  <si>
    <t>부산시 영동구 절영로</t>
    <phoneticPr fontId="2" type="noConversion"/>
  </si>
  <si>
    <t>부산시 사상구 백양대로</t>
    <phoneticPr fontId="2" type="noConversion"/>
  </si>
  <si>
    <t>대전시 유성구 한우물로</t>
    <phoneticPr fontId="2" type="noConversion"/>
  </si>
  <si>
    <t>99-35-623</t>
    <phoneticPr fontId="4" type="noConversion"/>
  </si>
  <si>
    <t>88-25-123</t>
    <phoneticPr fontId="4" type="noConversion"/>
  </si>
  <si>
    <t>77-45-632</t>
    <phoneticPr fontId="4" type="noConversion"/>
  </si>
  <si>
    <t>66-25-258</t>
    <phoneticPr fontId="4" type="noConversion"/>
  </si>
  <si>
    <t>55-35-789</t>
    <phoneticPr fontId="4" type="noConversion"/>
  </si>
  <si>
    <t>44-25-456</t>
    <phoneticPr fontId="4" type="noConversion"/>
  </si>
  <si>
    <t>33-55-251</t>
    <phoneticPr fontId="4" type="noConversion"/>
  </si>
  <si>
    <t>22-45-693</t>
    <phoneticPr fontId="4" type="noConversion"/>
  </si>
  <si>
    <t>11-35-250</t>
    <phoneticPr fontId="4" type="noConversion"/>
  </si>
  <si>
    <t>91-55-620</t>
    <phoneticPr fontId="4" type="noConversion"/>
  </si>
  <si>
    <t>96-25-360</t>
    <phoneticPr fontId="4" type="noConversion"/>
  </si>
  <si>
    <t>19-45-520</t>
    <phoneticPr fontId="4" type="noConversion"/>
  </si>
  <si>
    <t>45-25-129</t>
    <phoneticPr fontId="4" type="noConversion"/>
  </si>
  <si>
    <t xml:space="preserve">                       잔액
개월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</si>
</sst>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[$-F800]dddd\,\ mmmm\ dd\,\ yyyy"/>
    <numFmt numFmtId="177" formatCode="#,###,"/>
    <numFmt numFmtId="178" formatCode="[Blue][&gt;=0.2]&quot;▲&quot;0%;[Red][&lt;=0]&quot;▼&quot;0%;0%"/>
    <numFmt numFmtId="179" formatCode="0&quot;열&quot;"/>
    <numFmt numFmtId="180" formatCode="#,##0&quot;이&quot;&quot;상&quot;"/>
    <numFmt numFmtId="181" formatCode="#,##0&quot;미&quot;&quot;만&quot;"/>
    <numFmt numFmtId="182" formatCode="###0&quot;이&quot;&quot;상&quot;"/>
    <numFmt numFmtId="183" formatCode="0&quot;개&quot;&quot;월&quot;&quot;이&quot;&quot;상&quot;"/>
    <numFmt numFmtId="184" formatCode="0&quot;개&quot;&quot;월&quot;&quot;미&quot;&quot;만&quot;"/>
  </numFmts>
  <fonts count="1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7" fillId="0" borderId="0">
      <alignment vertical="center"/>
    </xf>
  </cellStyleXfs>
  <cellXfs count="62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76" fontId="3" fillId="0" borderId="4" xfId="0" applyNumberFormat="1" applyFont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vertical="center"/>
    </xf>
    <xf numFmtId="0" fontId="3" fillId="0" borderId="0" xfId="2" applyFont="1" applyAlignment="1">
      <alignment vertical="center"/>
    </xf>
    <xf numFmtId="0" fontId="8" fillId="0" borderId="5" xfId="0" applyFont="1" applyBorder="1" applyAlignment="1">
      <alignment horizontal="center" vertical="center"/>
    </xf>
    <xf numFmtId="0" fontId="8" fillId="0" borderId="5" xfId="2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3" fillId="0" borderId="5" xfId="2" applyFont="1" applyBorder="1" applyAlignment="1">
      <alignment vertical="center"/>
    </xf>
    <xf numFmtId="0" fontId="3" fillId="0" borderId="5" xfId="2" applyFont="1" applyFill="1" applyBorder="1" applyAlignment="1">
      <alignment vertical="center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>
      <alignment vertical="center"/>
    </xf>
    <xf numFmtId="0" fontId="8" fillId="0" borderId="6" xfId="0" applyFont="1" applyFill="1" applyBorder="1" applyAlignment="1" applyProtection="1">
      <alignment horizontal="center" vertical="center"/>
      <protection locked="0"/>
    </xf>
    <xf numFmtId="0" fontId="8" fillId="0" borderId="7" xfId="0" applyFont="1" applyFill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6" fillId="0" borderId="11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5" xfId="2" applyFont="1" applyFill="1" applyBorder="1" applyAlignment="1">
      <alignment horizontal="center" vertical="center"/>
    </xf>
    <xf numFmtId="0" fontId="8" fillId="3" borderId="5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41" fontId="6" fillId="0" borderId="5" xfId="1" applyFont="1" applyBorder="1" applyAlignment="1">
      <alignment vertical="center"/>
    </xf>
    <xf numFmtId="177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5" xfId="0" applyFill="1" applyBorder="1" applyAlignment="1">
      <alignment vertical="center"/>
    </xf>
    <xf numFmtId="178" fontId="0" fillId="0" borderId="5" xfId="0" applyNumberFormat="1" applyBorder="1" applyAlignment="1">
      <alignment vertical="center"/>
    </xf>
    <xf numFmtId="178" fontId="0" fillId="0" borderId="5" xfId="0" applyNumberFormat="1" applyBorder="1">
      <alignment vertical="center"/>
    </xf>
    <xf numFmtId="178" fontId="0" fillId="0" borderId="5" xfId="0" applyNumberFormat="1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80" fontId="0" fillId="0" borderId="5" xfId="0" applyNumberFormat="1" applyBorder="1">
      <alignment vertical="center"/>
    </xf>
    <xf numFmtId="181" fontId="0" fillId="0" borderId="5" xfId="0" applyNumberFormat="1" applyBorder="1">
      <alignment vertical="center"/>
    </xf>
    <xf numFmtId="182" fontId="0" fillId="0" borderId="5" xfId="0" applyNumberFormat="1" applyBorder="1">
      <alignment vertical="center"/>
    </xf>
    <xf numFmtId="183" fontId="0" fillId="0" borderId="5" xfId="0" applyNumberFormat="1" applyBorder="1" applyAlignment="1">
      <alignment horizontal="center" vertical="center"/>
    </xf>
    <xf numFmtId="184" fontId="0" fillId="0" borderId="5" xfId="0" applyNumberFormat="1" applyBorder="1" applyAlignment="1">
      <alignment horizontal="center" vertical="center"/>
    </xf>
    <xf numFmtId="10" fontId="0" fillId="0" borderId="5" xfId="0" applyNumberFormat="1" applyBorder="1">
      <alignment vertical="center"/>
    </xf>
    <xf numFmtId="41" fontId="0" fillId="0" borderId="5" xfId="1" applyFont="1" applyBorder="1" applyAlignment="1">
      <alignment vertical="center"/>
    </xf>
    <xf numFmtId="0" fontId="10" fillId="3" borderId="5" xfId="0" applyFont="1" applyFill="1" applyBorder="1" applyAlignment="1">
      <alignment horizontal="center" vertical="center"/>
    </xf>
    <xf numFmtId="0" fontId="0" fillId="0" borderId="15" xfId="0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3">
    <cellStyle name="쉼표 [0]" xfId="1" builtinId="6"/>
    <cellStyle name="표준" xfId="0" builtinId="0"/>
    <cellStyle name="표준_계산작업-1" xfId="2" xr:uid="{00000000-0005-0000-0000-000002000000}"/>
  </cellStyles>
  <dxfs count="1"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담배 판매량</a:t>
            </a:r>
          </a:p>
        </c:rich>
      </c:tx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A사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forward val="1"/>
            <c:dispRSqr val="0"/>
            <c:dispEq val="0"/>
          </c:trendline>
          <c:cat>
            <c:strRef>
              <c:f>'기타작업-1'!$C$3:$E$3</c:f>
              <c:strCache>
                <c:ptCount val="3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</c:strCache>
            </c:strRef>
          </c:cat>
          <c:val>
            <c:numRef>
              <c:f>'기타작업-1'!$C$4:$E$4</c:f>
              <c:numCache>
                <c:formatCode>General</c:formatCode>
                <c:ptCount val="3"/>
                <c:pt idx="0">
                  <c:v>600</c:v>
                </c:pt>
                <c:pt idx="1">
                  <c:v>625</c:v>
                </c:pt>
                <c:pt idx="2">
                  <c:v>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4-40FC-9590-1B7389E038C8}"/>
            </c:ext>
          </c:extLst>
        </c:ser>
        <c:ser>
          <c:idx val="1"/>
          <c:order val="1"/>
          <c:tx>
            <c:strRef>
              <c:f>'기타작업-1'!$B$5</c:f>
              <c:strCache>
                <c:ptCount val="1"/>
                <c:pt idx="0">
                  <c:v>B사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</c:strCache>
            </c:strRef>
          </c:cat>
          <c:val>
            <c:numRef>
              <c:f>'기타작업-1'!$C$5:$E$5</c:f>
              <c:numCache>
                <c:formatCode>General</c:formatCode>
                <c:ptCount val="3"/>
                <c:pt idx="0">
                  <c:v>129</c:v>
                </c:pt>
                <c:pt idx="1">
                  <c:v>147</c:v>
                </c:pt>
                <c:pt idx="2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34-40FC-9590-1B7389E038C8}"/>
            </c:ext>
          </c:extLst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C사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</c:strCache>
            </c:strRef>
          </c:cat>
          <c:val>
            <c:numRef>
              <c:f>'기타작업-1'!$C$6:$E$6</c:f>
              <c:numCache>
                <c:formatCode>General</c:formatCode>
                <c:ptCount val="3"/>
                <c:pt idx="0">
                  <c:v>69</c:v>
                </c:pt>
                <c:pt idx="1">
                  <c:v>75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34-40FC-9590-1B7389E038C8}"/>
            </c:ext>
          </c:extLst>
        </c:ser>
        <c:ser>
          <c:idx val="3"/>
          <c:order val="3"/>
          <c:tx>
            <c:strRef>
              <c:f>'기타작업-1'!$B$7</c:f>
              <c:strCache>
                <c:ptCount val="1"/>
                <c:pt idx="0">
                  <c:v>D사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</c:strCache>
            </c:strRef>
          </c:cat>
          <c:val>
            <c:numRef>
              <c:f>'기타작업-1'!$C$7:$E$7</c:f>
              <c:numCache>
                <c:formatCode>General</c:formatCode>
                <c:ptCount val="3"/>
                <c:pt idx="0">
                  <c:v>26</c:v>
                </c:pt>
                <c:pt idx="1">
                  <c:v>29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34-40FC-9590-1B7389E03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0900687"/>
        <c:axId val="1510903599"/>
      </c:barChart>
      <c:lineChart>
        <c:grouping val="standard"/>
        <c:varyColors val="0"/>
        <c:ser>
          <c:idx val="4"/>
          <c:order val="4"/>
          <c:tx>
            <c:strRef>
              <c:f>'기타작업-1'!$B$8</c:f>
              <c:strCache>
                <c:ptCount val="1"/>
                <c:pt idx="0">
                  <c:v>합계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'기타작업-1'!$C$3:$E$3</c:f>
              <c:strCache>
                <c:ptCount val="3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</c:strCache>
            </c:strRef>
          </c:cat>
          <c:val>
            <c:numRef>
              <c:f>'기타작업-1'!$C$8:$E$8</c:f>
              <c:numCache>
                <c:formatCode>General</c:formatCode>
                <c:ptCount val="3"/>
                <c:pt idx="0">
                  <c:v>824</c:v>
                </c:pt>
                <c:pt idx="1">
                  <c:v>876</c:v>
                </c:pt>
                <c:pt idx="2">
                  <c:v>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34-40FC-9590-1B7389E03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242111"/>
        <c:axId val="1829241279"/>
      </c:lineChart>
      <c:catAx>
        <c:axId val="15109006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연도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903599"/>
        <c:crosses val="autoZero"/>
        <c:auto val="1"/>
        <c:lblAlgn val="ctr"/>
        <c:lblOffset val="100"/>
        <c:noMultiLvlLbl val="0"/>
      </c:catAx>
      <c:valAx>
        <c:axId val="1510903599"/>
        <c:scaling>
          <c:orientation val="minMax"/>
        </c:scaling>
        <c:delete val="0"/>
        <c:axPos val="l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판매량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900687"/>
        <c:crosses val="autoZero"/>
        <c:crossBetween val="between"/>
      </c:valAx>
      <c:valAx>
        <c:axId val="1829241279"/>
        <c:scaling>
          <c:orientation val="minMax"/>
          <c:max val="950"/>
          <c:min val="750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합계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9242111"/>
        <c:crosses val="max"/>
        <c:crossBetween val="between"/>
        <c:majorUnit val="50"/>
      </c:valAx>
      <c:catAx>
        <c:axId val="1829242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29241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7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백분율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일반서식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9</xdr:row>
          <xdr:rowOff>9525</xdr:rowOff>
        </xdr:to>
        <xdr:sp macro="" textlink="">
          <xdr:nvSpPr>
            <xdr:cNvPr id="3073" name="Btn결제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4367.120198842589" backgroundQuery="1" createdVersion="6" refreshedVersion="6" minRefreshableVersion="3" recordCount="0" supportSubquery="1" supportAdvancedDrill="1" xr:uid="{00000000-000A-0000-FFFF-FFFF00000000}">
  <cacheSource type="external" connectionId="2"/>
  <cacheFields count="5">
    <cacheField name="[직급부서].[직급].[직급]" caption="직급" numFmtId="0" hierarchy="1" level="1">
      <sharedItems count="4">
        <s v="과장"/>
        <s v="대리"/>
        <s v="부장"/>
        <s v="사원"/>
      </sharedItems>
    </cacheField>
    <cacheField name="[직급부서].[부서].[부서]" caption="부서" numFmtId="0" level="1">
      <sharedItems count="5">
        <s v="기획부"/>
        <s v="생산부"/>
        <s v="인사부"/>
        <s v="총무부"/>
        <s v="판매부"/>
      </sharedItems>
    </cacheField>
    <cacheField name="[Measures].[합계: 기본급]" caption="합계: 기본급" numFmtId="0" hierarchy="7" level="32767"/>
    <cacheField name="[Measures].[합계: 상여금]" caption="합계: 상여금" numFmtId="0" hierarchy="8" level="32767"/>
    <cacheField name="[Measures].[합계: 급여합계]" caption="합계: 급여합계" numFmtId="0" hierarchy="9" level="32767"/>
  </cacheFields>
  <cacheHierarchies count="10">
    <cacheHierarchy uniqueName="[직급부서].[부서]" caption="부서" attribute="1" defaultMemberUniqueName="[직급부서].[부서].[All]" allUniqueName="[직급부서].[부서].[All]" dimensionUniqueName="[직급부서]" displayFolder="" count="2" memberValueDatatype="130" unbalanced="0">
      <fieldsUsage count="2">
        <fieldUsage x="-1"/>
        <fieldUsage x="1"/>
      </fieldsUsage>
    </cacheHierarchy>
    <cacheHierarchy uniqueName="[직급부서].[직급]" caption="직급" attribute="1" defaultMemberUniqueName="[직급부서].[직급].[All]" allUniqueName="[직급부서].[직급].[All]" dimensionUniqueName="[직급부서]" displayFolder="" count="2" memberValueDatatype="130" unbalanced="0">
      <fieldsUsage count="2">
        <fieldUsage x="-1"/>
        <fieldUsage x="0"/>
      </fieldsUsage>
    </cacheHierarchy>
    <cacheHierarchy uniqueName="[직급부서].[기본급]" caption="기본급" attribute="1" defaultMemberUniqueName="[직급부서].[기본급].[All]" allUniqueName="[직급부서].[기본급].[All]" dimensionUniqueName="[직급부서]" displayFolder="" count="0" memberValueDatatype="20" unbalanced="0"/>
    <cacheHierarchy uniqueName="[직급부서].[상여금]" caption="상여금" attribute="1" defaultMemberUniqueName="[직급부서].[상여금].[All]" allUniqueName="[직급부서].[상여금].[All]" dimensionUniqueName="[직급부서]" displayFolder="" count="0" memberValueDatatype="20" unbalanced="0"/>
    <cacheHierarchy uniqueName="[직급부서].[급여합계]" caption="급여합계" attribute="1" defaultMemberUniqueName="[직급부서].[급여합계].[All]" allUniqueName="[직급부서].[급여합계].[All]" dimensionUniqueName="[직급부서]" displayFolder="" count="0" memberValueDatatype="20" unbalanced="0"/>
    <cacheHierarchy uniqueName="[Measures].[__XL_Count 직급부서]" caption="__XL_Count 직급부서" measure="1" displayFolder="" measureGroup="직급부서" count="0" hidden="1"/>
    <cacheHierarchy uniqueName="[Measures].[__No measures defined]" caption="__No measures defined" measure="1" displayFolder="" count="0" hidden="1"/>
    <cacheHierarchy uniqueName="[Measures].[합계: 기본급]" caption="합계: 기본급" measure="1" displayFolder="" measureGroup="직급부서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상여금]" caption="합계: 상여금" measure="1" displayFolder="" measureGroup="직급부서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급여합계]" caption="합계: 급여합계" measure="1" displayFolder="" measureGroup="직급부서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직급부서" uniqueName="[직급부서]" caption="직급부서"/>
  </dimensions>
  <measureGroups count="1">
    <measureGroup name="직급부서" caption="직급부서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피벗 테이블2" cacheId="0" dataOnRows="1" applyNumberFormats="0" applyBorderFormats="0" applyFontFormats="0" applyPatternFormats="0" applyAlignmentFormats="0" applyWidthHeightFormats="1" dataCaption="값" missingCaption="*" updatedVersion="6" minRefreshableVersion="3" useAutoFormatting="1" colGrandTotals="0" itemPrintTitles="1" mergeItem="1" createdVersion="6" indent="0" compact="0" compactData="0" multipleFieldFilters="0">
  <location ref="B4:H20" firstHeaderRow="1" firstDataRow="2" firstDataCol="2"/>
  <pivotFields count="5">
    <pivotField axis="axisRow" compact="0" allDrilled="1" outline="0" showAll="0" dataSourceSort="1" defaultAttributeDrillState="1">
      <items count="5">
        <item x="0"/>
        <item x="1"/>
        <item x="2"/>
        <item x="3"/>
        <item t="default"/>
      </items>
    </pivotField>
    <pivotField axis="axisCol" compact="0" allDrilled="1" outline="0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2">
    <field x="0"/>
    <field x="-2"/>
  </rowFields>
  <rowItems count="15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 t="grand">
      <x/>
    </i>
    <i t="grand" i="1">
      <x/>
    </i>
    <i t="grand" i="2">
      <x/>
    </i>
  </rowItems>
  <colFields count="1">
    <field x="1"/>
  </colFields>
  <colItems count="5">
    <i>
      <x/>
    </i>
    <i>
      <x v="1"/>
    </i>
    <i>
      <x v="2"/>
    </i>
    <i>
      <x v="3"/>
    </i>
    <i>
      <x v="4"/>
    </i>
  </colItems>
  <dataFields count="3">
    <dataField name="합계: 기본급" fld="2" baseField="0" baseItem="0" numFmtId="177"/>
    <dataField name="합계: 상여금" fld="3" baseField="0" baseItem="0" numFmtId="177"/>
    <dataField name="합계: 급여합계" fld="4" showDataAs="percentOfCol" baseField="0" baseItem="0" numFmtId="10"/>
  </dataFields>
  <pivotHierarchies count="10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-2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직급부서">
        <x15:activeTabTopLevelEntity name="[직급부서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39"/>
  <sheetViews>
    <sheetView workbookViewId="0"/>
  </sheetViews>
  <sheetFormatPr defaultRowHeight="16.5"/>
  <cols>
    <col min="1" max="1" width="12.125" customWidth="1"/>
    <col min="2" max="2" width="10.5" customWidth="1"/>
    <col min="3" max="3" width="10.25" customWidth="1"/>
    <col min="4" max="4" width="18.25" bestFit="1" customWidth="1"/>
    <col min="5" max="5" width="16.25" bestFit="1" customWidth="1"/>
    <col min="6" max="6" width="26.125" bestFit="1" customWidth="1"/>
  </cols>
  <sheetData>
    <row r="1" spans="1:6">
      <c r="A1" s="1" t="s">
        <v>0</v>
      </c>
      <c r="B1" s="1"/>
      <c r="C1" s="1"/>
      <c r="D1" s="1"/>
      <c r="E1" s="1"/>
      <c r="F1" s="1"/>
    </row>
    <row r="2" spans="1:6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6" t="s">
        <v>6</v>
      </c>
    </row>
    <row r="3" spans="1:6">
      <c r="A3" s="2">
        <v>202512024</v>
      </c>
      <c r="B3" s="3" t="s">
        <v>7</v>
      </c>
      <c r="C3" s="3" t="s">
        <v>8</v>
      </c>
      <c r="D3" s="3" t="s">
        <v>9</v>
      </c>
      <c r="E3" s="3" t="s">
        <v>10</v>
      </c>
      <c r="F3" s="4">
        <v>45704</v>
      </c>
    </row>
    <row r="4" spans="1:6">
      <c r="A4" s="2">
        <v>202512024</v>
      </c>
      <c r="B4" s="3" t="s">
        <v>7</v>
      </c>
      <c r="C4" s="3" t="s">
        <v>8</v>
      </c>
      <c r="D4" s="3" t="s">
        <v>11</v>
      </c>
      <c r="E4" s="3" t="s">
        <v>10</v>
      </c>
      <c r="F4" s="4">
        <v>45661</v>
      </c>
    </row>
    <row r="5" spans="1:6">
      <c r="A5" s="2">
        <v>202512049</v>
      </c>
      <c r="B5" s="3" t="s">
        <v>12</v>
      </c>
      <c r="C5" s="3" t="s">
        <v>8</v>
      </c>
      <c r="D5" s="3" t="s">
        <v>13</v>
      </c>
      <c r="E5" s="3" t="s">
        <v>14</v>
      </c>
      <c r="F5" s="4">
        <v>45971</v>
      </c>
    </row>
    <row r="6" spans="1:6">
      <c r="A6" s="2">
        <v>202512053</v>
      </c>
      <c r="B6" s="3" t="s">
        <v>15</v>
      </c>
      <c r="C6" s="3" t="s">
        <v>8</v>
      </c>
      <c r="D6" s="3" t="s">
        <v>16</v>
      </c>
      <c r="E6" s="3" t="s">
        <v>14</v>
      </c>
      <c r="F6" s="4">
        <v>45810</v>
      </c>
    </row>
    <row r="7" spans="1:6">
      <c r="A7" s="2">
        <v>202512053</v>
      </c>
      <c r="B7" s="3" t="s">
        <v>15</v>
      </c>
      <c r="C7" s="3" t="s">
        <v>17</v>
      </c>
      <c r="D7" s="3" t="s">
        <v>13</v>
      </c>
      <c r="E7" s="3" t="s">
        <v>14</v>
      </c>
      <c r="F7" s="4">
        <v>45972</v>
      </c>
    </row>
    <row r="8" spans="1:6">
      <c r="A8" s="2">
        <v>202512056</v>
      </c>
      <c r="B8" s="3" t="s">
        <v>18</v>
      </c>
      <c r="C8" s="3" t="s">
        <v>8</v>
      </c>
      <c r="D8" s="3" t="s">
        <v>13</v>
      </c>
      <c r="E8" s="3" t="s">
        <v>14</v>
      </c>
      <c r="F8" s="4">
        <v>45971</v>
      </c>
    </row>
    <row r="9" spans="1:6">
      <c r="A9" s="2">
        <v>202512057</v>
      </c>
      <c r="B9" s="3" t="s">
        <v>19</v>
      </c>
      <c r="C9" s="3" t="s">
        <v>8</v>
      </c>
      <c r="D9" s="3" t="s">
        <v>9</v>
      </c>
      <c r="E9" s="3" t="s">
        <v>10</v>
      </c>
      <c r="F9" s="4">
        <v>45772</v>
      </c>
    </row>
    <row r="10" spans="1:6">
      <c r="A10" s="2">
        <v>202512058</v>
      </c>
      <c r="B10" s="3" t="s">
        <v>20</v>
      </c>
      <c r="C10" s="3" t="s">
        <v>8</v>
      </c>
      <c r="D10" s="3" t="s">
        <v>11</v>
      </c>
      <c r="E10" s="3" t="s">
        <v>10</v>
      </c>
      <c r="F10" s="4">
        <v>45744</v>
      </c>
    </row>
    <row r="11" spans="1:6">
      <c r="A11" s="2">
        <v>202006154</v>
      </c>
      <c r="B11" s="3" t="s">
        <v>21</v>
      </c>
      <c r="C11" s="3" t="s">
        <v>22</v>
      </c>
      <c r="D11" s="3" t="s">
        <v>23</v>
      </c>
      <c r="E11" s="3" t="s">
        <v>14</v>
      </c>
      <c r="F11" s="4">
        <v>45899</v>
      </c>
    </row>
    <row r="12" spans="1:6">
      <c r="A12" s="2">
        <v>202006154</v>
      </c>
      <c r="B12" s="3" t="s">
        <v>24</v>
      </c>
      <c r="C12" s="3" t="s">
        <v>22</v>
      </c>
      <c r="D12" s="3" t="s">
        <v>25</v>
      </c>
      <c r="E12" s="3" t="s">
        <v>14</v>
      </c>
      <c r="F12" s="4">
        <v>45658</v>
      </c>
    </row>
    <row r="13" spans="1:6">
      <c r="A13" s="2">
        <v>202006154</v>
      </c>
      <c r="B13" s="3" t="s">
        <v>21</v>
      </c>
      <c r="C13" s="3" t="s">
        <v>26</v>
      </c>
      <c r="D13" s="3" t="s">
        <v>13</v>
      </c>
      <c r="E13" s="3" t="s">
        <v>14</v>
      </c>
      <c r="F13" s="4">
        <v>45887</v>
      </c>
    </row>
    <row r="14" spans="1:6">
      <c r="A14" s="2">
        <v>202006154</v>
      </c>
      <c r="B14" s="3" t="s">
        <v>21</v>
      </c>
      <c r="C14" s="3" t="s">
        <v>22</v>
      </c>
      <c r="D14" s="3" t="s">
        <v>27</v>
      </c>
      <c r="E14" s="3" t="s">
        <v>28</v>
      </c>
      <c r="F14" s="4">
        <v>45778</v>
      </c>
    </row>
    <row r="15" spans="1:6">
      <c r="A15" s="2">
        <v>202106028</v>
      </c>
      <c r="B15" s="3" t="s">
        <v>29</v>
      </c>
      <c r="C15" s="3" t="s">
        <v>22</v>
      </c>
      <c r="D15" s="3" t="s">
        <v>30</v>
      </c>
      <c r="E15" s="3" t="s">
        <v>10</v>
      </c>
      <c r="F15" s="4">
        <v>45960</v>
      </c>
    </row>
    <row r="16" spans="1:6">
      <c r="A16" s="2">
        <v>202106028</v>
      </c>
      <c r="B16" s="3" t="s">
        <v>29</v>
      </c>
      <c r="C16" s="3" t="s">
        <v>22</v>
      </c>
      <c r="D16" s="3" t="s">
        <v>9</v>
      </c>
      <c r="E16" s="3" t="s">
        <v>10</v>
      </c>
      <c r="F16" s="4">
        <v>45658</v>
      </c>
    </row>
    <row r="17" spans="1:6">
      <c r="A17" s="2">
        <v>202506012</v>
      </c>
      <c r="B17" s="3" t="s">
        <v>31</v>
      </c>
      <c r="C17" s="3" t="s">
        <v>22</v>
      </c>
      <c r="D17" s="3" t="s">
        <v>27</v>
      </c>
      <c r="E17" s="3" t="s">
        <v>28</v>
      </c>
      <c r="F17" s="4">
        <v>45658</v>
      </c>
    </row>
    <row r="18" spans="1:6">
      <c r="A18" s="2">
        <v>202506056</v>
      </c>
      <c r="B18" s="3" t="s">
        <v>32</v>
      </c>
      <c r="C18" s="3" t="s">
        <v>33</v>
      </c>
      <c r="D18" s="3" t="s">
        <v>9</v>
      </c>
      <c r="E18" s="3" t="s">
        <v>10</v>
      </c>
      <c r="F18" s="4">
        <v>45997</v>
      </c>
    </row>
    <row r="19" spans="1:6">
      <c r="A19" s="2">
        <v>202506073</v>
      </c>
      <c r="B19" s="3" t="s">
        <v>34</v>
      </c>
      <c r="C19" s="3" t="s">
        <v>22</v>
      </c>
      <c r="D19" s="3" t="s">
        <v>9</v>
      </c>
      <c r="E19" s="3" t="s">
        <v>10</v>
      </c>
      <c r="F19" s="4">
        <v>45926</v>
      </c>
    </row>
    <row r="20" spans="1:6">
      <c r="A20" s="2">
        <v>202528014</v>
      </c>
      <c r="B20" s="3" t="s">
        <v>35</v>
      </c>
      <c r="C20" s="3" t="s">
        <v>36</v>
      </c>
      <c r="D20" s="3" t="s">
        <v>37</v>
      </c>
      <c r="E20" s="3" t="s">
        <v>10</v>
      </c>
      <c r="F20" s="4">
        <v>45834</v>
      </c>
    </row>
    <row r="21" spans="1:6">
      <c r="A21" s="2">
        <v>202528014</v>
      </c>
      <c r="B21" s="3" t="s">
        <v>35</v>
      </c>
      <c r="C21" s="3" t="s">
        <v>36</v>
      </c>
      <c r="D21" s="3" t="s">
        <v>9</v>
      </c>
      <c r="E21" s="3" t="s">
        <v>10</v>
      </c>
      <c r="F21" s="4">
        <v>45835</v>
      </c>
    </row>
    <row r="22" spans="1:6">
      <c r="A22" s="2">
        <v>202528014</v>
      </c>
      <c r="B22" s="3" t="s">
        <v>35</v>
      </c>
      <c r="C22" s="3" t="s">
        <v>38</v>
      </c>
      <c r="D22" s="3" t="s">
        <v>39</v>
      </c>
      <c r="E22" s="3" t="s">
        <v>10</v>
      </c>
      <c r="F22" s="4">
        <v>45979</v>
      </c>
    </row>
    <row r="23" spans="1:6">
      <c r="A23" s="2">
        <v>202528027</v>
      </c>
      <c r="B23" s="3" t="s">
        <v>40</v>
      </c>
      <c r="C23" s="3" t="s">
        <v>36</v>
      </c>
      <c r="D23" s="3" t="s">
        <v>39</v>
      </c>
      <c r="E23" s="3" t="s">
        <v>10</v>
      </c>
      <c r="F23" s="4">
        <v>45754</v>
      </c>
    </row>
    <row r="24" spans="1:6">
      <c r="A24" s="2">
        <v>202528027</v>
      </c>
      <c r="B24" s="3" t="s">
        <v>41</v>
      </c>
      <c r="C24" s="3" t="s">
        <v>36</v>
      </c>
      <c r="D24" s="3" t="s">
        <v>27</v>
      </c>
      <c r="E24" s="3" t="s">
        <v>28</v>
      </c>
      <c r="F24" s="4">
        <v>45834</v>
      </c>
    </row>
    <row r="25" spans="1:6">
      <c r="A25" s="2">
        <v>202528052</v>
      </c>
      <c r="B25" s="3" t="s">
        <v>42</v>
      </c>
      <c r="C25" s="3" t="s">
        <v>36</v>
      </c>
      <c r="D25" s="3" t="s">
        <v>9</v>
      </c>
      <c r="E25" s="3" t="s">
        <v>10</v>
      </c>
      <c r="F25" s="4">
        <v>45807</v>
      </c>
    </row>
    <row r="26" spans="1:6">
      <c r="A26" s="2">
        <v>202528052</v>
      </c>
      <c r="B26" s="3" t="s">
        <v>42</v>
      </c>
      <c r="C26" s="3" t="s">
        <v>36</v>
      </c>
      <c r="D26" s="3" t="s">
        <v>43</v>
      </c>
      <c r="E26" s="3" t="s">
        <v>10</v>
      </c>
      <c r="F26" s="4">
        <v>45972</v>
      </c>
    </row>
    <row r="27" spans="1:6">
      <c r="A27" s="2">
        <v>202528052</v>
      </c>
      <c r="B27" s="3" t="s">
        <v>42</v>
      </c>
      <c r="C27" s="3" t="s">
        <v>36</v>
      </c>
      <c r="D27" s="3" t="s">
        <v>39</v>
      </c>
      <c r="E27" s="3" t="s">
        <v>10</v>
      </c>
      <c r="F27" s="4">
        <v>45972</v>
      </c>
    </row>
    <row r="28" spans="1:6">
      <c r="A28" s="2">
        <v>202528052</v>
      </c>
      <c r="B28" s="3" t="s">
        <v>42</v>
      </c>
      <c r="C28" s="3" t="s">
        <v>36</v>
      </c>
      <c r="D28" s="3" t="s">
        <v>27</v>
      </c>
      <c r="E28" s="3" t="s">
        <v>28</v>
      </c>
      <c r="F28" s="4">
        <v>45956</v>
      </c>
    </row>
    <row r="30" spans="1:6">
      <c r="A30" t="s">
        <v>163</v>
      </c>
    </row>
    <row r="31" spans="1:6">
      <c r="A31" t="e">
        <f>AND(FIND("한국",E3),RIGHT(D3,2)="2급")</f>
        <v>#VALUE!</v>
      </c>
    </row>
    <row r="35" spans="1:4">
      <c r="A35" s="5" t="s">
        <v>1</v>
      </c>
      <c r="B35" s="6" t="s">
        <v>2</v>
      </c>
      <c r="C35" s="6" t="s">
        <v>3</v>
      </c>
      <c r="D35" s="6" t="s">
        <v>4</v>
      </c>
    </row>
    <row r="36" spans="1:4">
      <c r="A36" s="2">
        <v>202006154</v>
      </c>
      <c r="B36" s="3" t="s">
        <v>21</v>
      </c>
      <c r="C36" s="3" t="s">
        <v>22</v>
      </c>
      <c r="D36" s="3" t="s">
        <v>27</v>
      </c>
    </row>
    <row r="37" spans="1:4">
      <c r="A37" s="2">
        <v>202506012</v>
      </c>
      <c r="B37" s="3" t="s">
        <v>31</v>
      </c>
      <c r="C37" s="3" t="s">
        <v>22</v>
      </c>
      <c r="D37" s="3" t="s">
        <v>27</v>
      </c>
    </row>
    <row r="38" spans="1:4">
      <c r="A38" s="2">
        <v>202528027</v>
      </c>
      <c r="B38" s="3" t="s">
        <v>40</v>
      </c>
      <c r="C38" s="3" t="s">
        <v>36</v>
      </c>
      <c r="D38" s="3" t="s">
        <v>27</v>
      </c>
    </row>
    <row r="39" spans="1:4">
      <c r="A39" s="2">
        <v>202528052</v>
      </c>
      <c r="B39" s="3" t="s">
        <v>42</v>
      </c>
      <c r="C39" s="3" t="s">
        <v>36</v>
      </c>
      <c r="D39" s="3" t="s">
        <v>27</v>
      </c>
    </row>
  </sheetData>
  <phoneticPr fontId="2" type="noConversion"/>
  <conditionalFormatting sqref="A3:F28">
    <cfRule type="expression" dxfId="0" priority="1">
      <formula>OR(WEEKDAY($F3)=1,WEEKDAY($F3)=7)</formula>
    </cfRule>
  </conditionalFormatting>
  <pageMargins left="0.7" right="0.7" top="0.75" bottom="0.75" header="0.3" footer="0.3"/>
  <pageSetup paperSize="9" orientation="portrait" r:id="rId1"/>
  <ignoredErrors>
    <ignoredError sqref="A31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F28"/>
  <sheetViews>
    <sheetView workbookViewId="0">
      <selection activeCell="A2" sqref="A2"/>
    </sheetView>
  </sheetViews>
  <sheetFormatPr defaultRowHeight="16.5"/>
  <cols>
    <col min="1" max="1" width="12.25" customWidth="1"/>
    <col min="2" max="2" width="10.5" customWidth="1"/>
    <col min="3" max="3" width="10.25" customWidth="1"/>
    <col min="4" max="4" width="18.25" bestFit="1" customWidth="1"/>
    <col min="5" max="5" width="16.25" bestFit="1" customWidth="1"/>
    <col min="6" max="6" width="23.125" bestFit="1" customWidth="1"/>
  </cols>
  <sheetData>
    <row r="1" spans="1:6">
      <c r="A1" s="1" t="s">
        <v>0</v>
      </c>
      <c r="B1" s="1"/>
      <c r="C1" s="1"/>
      <c r="D1" s="1"/>
      <c r="E1" s="1"/>
      <c r="F1" s="1"/>
    </row>
    <row r="2" spans="1:6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6" t="s">
        <v>6</v>
      </c>
    </row>
    <row r="3" spans="1:6">
      <c r="A3" s="2">
        <v>202512024</v>
      </c>
      <c r="B3" s="3" t="s">
        <v>7</v>
      </c>
      <c r="C3" s="3" t="s">
        <v>8</v>
      </c>
      <c r="D3" s="3" t="s">
        <v>9</v>
      </c>
      <c r="E3" s="3" t="s">
        <v>10</v>
      </c>
      <c r="F3" s="4">
        <v>45704</v>
      </c>
    </row>
    <row r="4" spans="1:6">
      <c r="A4" s="2">
        <v>202512024</v>
      </c>
      <c r="B4" s="3" t="s">
        <v>7</v>
      </c>
      <c r="C4" s="3" t="s">
        <v>8</v>
      </c>
      <c r="D4" s="3" t="s">
        <v>11</v>
      </c>
      <c r="E4" s="3" t="s">
        <v>10</v>
      </c>
      <c r="F4" s="4">
        <v>45661</v>
      </c>
    </row>
    <row r="5" spans="1:6">
      <c r="A5" s="2">
        <v>202512049</v>
      </c>
      <c r="B5" s="3" t="s">
        <v>12</v>
      </c>
      <c r="C5" s="3" t="s">
        <v>8</v>
      </c>
      <c r="D5" s="3" t="s">
        <v>13</v>
      </c>
      <c r="E5" s="3" t="s">
        <v>14</v>
      </c>
      <c r="F5" s="4">
        <v>45971</v>
      </c>
    </row>
    <row r="6" spans="1:6">
      <c r="A6" s="2">
        <v>202512053</v>
      </c>
      <c r="B6" s="3" t="s">
        <v>15</v>
      </c>
      <c r="C6" s="3" t="s">
        <v>8</v>
      </c>
      <c r="D6" s="3" t="s">
        <v>16</v>
      </c>
      <c r="E6" s="3" t="s">
        <v>14</v>
      </c>
      <c r="F6" s="4">
        <v>45810</v>
      </c>
    </row>
    <row r="7" spans="1:6">
      <c r="A7" s="2">
        <v>202512053</v>
      </c>
      <c r="B7" s="3" t="s">
        <v>15</v>
      </c>
      <c r="C7" s="3" t="s">
        <v>8</v>
      </c>
      <c r="D7" s="3" t="s">
        <v>13</v>
      </c>
      <c r="E7" s="3" t="s">
        <v>14</v>
      </c>
      <c r="F7" s="4">
        <v>45972</v>
      </c>
    </row>
    <row r="8" spans="1:6">
      <c r="A8" s="2">
        <v>202512056</v>
      </c>
      <c r="B8" s="3" t="s">
        <v>18</v>
      </c>
      <c r="C8" s="3" t="s">
        <v>8</v>
      </c>
      <c r="D8" s="3" t="s">
        <v>13</v>
      </c>
      <c r="E8" s="3" t="s">
        <v>14</v>
      </c>
      <c r="F8" s="4">
        <v>45971</v>
      </c>
    </row>
    <row r="9" spans="1:6">
      <c r="A9" s="2">
        <v>202512057</v>
      </c>
      <c r="B9" s="3" t="s">
        <v>19</v>
      </c>
      <c r="C9" s="3" t="s">
        <v>8</v>
      </c>
      <c r="D9" s="3" t="s">
        <v>9</v>
      </c>
      <c r="E9" s="3" t="s">
        <v>10</v>
      </c>
      <c r="F9" s="4">
        <v>45772</v>
      </c>
    </row>
    <row r="10" spans="1:6">
      <c r="A10" s="2">
        <v>202512058</v>
      </c>
      <c r="B10" s="3" t="s">
        <v>20</v>
      </c>
      <c r="C10" s="3" t="s">
        <v>8</v>
      </c>
      <c r="D10" s="3" t="s">
        <v>11</v>
      </c>
      <c r="E10" s="3" t="s">
        <v>10</v>
      </c>
      <c r="F10" s="4">
        <v>45744</v>
      </c>
    </row>
    <row r="11" spans="1:6">
      <c r="A11" s="2">
        <v>202006154</v>
      </c>
      <c r="B11" s="3" t="s">
        <v>21</v>
      </c>
      <c r="C11" s="3" t="s">
        <v>22</v>
      </c>
      <c r="D11" s="3" t="s">
        <v>23</v>
      </c>
      <c r="E11" s="3" t="s">
        <v>14</v>
      </c>
      <c r="F11" s="4">
        <v>45899</v>
      </c>
    </row>
    <row r="12" spans="1:6">
      <c r="A12" s="2">
        <v>202006154</v>
      </c>
      <c r="B12" s="3" t="s">
        <v>21</v>
      </c>
      <c r="C12" s="3" t="s">
        <v>22</v>
      </c>
      <c r="D12" s="3" t="s">
        <v>25</v>
      </c>
      <c r="E12" s="3" t="s">
        <v>14</v>
      </c>
      <c r="F12" s="4">
        <v>45658</v>
      </c>
    </row>
    <row r="13" spans="1:6">
      <c r="A13" s="2">
        <v>202006154</v>
      </c>
      <c r="B13" s="3" t="s">
        <v>21</v>
      </c>
      <c r="C13" s="3" t="s">
        <v>22</v>
      </c>
      <c r="D13" s="3" t="s">
        <v>13</v>
      </c>
      <c r="E13" s="3" t="s">
        <v>14</v>
      </c>
      <c r="F13" s="4">
        <v>45887</v>
      </c>
    </row>
    <row r="14" spans="1:6">
      <c r="A14" s="2">
        <v>202006154</v>
      </c>
      <c r="B14" s="3" t="s">
        <v>21</v>
      </c>
      <c r="C14" s="3" t="s">
        <v>22</v>
      </c>
      <c r="D14" s="3" t="s">
        <v>27</v>
      </c>
      <c r="E14" s="3" t="s">
        <v>28</v>
      </c>
      <c r="F14" s="4">
        <v>45778</v>
      </c>
    </row>
    <row r="15" spans="1:6">
      <c r="A15" s="2">
        <v>202106028</v>
      </c>
      <c r="B15" s="3" t="s">
        <v>29</v>
      </c>
      <c r="C15" s="3" t="s">
        <v>22</v>
      </c>
      <c r="D15" s="3" t="s">
        <v>30</v>
      </c>
      <c r="E15" s="3" t="s">
        <v>10</v>
      </c>
      <c r="F15" s="4">
        <v>45960</v>
      </c>
    </row>
    <row r="16" spans="1:6">
      <c r="A16" s="2">
        <v>202106028</v>
      </c>
      <c r="B16" s="3" t="s">
        <v>29</v>
      </c>
      <c r="C16" s="3" t="s">
        <v>22</v>
      </c>
      <c r="D16" s="3" t="s">
        <v>9</v>
      </c>
      <c r="E16" s="3" t="s">
        <v>10</v>
      </c>
      <c r="F16" s="4">
        <v>45658</v>
      </c>
    </row>
    <row r="17" spans="1:6">
      <c r="A17" s="2">
        <v>202506012</v>
      </c>
      <c r="B17" s="3" t="s">
        <v>31</v>
      </c>
      <c r="C17" s="3" t="s">
        <v>22</v>
      </c>
      <c r="D17" s="3" t="s">
        <v>27</v>
      </c>
      <c r="E17" s="3" t="s">
        <v>28</v>
      </c>
      <c r="F17" s="4">
        <v>45658</v>
      </c>
    </row>
    <row r="18" spans="1:6">
      <c r="A18" s="2">
        <v>202506056</v>
      </c>
      <c r="B18" s="3" t="s">
        <v>32</v>
      </c>
      <c r="C18" s="3" t="s">
        <v>22</v>
      </c>
      <c r="D18" s="3" t="s">
        <v>9</v>
      </c>
      <c r="E18" s="3" t="s">
        <v>10</v>
      </c>
      <c r="F18" s="4">
        <v>45997</v>
      </c>
    </row>
    <row r="19" spans="1:6">
      <c r="A19" s="2">
        <v>202506073</v>
      </c>
      <c r="B19" s="3" t="s">
        <v>34</v>
      </c>
      <c r="C19" s="3" t="s">
        <v>22</v>
      </c>
      <c r="D19" s="3" t="s">
        <v>9</v>
      </c>
      <c r="E19" s="3" t="s">
        <v>10</v>
      </c>
      <c r="F19" s="4">
        <v>45926</v>
      </c>
    </row>
    <row r="20" spans="1:6">
      <c r="A20" s="2">
        <v>202528014</v>
      </c>
      <c r="B20" s="3" t="s">
        <v>35</v>
      </c>
      <c r="C20" s="3" t="s">
        <v>36</v>
      </c>
      <c r="D20" s="3" t="s">
        <v>37</v>
      </c>
      <c r="E20" s="3" t="s">
        <v>10</v>
      </c>
      <c r="F20" s="4">
        <v>45834</v>
      </c>
    </row>
    <row r="21" spans="1:6">
      <c r="A21" s="2">
        <v>202528014</v>
      </c>
      <c r="B21" s="3" t="s">
        <v>35</v>
      </c>
      <c r="C21" s="3" t="s">
        <v>36</v>
      </c>
      <c r="D21" s="3" t="s">
        <v>9</v>
      </c>
      <c r="E21" s="3" t="s">
        <v>10</v>
      </c>
      <c r="F21" s="4">
        <v>45835</v>
      </c>
    </row>
    <row r="22" spans="1:6">
      <c r="A22" s="2">
        <v>202528014</v>
      </c>
      <c r="B22" s="3" t="s">
        <v>35</v>
      </c>
      <c r="C22" s="3" t="s">
        <v>36</v>
      </c>
      <c r="D22" s="3" t="s">
        <v>39</v>
      </c>
      <c r="E22" s="3" t="s">
        <v>10</v>
      </c>
      <c r="F22" s="4">
        <v>45979</v>
      </c>
    </row>
    <row r="23" spans="1:6">
      <c r="A23" s="2">
        <v>202528027</v>
      </c>
      <c r="B23" s="3" t="s">
        <v>40</v>
      </c>
      <c r="C23" s="3" t="s">
        <v>36</v>
      </c>
      <c r="D23" s="3" t="s">
        <v>39</v>
      </c>
      <c r="E23" s="3" t="s">
        <v>10</v>
      </c>
      <c r="F23" s="4">
        <v>45754</v>
      </c>
    </row>
    <row r="24" spans="1:6">
      <c r="A24" s="2">
        <v>202528027</v>
      </c>
      <c r="B24" s="3" t="s">
        <v>40</v>
      </c>
      <c r="C24" s="3" t="s">
        <v>36</v>
      </c>
      <c r="D24" s="3" t="s">
        <v>27</v>
      </c>
      <c r="E24" s="3" t="s">
        <v>28</v>
      </c>
      <c r="F24" s="4">
        <v>45834</v>
      </c>
    </row>
    <row r="25" spans="1:6">
      <c r="A25" s="2">
        <v>202528052</v>
      </c>
      <c r="B25" s="3" t="s">
        <v>42</v>
      </c>
      <c r="C25" s="3" t="s">
        <v>36</v>
      </c>
      <c r="D25" s="3" t="s">
        <v>9</v>
      </c>
      <c r="E25" s="3" t="s">
        <v>10</v>
      </c>
      <c r="F25" s="4">
        <v>45807</v>
      </c>
    </row>
    <row r="26" spans="1:6">
      <c r="A26" s="2">
        <v>202528052</v>
      </c>
      <c r="B26" s="3" t="s">
        <v>42</v>
      </c>
      <c r="C26" s="3" t="s">
        <v>36</v>
      </c>
      <c r="D26" s="3" t="s">
        <v>43</v>
      </c>
      <c r="E26" s="3" t="s">
        <v>10</v>
      </c>
      <c r="F26" s="4">
        <v>45972</v>
      </c>
    </row>
    <row r="27" spans="1:6">
      <c r="A27" s="2">
        <v>202528052</v>
      </c>
      <c r="B27" s="3" t="s">
        <v>42</v>
      </c>
      <c r="C27" s="3" t="s">
        <v>36</v>
      </c>
      <c r="D27" s="3" t="s">
        <v>39</v>
      </c>
      <c r="E27" s="3" t="s">
        <v>10</v>
      </c>
      <c r="F27" s="4">
        <v>45972</v>
      </c>
    </row>
    <row r="28" spans="1:6">
      <c r="A28" s="2">
        <v>202528052</v>
      </c>
      <c r="B28" s="3" t="s">
        <v>42</v>
      </c>
      <c r="C28" s="3" t="s">
        <v>36</v>
      </c>
      <c r="D28" s="3" t="s">
        <v>27</v>
      </c>
      <c r="E28" s="3" t="s">
        <v>28</v>
      </c>
      <c r="F28" s="4">
        <v>45956</v>
      </c>
    </row>
  </sheetData>
  <phoneticPr fontId="2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&amp;R총 &amp;N 페이지 중 &amp;P 페이지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65"/>
  <sheetViews>
    <sheetView tabSelected="1" workbookViewId="0">
      <selection activeCell="F10" sqref="F10"/>
    </sheetView>
  </sheetViews>
  <sheetFormatPr defaultRowHeight="16.5"/>
  <cols>
    <col min="1" max="1" width="12.75" customWidth="1"/>
    <col min="2" max="2" width="20" bestFit="1" customWidth="1"/>
    <col min="3" max="3" width="16.375" bestFit="1" customWidth="1"/>
    <col min="4" max="4" width="18.25" bestFit="1" customWidth="1"/>
    <col min="5" max="5" width="20" customWidth="1"/>
    <col min="6" max="6" width="15.5" customWidth="1"/>
  </cols>
  <sheetData>
    <row r="1" spans="1:7">
      <c r="A1" s="1" t="s">
        <v>44</v>
      </c>
      <c r="B1" s="1"/>
      <c r="C1" s="1"/>
      <c r="D1" s="7"/>
      <c r="E1" s="8" t="s">
        <v>45</v>
      </c>
      <c r="F1" s="8"/>
      <c r="G1" s="7"/>
    </row>
    <row r="2" spans="1:7">
      <c r="A2" s="9" t="s">
        <v>46</v>
      </c>
      <c r="B2" s="26" t="s">
        <v>47</v>
      </c>
      <c r="C2" s="26" t="s">
        <v>48</v>
      </c>
      <c r="D2" s="7"/>
      <c r="E2" s="10" t="s">
        <v>49</v>
      </c>
      <c r="F2" s="27" t="s">
        <v>50</v>
      </c>
      <c r="G2" s="7"/>
    </row>
    <row r="3" spans="1:7">
      <c r="A3" s="11" t="s">
        <v>51</v>
      </c>
      <c r="B3" s="12">
        <f t="array" ref="B3">SUM(($C$10:$C$37=$A3)*($E$10:$E$37=B$2))</f>
        <v>4</v>
      </c>
      <c r="C3" s="12">
        <f t="array" ref="C3">SUM(($C$10:$C$37=$A3)*($E$10:$E$37=C$2))</f>
        <v>5</v>
      </c>
      <c r="D3" s="7"/>
      <c r="E3" s="13" t="s">
        <v>52</v>
      </c>
      <c r="F3" s="13">
        <f t="array" ref="F3">COUNT(IF(LEFT($D$10:$D$37,LEN(E3))=E3,$A$10:$A$37))</f>
        <v>9</v>
      </c>
      <c r="G3" s="7"/>
    </row>
    <row r="4" spans="1:7">
      <c r="A4" s="11" t="s">
        <v>53</v>
      </c>
      <c r="B4" s="12">
        <f t="array" ref="B4">SUM(($C$10:$C$37=$A4)*($E$10:$E$37=B$2))</f>
        <v>8</v>
      </c>
      <c r="C4" s="12">
        <f t="array" ref="C4">SUM(($C$10:$C$37=$A4)*($E$10:$E$37=C$2))</f>
        <v>3</v>
      </c>
      <c r="D4" s="7"/>
      <c r="E4" s="13" t="s">
        <v>54</v>
      </c>
      <c r="F4" s="13">
        <f t="array" ref="F4">COUNT(IF(LEFT($D$10:$D$37,LEN(E4))=E4,$A$10:$A$37))</f>
        <v>5</v>
      </c>
      <c r="G4" s="7"/>
    </row>
    <row r="5" spans="1:7">
      <c r="A5" s="11" t="s">
        <v>55</v>
      </c>
      <c r="B5" s="12">
        <f t="array" ref="B5">SUM(($C$10:$C$37=$A5)*($E$10:$E$37=B$2))</f>
        <v>8</v>
      </c>
      <c r="C5" s="12">
        <f t="array" ref="C5">SUM(($C$10:$C$37=$A5)*($E$10:$E$37=C$2))</f>
        <v>0</v>
      </c>
      <c r="D5" s="7"/>
      <c r="E5" s="13" t="s">
        <v>56</v>
      </c>
      <c r="F5" s="13">
        <f t="array" ref="F5">COUNT(IF(LEFT($D$10:$D$37,LEN(E5))=E5,$A$10:$A$37))</f>
        <v>4</v>
      </c>
      <c r="G5" s="7"/>
    </row>
    <row r="6" spans="1:7">
      <c r="A6" s="1"/>
      <c r="B6" s="1"/>
      <c r="C6" s="1"/>
      <c r="D6" s="7"/>
      <c r="E6" s="14" t="s">
        <v>57</v>
      </c>
      <c r="F6" s="13">
        <f t="array" ref="F6">COUNT(IF(LEFT($D$10:$D$37,LEN(E6))=E6,$A$10:$A$37))</f>
        <v>1</v>
      </c>
      <c r="G6" s="7"/>
    </row>
    <row r="7" spans="1:7">
      <c r="A7" s="1"/>
      <c r="B7" s="1"/>
      <c r="C7" s="1"/>
      <c r="D7" s="7"/>
      <c r="E7" s="14" t="s">
        <v>58</v>
      </c>
      <c r="F7" s="13">
        <f t="array" ref="F7">COUNT(IF(LEFT($D$10:$D$37,LEN(E7))=E7,$A$10:$A$37))</f>
        <v>1</v>
      </c>
      <c r="G7" s="7"/>
    </row>
    <row r="8" spans="1:7">
      <c r="A8" s="1" t="s">
        <v>59</v>
      </c>
      <c r="B8" s="1"/>
      <c r="C8" s="1"/>
      <c r="D8" s="1"/>
      <c r="E8" s="1"/>
      <c r="F8" s="7"/>
      <c r="G8" s="7"/>
    </row>
    <row r="9" spans="1:7">
      <c r="A9" s="15" t="s">
        <v>1</v>
      </c>
      <c r="B9" s="15" t="s">
        <v>2</v>
      </c>
      <c r="C9" s="15" t="s">
        <v>60</v>
      </c>
      <c r="D9" s="15" t="s">
        <v>4</v>
      </c>
      <c r="E9" s="15" t="s">
        <v>5</v>
      </c>
      <c r="F9" s="28" t="s">
        <v>61</v>
      </c>
      <c r="G9" s="7"/>
    </row>
    <row r="10" spans="1:7">
      <c r="A10" s="11">
        <v>202528052</v>
      </c>
      <c r="B10" s="11" t="s">
        <v>62</v>
      </c>
      <c r="C10" s="11" t="s">
        <v>63</v>
      </c>
      <c r="D10" s="11" t="s">
        <v>39</v>
      </c>
      <c r="E10" s="11" t="s">
        <v>10</v>
      </c>
      <c r="F10" s="16">
        <f>IF(ISERROR(_xlfn.XLOOKUP(D10,$B$42:$B$51,$C$42:$C$51)),0,_xlfn.XLOOKUP(D10,$B$42:$B$51,$C$42:$C$51))</f>
        <v>200000</v>
      </c>
      <c r="G10" s="7"/>
    </row>
    <row r="11" spans="1:7">
      <c r="A11" s="11">
        <v>202512049</v>
      </c>
      <c r="B11" s="11" t="s">
        <v>12</v>
      </c>
      <c r="C11" s="11" t="s">
        <v>51</v>
      </c>
      <c r="D11" s="11" t="s">
        <v>13</v>
      </c>
      <c r="E11" s="11" t="s">
        <v>14</v>
      </c>
      <c r="F11" s="16">
        <f t="shared" ref="F11:F37" si="0">IF(ISERROR(_xlfn.XLOOKUP(D11,$B$42:$B$51,$C$42:$C$51)),0,_xlfn.XLOOKUP(D11,$B$42:$B$51,$C$42:$C$51))</f>
        <v>400000</v>
      </c>
      <c r="G11" s="7"/>
    </row>
    <row r="12" spans="1:7">
      <c r="A12" s="11">
        <v>202512024</v>
      </c>
      <c r="B12" s="11" t="s">
        <v>7</v>
      </c>
      <c r="C12" s="11" t="s">
        <v>51</v>
      </c>
      <c r="D12" s="11" t="s">
        <v>9</v>
      </c>
      <c r="E12" s="11" t="s">
        <v>10</v>
      </c>
      <c r="F12" s="16">
        <f t="shared" si="0"/>
        <v>200000</v>
      </c>
      <c r="G12" s="7"/>
    </row>
    <row r="13" spans="1:7">
      <c r="A13" s="11">
        <v>202512024</v>
      </c>
      <c r="B13" s="11" t="s">
        <v>7</v>
      </c>
      <c r="C13" s="11" t="s">
        <v>51</v>
      </c>
      <c r="D13" s="11" t="s">
        <v>11</v>
      </c>
      <c r="E13" s="11" t="s">
        <v>10</v>
      </c>
      <c r="F13" s="16">
        <f t="shared" si="0"/>
        <v>200000</v>
      </c>
      <c r="G13" s="7"/>
    </row>
    <row r="14" spans="1:7">
      <c r="A14" s="11">
        <v>202406154</v>
      </c>
      <c r="B14" s="11" t="s">
        <v>64</v>
      </c>
      <c r="C14" s="11" t="s">
        <v>65</v>
      </c>
      <c r="D14" s="11" t="s">
        <v>9</v>
      </c>
      <c r="E14" s="11" t="s">
        <v>10</v>
      </c>
      <c r="F14" s="16">
        <f t="shared" si="0"/>
        <v>200000</v>
      </c>
      <c r="G14" s="7"/>
    </row>
    <row r="15" spans="1:7">
      <c r="A15" s="11">
        <v>202512053</v>
      </c>
      <c r="B15" s="11" t="s">
        <v>15</v>
      </c>
      <c r="C15" s="11" t="s">
        <v>8</v>
      </c>
      <c r="D15" s="11" t="s">
        <v>16</v>
      </c>
      <c r="E15" s="11" t="s">
        <v>14</v>
      </c>
      <c r="F15" s="16">
        <f t="shared" si="0"/>
        <v>400000</v>
      </c>
      <c r="G15" s="7"/>
    </row>
    <row r="16" spans="1:7">
      <c r="A16" s="11">
        <v>202506056</v>
      </c>
      <c r="B16" s="11" t="s">
        <v>32</v>
      </c>
      <c r="C16" s="11" t="s">
        <v>66</v>
      </c>
      <c r="D16" s="11" t="s">
        <v>9</v>
      </c>
      <c r="E16" s="11" t="s">
        <v>10</v>
      </c>
      <c r="F16" s="16">
        <f t="shared" si="0"/>
        <v>200000</v>
      </c>
      <c r="G16" s="7"/>
    </row>
    <row r="17" spans="1:7">
      <c r="A17" s="11">
        <v>202406154</v>
      </c>
      <c r="B17" s="11" t="s">
        <v>64</v>
      </c>
      <c r="C17" s="11" t="s">
        <v>53</v>
      </c>
      <c r="D17" s="11" t="s">
        <v>25</v>
      </c>
      <c r="E17" s="11" t="s">
        <v>14</v>
      </c>
      <c r="F17" s="16">
        <f t="shared" si="0"/>
        <v>0</v>
      </c>
      <c r="G17" s="7"/>
    </row>
    <row r="18" spans="1:7">
      <c r="A18" s="11">
        <v>202528027</v>
      </c>
      <c r="B18" s="11" t="s">
        <v>67</v>
      </c>
      <c r="C18" s="11" t="s">
        <v>63</v>
      </c>
      <c r="D18" s="11" t="s">
        <v>39</v>
      </c>
      <c r="E18" s="11" t="s">
        <v>10</v>
      </c>
      <c r="F18" s="16">
        <f t="shared" si="0"/>
        <v>200000</v>
      </c>
      <c r="G18" s="7"/>
    </row>
    <row r="19" spans="1:7">
      <c r="A19" s="11">
        <v>202528052</v>
      </c>
      <c r="B19" s="11" t="s">
        <v>62</v>
      </c>
      <c r="C19" s="11" t="s">
        <v>68</v>
      </c>
      <c r="D19" s="11" t="s">
        <v>9</v>
      </c>
      <c r="E19" s="11" t="s">
        <v>10</v>
      </c>
      <c r="F19" s="16">
        <f t="shared" si="0"/>
        <v>200000</v>
      </c>
      <c r="G19" s="7"/>
    </row>
    <row r="20" spans="1:7">
      <c r="A20" s="11">
        <v>202406154</v>
      </c>
      <c r="B20" s="11" t="s">
        <v>69</v>
      </c>
      <c r="C20" s="11" t="s">
        <v>53</v>
      </c>
      <c r="D20" s="11" t="s">
        <v>70</v>
      </c>
      <c r="E20" s="11" t="s">
        <v>10</v>
      </c>
      <c r="F20" s="16">
        <f t="shared" si="0"/>
        <v>300000</v>
      </c>
      <c r="G20" s="7"/>
    </row>
    <row r="21" spans="1:7">
      <c r="A21" s="11">
        <v>202406154</v>
      </c>
      <c r="B21" s="11" t="s">
        <v>64</v>
      </c>
      <c r="C21" s="11" t="s">
        <v>53</v>
      </c>
      <c r="D21" s="11" t="s">
        <v>13</v>
      </c>
      <c r="E21" s="11" t="s">
        <v>14</v>
      </c>
      <c r="F21" s="16">
        <f t="shared" si="0"/>
        <v>400000</v>
      </c>
      <c r="G21" s="7"/>
    </row>
    <row r="22" spans="1:7">
      <c r="A22" s="11">
        <v>202528014</v>
      </c>
      <c r="B22" s="11" t="s">
        <v>71</v>
      </c>
      <c r="C22" s="11" t="s">
        <v>63</v>
      </c>
      <c r="D22" s="11" t="s">
        <v>39</v>
      </c>
      <c r="E22" s="11" t="s">
        <v>10</v>
      </c>
      <c r="F22" s="16">
        <f t="shared" si="0"/>
        <v>200000</v>
      </c>
      <c r="G22" s="7"/>
    </row>
    <row r="23" spans="1:7">
      <c r="A23" s="11">
        <v>202512053</v>
      </c>
      <c r="B23" s="11" t="s">
        <v>15</v>
      </c>
      <c r="C23" s="11" t="s">
        <v>51</v>
      </c>
      <c r="D23" s="11" t="s">
        <v>13</v>
      </c>
      <c r="E23" s="11" t="s">
        <v>14</v>
      </c>
      <c r="F23" s="16">
        <f t="shared" si="0"/>
        <v>400000</v>
      </c>
      <c r="G23" s="7"/>
    </row>
    <row r="24" spans="1:7">
      <c r="A24" s="11">
        <v>202512056</v>
      </c>
      <c r="B24" s="11" t="s">
        <v>18</v>
      </c>
      <c r="C24" s="11" t="s">
        <v>8</v>
      </c>
      <c r="D24" s="11" t="s">
        <v>13</v>
      </c>
      <c r="E24" s="11" t="s">
        <v>14</v>
      </c>
      <c r="F24" s="16">
        <f t="shared" si="0"/>
        <v>400000</v>
      </c>
      <c r="G24" s="7"/>
    </row>
    <row r="25" spans="1:7">
      <c r="A25" s="11">
        <v>202406154</v>
      </c>
      <c r="B25" s="11" t="s">
        <v>64</v>
      </c>
      <c r="C25" s="11" t="s">
        <v>65</v>
      </c>
      <c r="D25" s="11" t="s">
        <v>23</v>
      </c>
      <c r="E25" s="11" t="s">
        <v>14</v>
      </c>
      <c r="F25" s="16">
        <f t="shared" si="0"/>
        <v>0</v>
      </c>
      <c r="G25" s="7"/>
    </row>
    <row r="26" spans="1:7">
      <c r="A26" s="11">
        <v>202406154</v>
      </c>
      <c r="B26" s="11" t="s">
        <v>64</v>
      </c>
      <c r="C26" s="11" t="s">
        <v>53</v>
      </c>
      <c r="D26" s="11" t="s">
        <v>11</v>
      </c>
      <c r="E26" s="11" t="s">
        <v>10</v>
      </c>
      <c r="F26" s="16">
        <f t="shared" si="0"/>
        <v>200000</v>
      </c>
      <c r="G26" s="7"/>
    </row>
    <row r="27" spans="1:7">
      <c r="A27" s="11">
        <v>202528052</v>
      </c>
      <c r="B27" s="11" t="s">
        <v>72</v>
      </c>
      <c r="C27" s="11" t="s">
        <v>63</v>
      </c>
      <c r="D27" s="11" t="s">
        <v>73</v>
      </c>
      <c r="E27" s="11" t="s">
        <v>10</v>
      </c>
      <c r="F27" s="16">
        <f t="shared" si="0"/>
        <v>100000</v>
      </c>
      <c r="G27" s="7"/>
    </row>
    <row r="28" spans="1:7">
      <c r="A28" s="11">
        <v>202528052</v>
      </c>
      <c r="B28" s="11" t="s">
        <v>74</v>
      </c>
      <c r="C28" s="11" t="s">
        <v>68</v>
      </c>
      <c r="D28" s="11" t="s">
        <v>43</v>
      </c>
      <c r="E28" s="11" t="s">
        <v>10</v>
      </c>
      <c r="F28" s="16">
        <f t="shared" si="0"/>
        <v>300000</v>
      </c>
      <c r="G28" s="7"/>
    </row>
    <row r="29" spans="1:7">
      <c r="A29" s="11">
        <v>202528014</v>
      </c>
      <c r="B29" s="11" t="s">
        <v>71</v>
      </c>
      <c r="C29" s="11" t="s">
        <v>63</v>
      </c>
      <c r="D29" s="11" t="s">
        <v>9</v>
      </c>
      <c r="E29" s="11" t="s">
        <v>10</v>
      </c>
      <c r="F29" s="16">
        <f t="shared" si="0"/>
        <v>200000</v>
      </c>
      <c r="G29" s="7"/>
    </row>
    <row r="30" spans="1:7">
      <c r="A30" s="11">
        <v>202512058</v>
      </c>
      <c r="B30" s="11" t="s">
        <v>20</v>
      </c>
      <c r="C30" s="11" t="s">
        <v>51</v>
      </c>
      <c r="D30" s="11" t="s">
        <v>11</v>
      </c>
      <c r="E30" s="11" t="s">
        <v>10</v>
      </c>
      <c r="F30" s="16">
        <f t="shared" si="0"/>
        <v>200000</v>
      </c>
      <c r="G30" s="7"/>
    </row>
    <row r="31" spans="1:7">
      <c r="A31" s="11">
        <v>202106028</v>
      </c>
      <c r="B31" s="11" t="s">
        <v>29</v>
      </c>
      <c r="C31" s="11" t="s">
        <v>53</v>
      </c>
      <c r="D31" s="11" t="s">
        <v>9</v>
      </c>
      <c r="E31" s="11" t="s">
        <v>10</v>
      </c>
      <c r="F31" s="16">
        <f t="shared" si="0"/>
        <v>200000</v>
      </c>
      <c r="G31" s="7"/>
    </row>
    <row r="32" spans="1:7">
      <c r="A32" s="11">
        <v>202406154</v>
      </c>
      <c r="B32" s="11" t="s">
        <v>69</v>
      </c>
      <c r="C32" s="11" t="s">
        <v>53</v>
      </c>
      <c r="D32" s="11" t="s">
        <v>75</v>
      </c>
      <c r="E32" s="11" t="s">
        <v>10</v>
      </c>
      <c r="F32" s="16">
        <f t="shared" si="0"/>
        <v>100000</v>
      </c>
      <c r="G32" s="7"/>
    </row>
    <row r="33" spans="1:7">
      <c r="A33" s="11">
        <v>202406014</v>
      </c>
      <c r="B33" s="11" t="s">
        <v>76</v>
      </c>
      <c r="C33" s="11" t="s">
        <v>53</v>
      </c>
      <c r="D33" s="11" t="s">
        <v>9</v>
      </c>
      <c r="E33" s="11" t="s">
        <v>10</v>
      </c>
      <c r="F33" s="16">
        <f t="shared" si="0"/>
        <v>200000</v>
      </c>
      <c r="G33" s="7"/>
    </row>
    <row r="34" spans="1:7">
      <c r="A34" s="11">
        <v>202506073</v>
      </c>
      <c r="B34" s="11" t="s">
        <v>34</v>
      </c>
      <c r="C34" s="11" t="s">
        <v>53</v>
      </c>
      <c r="D34" s="11" t="s">
        <v>9</v>
      </c>
      <c r="E34" s="11" t="s">
        <v>10</v>
      </c>
      <c r="F34" s="16">
        <f t="shared" si="0"/>
        <v>200000</v>
      </c>
      <c r="G34" s="7"/>
    </row>
    <row r="35" spans="1:7">
      <c r="A35" s="11">
        <v>202512058</v>
      </c>
      <c r="B35" s="11" t="s">
        <v>20</v>
      </c>
      <c r="C35" s="11" t="s">
        <v>8</v>
      </c>
      <c r="D35" s="11" t="s">
        <v>13</v>
      </c>
      <c r="E35" s="11" t="s">
        <v>14</v>
      </c>
      <c r="F35" s="16">
        <f t="shared" si="0"/>
        <v>400000</v>
      </c>
      <c r="G35" s="7"/>
    </row>
    <row r="36" spans="1:7">
      <c r="A36" s="11">
        <v>202512057</v>
      </c>
      <c r="B36" s="11" t="s">
        <v>19</v>
      </c>
      <c r="C36" s="11" t="s">
        <v>51</v>
      </c>
      <c r="D36" s="11" t="s">
        <v>9</v>
      </c>
      <c r="E36" s="11" t="s">
        <v>10</v>
      </c>
      <c r="F36" s="16">
        <f t="shared" si="0"/>
        <v>200000</v>
      </c>
      <c r="G36" s="7"/>
    </row>
    <row r="37" spans="1:7">
      <c r="A37" s="11">
        <v>202528014</v>
      </c>
      <c r="B37" s="11" t="s">
        <v>71</v>
      </c>
      <c r="C37" s="11" t="s">
        <v>63</v>
      </c>
      <c r="D37" s="11" t="s">
        <v>37</v>
      </c>
      <c r="E37" s="11" t="s">
        <v>10</v>
      </c>
      <c r="F37" s="16">
        <f t="shared" si="0"/>
        <v>200000</v>
      </c>
      <c r="G37" s="7"/>
    </row>
    <row r="38" spans="1:7">
      <c r="A38" s="7"/>
      <c r="B38" s="7"/>
      <c r="C38" s="7"/>
      <c r="D38" s="7"/>
      <c r="E38" s="7"/>
      <c r="F38" s="7"/>
      <c r="G38" s="7"/>
    </row>
    <row r="39" spans="1:7">
      <c r="A39" s="7"/>
      <c r="B39" s="7"/>
      <c r="C39" s="7"/>
      <c r="D39" s="7"/>
      <c r="E39" s="7"/>
      <c r="F39" s="7"/>
      <c r="G39" s="7"/>
    </row>
    <row r="40" spans="1:7">
      <c r="A40" s="7"/>
      <c r="B40" s="1" t="s">
        <v>77</v>
      </c>
      <c r="C40" s="7"/>
      <c r="D40" s="7"/>
      <c r="E40" s="7"/>
      <c r="F40" s="7"/>
      <c r="G40" s="7"/>
    </row>
    <row r="41" spans="1:7">
      <c r="A41" s="7"/>
      <c r="B41" s="17" t="s">
        <v>4</v>
      </c>
      <c r="C41" s="18" t="s">
        <v>78</v>
      </c>
      <c r="D41" s="7"/>
      <c r="E41" s="7"/>
      <c r="F41" s="7"/>
      <c r="G41" s="7"/>
    </row>
    <row r="42" spans="1:7">
      <c r="A42" s="7"/>
      <c r="B42" s="19" t="s">
        <v>43</v>
      </c>
      <c r="C42" s="20">
        <v>300000</v>
      </c>
      <c r="D42" s="7"/>
      <c r="E42" s="7"/>
      <c r="F42" s="7"/>
      <c r="G42" s="7"/>
    </row>
    <row r="43" spans="1:7">
      <c r="A43" s="7"/>
      <c r="B43" s="2" t="s">
        <v>39</v>
      </c>
      <c r="C43" s="21">
        <v>200000</v>
      </c>
      <c r="D43" s="7"/>
      <c r="E43" s="7"/>
      <c r="F43" s="7"/>
      <c r="G43" s="7"/>
    </row>
    <row r="44" spans="1:7">
      <c r="A44" s="7"/>
      <c r="B44" s="2" t="s">
        <v>73</v>
      </c>
      <c r="C44" s="21">
        <v>100000</v>
      </c>
      <c r="D44" s="7"/>
      <c r="E44" s="7"/>
      <c r="F44" s="7"/>
      <c r="G44" s="7"/>
    </row>
    <row r="45" spans="1:7">
      <c r="A45" s="7"/>
      <c r="B45" s="2" t="s">
        <v>13</v>
      </c>
      <c r="C45" s="21">
        <v>400000</v>
      </c>
      <c r="D45" s="7"/>
      <c r="E45" s="7"/>
      <c r="F45" s="7"/>
      <c r="G45" s="7"/>
    </row>
    <row r="46" spans="1:7">
      <c r="A46" s="7"/>
      <c r="B46" s="2" t="s">
        <v>11</v>
      </c>
      <c r="C46" s="21">
        <v>200000</v>
      </c>
      <c r="D46" s="7"/>
      <c r="E46" s="7"/>
      <c r="F46" s="7"/>
      <c r="G46" s="7"/>
    </row>
    <row r="47" spans="1:7">
      <c r="A47" s="7"/>
      <c r="B47" s="2" t="s">
        <v>75</v>
      </c>
      <c r="C47" s="21">
        <v>100000</v>
      </c>
      <c r="D47" s="7"/>
      <c r="E47" s="7"/>
      <c r="F47" s="7"/>
      <c r="G47" s="7"/>
    </row>
    <row r="48" spans="1:7">
      <c r="A48" s="7"/>
      <c r="B48" s="2" t="s">
        <v>37</v>
      </c>
      <c r="C48" s="22">
        <v>200000</v>
      </c>
      <c r="D48" s="7"/>
      <c r="E48" s="7"/>
      <c r="F48" s="7"/>
      <c r="G48" s="7"/>
    </row>
    <row r="49" spans="1:7">
      <c r="A49" s="7"/>
      <c r="B49" s="2" t="s">
        <v>70</v>
      </c>
      <c r="C49" s="23">
        <v>300000</v>
      </c>
      <c r="D49" s="7"/>
      <c r="E49" s="7"/>
      <c r="F49" s="7"/>
      <c r="G49" s="7"/>
    </row>
    <row r="50" spans="1:7">
      <c r="A50" s="7"/>
      <c r="B50" s="2" t="s">
        <v>16</v>
      </c>
      <c r="C50" s="21">
        <v>400000</v>
      </c>
      <c r="D50" s="7"/>
      <c r="E50" s="7"/>
      <c r="F50" s="7"/>
      <c r="G50" s="7"/>
    </row>
    <row r="51" spans="1:7">
      <c r="A51" s="7"/>
      <c r="B51" s="24" t="s">
        <v>9</v>
      </c>
      <c r="C51" s="25">
        <v>200000</v>
      </c>
      <c r="D51" s="7"/>
      <c r="E51" s="7"/>
      <c r="F51" s="7"/>
      <c r="G51" s="7"/>
    </row>
    <row r="52" spans="1:7">
      <c r="A52" s="7"/>
      <c r="B52" s="7"/>
      <c r="C52" s="7"/>
      <c r="D52" s="7"/>
      <c r="E52" s="7"/>
      <c r="F52" s="7"/>
      <c r="G52" s="7"/>
    </row>
    <row r="53" spans="1:7">
      <c r="A53" s="7"/>
      <c r="B53" s="7"/>
      <c r="C53" s="7"/>
      <c r="D53" s="7"/>
      <c r="E53" s="7"/>
      <c r="F53" s="7"/>
      <c r="G53" s="7"/>
    </row>
    <row r="54" spans="1:7">
      <c r="A54" s="7"/>
      <c r="B54" s="7"/>
      <c r="C54" s="7"/>
      <c r="D54" s="7"/>
      <c r="E54" s="7"/>
      <c r="F54" s="7"/>
      <c r="G54" s="7"/>
    </row>
    <row r="55" spans="1:7">
      <c r="A55" s="7"/>
      <c r="B55" s="7"/>
      <c r="C55" s="7"/>
      <c r="D55" s="7"/>
      <c r="E55" s="7"/>
      <c r="F55" s="7"/>
      <c r="G55" s="7"/>
    </row>
    <row r="56" spans="1:7">
      <c r="A56" s="7"/>
      <c r="B56" s="7"/>
      <c r="C56" s="7"/>
      <c r="D56" s="7"/>
      <c r="E56" s="7"/>
      <c r="F56" s="7"/>
      <c r="G56" s="7"/>
    </row>
    <row r="57" spans="1:7">
      <c r="A57" s="7"/>
      <c r="B57" s="7"/>
      <c r="C57" s="7"/>
      <c r="D57" s="7"/>
      <c r="E57" s="7"/>
      <c r="F57" s="7"/>
      <c r="G57" s="7"/>
    </row>
    <row r="58" spans="1:7">
      <c r="A58" s="7"/>
      <c r="B58" s="7"/>
      <c r="C58" s="7"/>
      <c r="D58" s="7"/>
      <c r="E58" s="7"/>
      <c r="F58" s="7"/>
      <c r="G58" s="7"/>
    </row>
    <row r="59" spans="1:7">
      <c r="A59" s="7"/>
      <c r="B59" s="7"/>
      <c r="C59" s="7"/>
      <c r="D59" s="7"/>
      <c r="E59" s="7"/>
      <c r="F59" s="7"/>
      <c r="G59" s="7"/>
    </row>
    <row r="60" spans="1:7">
      <c r="A60" s="7"/>
      <c r="B60" s="7"/>
      <c r="C60" s="7"/>
      <c r="D60" s="7"/>
      <c r="E60" s="7"/>
      <c r="F60" s="7"/>
      <c r="G60" s="7"/>
    </row>
    <row r="61" spans="1:7">
      <c r="A61" s="7"/>
      <c r="B61" s="7"/>
      <c r="C61" s="7"/>
      <c r="D61" s="7"/>
      <c r="E61" s="7"/>
      <c r="F61" s="7"/>
      <c r="G61" s="7"/>
    </row>
    <row r="62" spans="1:7">
      <c r="A62" s="7"/>
      <c r="B62" s="7"/>
      <c r="C62" s="7"/>
      <c r="D62" s="7"/>
      <c r="E62" s="7"/>
      <c r="F62" s="7"/>
      <c r="G62" s="7"/>
    </row>
    <row r="63" spans="1:7">
      <c r="A63" s="7"/>
      <c r="B63" s="7"/>
      <c r="C63" s="7"/>
      <c r="D63" s="7"/>
      <c r="E63" s="7"/>
      <c r="F63" s="7"/>
      <c r="G63" s="7"/>
    </row>
    <row r="64" spans="1:7">
      <c r="A64" s="7"/>
      <c r="B64" s="7"/>
      <c r="C64" s="7"/>
      <c r="D64" s="7"/>
      <c r="E64" s="7"/>
      <c r="F64" s="7"/>
      <c r="G64" s="7"/>
    </row>
    <row r="65" spans="1:7">
      <c r="A65" s="7"/>
      <c r="B65" s="7"/>
      <c r="C65" s="7"/>
      <c r="D65" s="7"/>
      <c r="E65" s="7"/>
      <c r="F65" s="7"/>
      <c r="G65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15"/>
  <sheetViews>
    <sheetView workbookViewId="0"/>
  </sheetViews>
  <sheetFormatPr defaultRowHeight="16.5"/>
  <cols>
    <col min="1" max="1" width="9.625" bestFit="1" customWidth="1"/>
    <col min="2" max="2" width="10.625" bestFit="1" customWidth="1"/>
    <col min="3" max="3" width="10.75" bestFit="1" customWidth="1"/>
    <col min="4" max="4" width="11" customWidth="1"/>
    <col min="5" max="5" width="10.75" bestFit="1" customWidth="1"/>
    <col min="6" max="6" width="2.625" customWidth="1"/>
    <col min="7" max="8" width="11.625" bestFit="1" customWidth="1"/>
    <col min="9" max="11" width="12.875" bestFit="1" customWidth="1"/>
  </cols>
  <sheetData>
    <row r="1" spans="1:11">
      <c r="A1" t="s">
        <v>208</v>
      </c>
      <c r="D1" s="43" t="s">
        <v>203</v>
      </c>
      <c r="E1" s="44">
        <v>45996</v>
      </c>
      <c r="G1" t="s">
        <v>209</v>
      </c>
    </row>
    <row r="2" spans="1:11">
      <c r="A2" s="34" t="s">
        <v>98</v>
      </c>
      <c r="B2" s="34" t="s">
        <v>204</v>
      </c>
      <c r="C2" s="34" t="s">
        <v>205</v>
      </c>
      <c r="D2" s="55" t="s">
        <v>206</v>
      </c>
      <c r="E2" s="55" t="s">
        <v>207</v>
      </c>
      <c r="G2" s="45">
        <v>1</v>
      </c>
      <c r="H2" s="45">
        <v>2</v>
      </c>
      <c r="I2" s="45">
        <v>3</v>
      </c>
      <c r="J2" s="45">
        <v>4</v>
      </c>
      <c r="K2" s="45">
        <v>5</v>
      </c>
    </row>
    <row r="3" spans="1:11">
      <c r="A3" s="34" t="s">
        <v>227</v>
      </c>
      <c r="B3" s="46">
        <v>7654700</v>
      </c>
      <c r="C3" s="47">
        <v>43953</v>
      </c>
      <c r="D3" s="46">
        <f>B3*VLOOKUP(_xlfn.DAYS($E$1,C3)/30,$G$5:$K$8,LOOKUP(ABS(B3),$I$3:$K$3,$I$2:$K$2))</f>
        <v>176058.1</v>
      </c>
      <c r="E3" s="34" t="str" cm="1">
        <f t="array" ref="E3">fn비고(A3)</f>
        <v>적금</v>
      </c>
      <c r="G3" s="56" t="s">
        <v>240</v>
      </c>
      <c r="H3" s="57"/>
      <c r="I3" s="48">
        <v>0</v>
      </c>
      <c r="J3" s="48">
        <v>1000000</v>
      </c>
      <c r="K3" s="48">
        <v>2000000</v>
      </c>
    </row>
    <row r="4" spans="1:11">
      <c r="A4" s="34" t="s">
        <v>228</v>
      </c>
      <c r="B4" s="46">
        <v>1573000</v>
      </c>
      <c r="C4" s="47">
        <v>44716</v>
      </c>
      <c r="D4" s="46">
        <f t="shared" ref="D4:D15" si="0">B4*VLOOKUP(_xlfn.DAYS($E$1,C4)/30,$G$5:$K$8,LOOKUP(ABS(B4),$I$3:$K$3,$I$2:$K$2))</f>
        <v>40898</v>
      </c>
      <c r="E4" s="34" t="str" cm="1">
        <f t="array" ref="E4">fn비고(A4)</f>
        <v>예금</v>
      </c>
      <c r="G4" s="58"/>
      <c r="H4" s="59"/>
      <c r="I4" s="49">
        <v>1000000</v>
      </c>
      <c r="J4" s="49">
        <v>2000000</v>
      </c>
      <c r="K4" s="50"/>
    </row>
    <row r="5" spans="1:11">
      <c r="A5" s="34" t="s">
        <v>229</v>
      </c>
      <c r="B5" s="46">
        <v>2136570</v>
      </c>
      <c r="C5" s="47">
        <v>45355</v>
      </c>
      <c r="D5" s="46">
        <f t="shared" si="0"/>
        <v>53414.25</v>
      </c>
      <c r="E5" s="34" t="str" cm="1">
        <f t="array" ref="E5">fn비고(A5)</f>
        <v>수시입출금</v>
      </c>
      <c r="G5" s="51">
        <v>0</v>
      </c>
      <c r="H5" s="52">
        <v>24</v>
      </c>
      <c r="I5" s="53">
        <v>0.03</v>
      </c>
      <c r="J5" s="53">
        <v>2.7E-2</v>
      </c>
      <c r="K5" s="53">
        <v>2.5000000000000001E-2</v>
      </c>
    </row>
    <row r="6" spans="1:11">
      <c r="A6" s="34" t="s">
        <v>230</v>
      </c>
      <c r="B6" s="46">
        <v>4756000</v>
      </c>
      <c r="C6" s="47">
        <v>44351</v>
      </c>
      <c r="D6" s="46">
        <f t="shared" si="0"/>
        <v>114144</v>
      </c>
      <c r="E6" s="34" t="str" cm="1">
        <f t="array" ref="E6">fn비고(A6)</f>
        <v>예금</v>
      </c>
      <c r="G6" s="51">
        <v>24</v>
      </c>
      <c r="H6" s="52">
        <v>60</v>
      </c>
      <c r="I6" s="53">
        <v>2.8000000000000001E-2</v>
      </c>
      <c r="J6" s="53">
        <v>2.5999999999999999E-2</v>
      </c>
      <c r="K6" s="53">
        <v>2.4E-2</v>
      </c>
    </row>
    <row r="7" spans="1:11">
      <c r="A7" s="34" t="s">
        <v>231</v>
      </c>
      <c r="B7" s="46">
        <v>873000</v>
      </c>
      <c r="C7" s="47">
        <v>45418</v>
      </c>
      <c r="D7" s="46">
        <f t="shared" si="0"/>
        <v>26190</v>
      </c>
      <c r="E7" s="34" t="str" cm="1">
        <f t="array" ref="E7">fn비고(A7)</f>
        <v>적금</v>
      </c>
      <c r="G7" s="51">
        <v>60</v>
      </c>
      <c r="H7" s="52">
        <v>120</v>
      </c>
      <c r="I7" s="53">
        <v>2.7E-2</v>
      </c>
      <c r="J7" s="53">
        <v>2.5000000000000001E-2</v>
      </c>
      <c r="K7" s="53">
        <v>2.3E-2</v>
      </c>
    </row>
    <row r="8" spans="1:11">
      <c r="A8" s="34" t="s">
        <v>232</v>
      </c>
      <c r="B8" s="46">
        <v>5750000</v>
      </c>
      <c r="C8" s="47">
        <v>43865</v>
      </c>
      <c r="D8" s="46">
        <f t="shared" si="0"/>
        <v>132250</v>
      </c>
      <c r="E8" s="34" t="str" cm="1">
        <f t="array" ref="E8">fn비고(A8)</f>
        <v>예금</v>
      </c>
      <c r="G8" s="51">
        <v>120</v>
      </c>
      <c r="H8" s="52"/>
      <c r="I8" s="53">
        <v>2.4E-2</v>
      </c>
      <c r="J8" s="53">
        <v>2.1999999999999999E-2</v>
      </c>
      <c r="K8" s="53">
        <v>0.02</v>
      </c>
    </row>
    <row r="9" spans="1:11">
      <c r="A9" s="34" t="s">
        <v>233</v>
      </c>
      <c r="B9" s="46">
        <v>975000</v>
      </c>
      <c r="C9" s="47">
        <v>44747</v>
      </c>
      <c r="D9" s="46">
        <f t="shared" si="0"/>
        <v>27300</v>
      </c>
      <c r="E9" s="34" t="str" cm="1">
        <f t="array" ref="E9">fn비고(A9)</f>
        <v>청약</v>
      </c>
    </row>
    <row r="10" spans="1:11">
      <c r="A10" s="34" t="s">
        <v>234</v>
      </c>
      <c r="B10" s="46">
        <v>-710000</v>
      </c>
      <c r="C10" s="47">
        <v>44260</v>
      </c>
      <c r="D10" s="46">
        <f t="shared" si="0"/>
        <v>-19880</v>
      </c>
      <c r="E10" s="34" t="str" cm="1">
        <f t="array" ref="E10">fn비고(A10)</f>
        <v>수시입출금</v>
      </c>
    </row>
    <row r="11" spans="1:11">
      <c r="A11" s="34" t="s">
        <v>235</v>
      </c>
      <c r="B11" s="46">
        <v>143570</v>
      </c>
      <c r="C11" s="47">
        <v>44550</v>
      </c>
      <c r="D11" s="46">
        <f t="shared" si="0"/>
        <v>4019.96</v>
      </c>
      <c r="E11" s="34" t="str" cm="1">
        <f t="array" ref="E11">fn비고(A11)</f>
        <v>적금</v>
      </c>
    </row>
    <row r="12" spans="1:11">
      <c r="A12" s="34" t="s">
        <v>236</v>
      </c>
      <c r="B12" s="54">
        <v>-1246500</v>
      </c>
      <c r="C12" s="47">
        <v>44233</v>
      </c>
      <c r="D12" s="46">
        <f t="shared" si="0"/>
        <v>-32409</v>
      </c>
      <c r="E12" s="34" t="str" cm="1">
        <f t="array" ref="E12">fn비고(A12)</f>
        <v>청약</v>
      </c>
    </row>
    <row r="13" spans="1:11">
      <c r="A13" s="34" t="s">
        <v>237</v>
      </c>
      <c r="B13" s="54">
        <v>2367000</v>
      </c>
      <c r="C13" s="47">
        <v>44236</v>
      </c>
      <c r="D13" s="46">
        <f t="shared" si="0"/>
        <v>56808</v>
      </c>
      <c r="E13" s="34" t="str" cm="1">
        <f t="array" ref="E13">fn비고(A13)</f>
        <v>예금</v>
      </c>
    </row>
    <row r="14" spans="1:11">
      <c r="A14" s="34" t="s">
        <v>238</v>
      </c>
      <c r="B14" s="54">
        <v>856000</v>
      </c>
      <c r="C14" s="47">
        <v>44259</v>
      </c>
      <c r="D14" s="46">
        <f t="shared" si="0"/>
        <v>23968</v>
      </c>
      <c r="E14" s="34" t="str" cm="1">
        <f t="array" ref="E14">fn비고(A14)</f>
        <v>수시입출금</v>
      </c>
    </row>
    <row r="15" spans="1:11">
      <c r="A15" s="34" t="s">
        <v>239</v>
      </c>
      <c r="B15" s="54">
        <v>4356000</v>
      </c>
      <c r="C15" s="47">
        <v>45086</v>
      </c>
      <c r="D15" s="46">
        <f t="shared" si="0"/>
        <v>104544</v>
      </c>
      <c r="E15" s="34" t="str" cm="1">
        <f t="array" ref="E15">fn비고(A15)</f>
        <v>예금</v>
      </c>
    </row>
  </sheetData>
  <mergeCells count="1">
    <mergeCell ref="G3:H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4:H20"/>
  <sheetViews>
    <sheetView workbookViewId="0"/>
  </sheetViews>
  <sheetFormatPr defaultRowHeight="16.5"/>
  <cols>
    <col min="2" max="2" width="18.375" bestFit="1" customWidth="1"/>
    <col min="3" max="3" width="13.625" bestFit="1" customWidth="1"/>
    <col min="4" max="4" width="9" customWidth="1"/>
    <col min="5" max="8" width="8.625" customWidth="1"/>
    <col min="9" max="9" width="9.75" customWidth="1"/>
    <col min="10" max="10" width="11.75" customWidth="1"/>
    <col min="11" max="11" width="13.625" customWidth="1"/>
    <col min="12" max="13" width="11.75" customWidth="1"/>
    <col min="14" max="14" width="13.625" customWidth="1"/>
    <col min="15" max="16" width="11.75" bestFit="1" customWidth="1"/>
    <col min="17" max="17" width="13.625" bestFit="1" customWidth="1"/>
    <col min="18" max="19" width="16.25" bestFit="1" customWidth="1"/>
    <col min="20" max="20" width="18.25" bestFit="1" customWidth="1"/>
  </cols>
  <sheetData>
    <row r="4" spans="2:8">
      <c r="B4" s="40"/>
      <c r="C4" s="40"/>
      <c r="D4" s="41" t="s">
        <v>79</v>
      </c>
      <c r="E4" s="40"/>
      <c r="F4" s="40"/>
      <c r="G4" s="40"/>
      <c r="H4" s="40"/>
    </row>
    <row r="5" spans="2:8">
      <c r="B5" s="41" t="s">
        <v>80</v>
      </c>
      <c r="C5" s="41" t="s">
        <v>118</v>
      </c>
      <c r="D5" s="42" t="s">
        <v>83</v>
      </c>
      <c r="E5" s="42" t="s">
        <v>88</v>
      </c>
      <c r="F5" s="42" t="s">
        <v>81</v>
      </c>
      <c r="G5" s="42" t="s">
        <v>86</v>
      </c>
      <c r="H5" s="42" t="s">
        <v>84</v>
      </c>
    </row>
    <row r="6" spans="2:8">
      <c r="B6" s="60" t="s">
        <v>89</v>
      </c>
      <c r="C6" s="42" t="s">
        <v>196</v>
      </c>
      <c r="D6" s="32" t="s">
        <v>202</v>
      </c>
      <c r="E6" s="32" t="s">
        <v>202</v>
      </c>
      <c r="F6" s="32" t="s">
        <v>202</v>
      </c>
      <c r="G6" s="32">
        <v>1500000</v>
      </c>
      <c r="H6" s="32" t="s">
        <v>202</v>
      </c>
    </row>
    <row r="7" spans="2:8">
      <c r="B7" s="61"/>
      <c r="C7" s="42" t="s">
        <v>199</v>
      </c>
      <c r="D7" s="32" t="s">
        <v>202</v>
      </c>
      <c r="E7" s="32" t="s">
        <v>202</v>
      </c>
      <c r="F7" s="32" t="s">
        <v>202</v>
      </c>
      <c r="G7" s="32">
        <v>1050000</v>
      </c>
      <c r="H7" s="32" t="s">
        <v>202</v>
      </c>
    </row>
    <row r="8" spans="2:8">
      <c r="B8" s="61"/>
      <c r="C8" s="42" t="s">
        <v>201</v>
      </c>
      <c r="D8" s="33">
        <v>0</v>
      </c>
      <c r="E8" s="33">
        <v>0</v>
      </c>
      <c r="F8" s="33">
        <v>0</v>
      </c>
      <c r="G8" s="33">
        <v>0.10537407797681771</v>
      </c>
      <c r="H8" s="33">
        <v>0</v>
      </c>
    </row>
    <row r="9" spans="2:8">
      <c r="B9" s="60" t="s">
        <v>85</v>
      </c>
      <c r="C9" s="42" t="s">
        <v>196</v>
      </c>
      <c r="D9" s="32">
        <v>2370000</v>
      </c>
      <c r="E9" s="32">
        <v>1200000</v>
      </c>
      <c r="F9" s="32">
        <v>1250000</v>
      </c>
      <c r="G9" s="32">
        <v>6250000</v>
      </c>
      <c r="H9" s="32">
        <v>4770000</v>
      </c>
    </row>
    <row r="10" spans="2:8">
      <c r="B10" s="61"/>
      <c r="C10" s="42" t="s">
        <v>199</v>
      </c>
      <c r="D10" s="32">
        <v>1659000</v>
      </c>
      <c r="E10" s="32">
        <v>840000</v>
      </c>
      <c r="F10" s="32">
        <v>875000</v>
      </c>
      <c r="G10" s="32">
        <v>4375000</v>
      </c>
      <c r="H10" s="32">
        <v>3339000</v>
      </c>
    </row>
    <row r="11" spans="2:8">
      <c r="B11" s="61"/>
      <c r="C11" s="42" t="s">
        <v>201</v>
      </c>
      <c r="D11" s="33">
        <v>0.55052264808362372</v>
      </c>
      <c r="E11" s="33">
        <v>0.44444444444444442</v>
      </c>
      <c r="F11" s="33">
        <v>0.20695364238410596</v>
      </c>
      <c r="G11" s="33">
        <v>0.43905865823674045</v>
      </c>
      <c r="H11" s="33">
        <v>0.58135283363802559</v>
      </c>
    </row>
    <row r="12" spans="2:8">
      <c r="B12" s="60" t="s">
        <v>87</v>
      </c>
      <c r="C12" s="42" t="s">
        <v>196</v>
      </c>
      <c r="D12" s="32" t="s">
        <v>202</v>
      </c>
      <c r="E12" s="32" t="s">
        <v>202</v>
      </c>
      <c r="F12" s="32" t="s">
        <v>202</v>
      </c>
      <c r="G12" s="32">
        <v>2350000</v>
      </c>
      <c r="H12" s="32">
        <v>2350000</v>
      </c>
    </row>
    <row r="13" spans="2:8">
      <c r="B13" s="61"/>
      <c r="C13" s="42" t="s">
        <v>199</v>
      </c>
      <c r="D13" s="32" t="s">
        <v>202</v>
      </c>
      <c r="E13" s="32" t="s">
        <v>202</v>
      </c>
      <c r="F13" s="32" t="s">
        <v>202</v>
      </c>
      <c r="G13" s="32">
        <v>1645000</v>
      </c>
      <c r="H13" s="32">
        <v>1645000</v>
      </c>
    </row>
    <row r="14" spans="2:8">
      <c r="B14" s="61"/>
      <c r="C14" s="42" t="s">
        <v>201</v>
      </c>
      <c r="D14" s="33">
        <v>0</v>
      </c>
      <c r="E14" s="33">
        <v>0</v>
      </c>
      <c r="F14" s="33">
        <v>0</v>
      </c>
      <c r="G14" s="33">
        <v>0.16508605549701441</v>
      </c>
      <c r="H14" s="33">
        <v>0.28641072516758076</v>
      </c>
    </row>
    <row r="15" spans="2:8">
      <c r="B15" s="60" t="s">
        <v>82</v>
      </c>
      <c r="C15" s="42" t="s">
        <v>196</v>
      </c>
      <c r="D15" s="32">
        <v>1935000</v>
      </c>
      <c r="E15" s="32">
        <v>1500000</v>
      </c>
      <c r="F15" s="32">
        <v>4790000</v>
      </c>
      <c r="G15" s="32">
        <v>4135000</v>
      </c>
      <c r="H15" s="32">
        <v>1085000</v>
      </c>
    </row>
    <row r="16" spans="2:8">
      <c r="B16" s="61"/>
      <c r="C16" s="42" t="s">
        <v>199</v>
      </c>
      <c r="D16" s="32">
        <v>1354500</v>
      </c>
      <c r="E16" s="32">
        <v>1050000</v>
      </c>
      <c r="F16" s="32">
        <v>3353000</v>
      </c>
      <c r="G16" s="32">
        <v>2894500</v>
      </c>
      <c r="H16" s="32">
        <v>759500</v>
      </c>
    </row>
    <row r="17" spans="2:8">
      <c r="B17" s="61"/>
      <c r="C17" s="42" t="s">
        <v>201</v>
      </c>
      <c r="D17" s="33">
        <v>0.44947735191637633</v>
      </c>
      <c r="E17" s="33">
        <v>0.55555555555555558</v>
      </c>
      <c r="F17" s="33">
        <v>0.79304635761589404</v>
      </c>
      <c r="G17" s="33">
        <v>0.29048120828942747</v>
      </c>
      <c r="H17" s="33">
        <v>0.13223644119439365</v>
      </c>
    </row>
    <row r="18" spans="2:8">
      <c r="B18" s="60" t="s">
        <v>197</v>
      </c>
      <c r="C18" s="61"/>
      <c r="D18" s="32">
        <v>4305000</v>
      </c>
      <c r="E18" s="32">
        <v>2700000</v>
      </c>
      <c r="F18" s="32">
        <v>6040000</v>
      </c>
      <c r="G18" s="32">
        <v>14235000</v>
      </c>
      <c r="H18" s="32">
        <v>8205000</v>
      </c>
    </row>
    <row r="19" spans="2:8">
      <c r="B19" s="60" t="s">
        <v>198</v>
      </c>
      <c r="C19" s="61"/>
      <c r="D19" s="32">
        <v>3013500</v>
      </c>
      <c r="E19" s="32">
        <v>1890000</v>
      </c>
      <c r="F19" s="32">
        <v>4228000</v>
      </c>
      <c r="G19" s="32">
        <v>9964500</v>
      </c>
      <c r="H19" s="32">
        <v>5743500</v>
      </c>
    </row>
    <row r="20" spans="2:8">
      <c r="B20" s="60" t="s">
        <v>200</v>
      </c>
      <c r="C20" s="61"/>
      <c r="D20" s="33">
        <v>1</v>
      </c>
      <c r="E20" s="33">
        <v>1</v>
      </c>
      <c r="F20" s="33">
        <v>1</v>
      </c>
      <c r="G20" s="33">
        <v>1</v>
      </c>
      <c r="H20" s="33">
        <v>1</v>
      </c>
    </row>
  </sheetData>
  <mergeCells count="7">
    <mergeCell ref="B20:C20"/>
    <mergeCell ref="B6:B8"/>
    <mergeCell ref="B9:B11"/>
    <mergeCell ref="B12:B14"/>
    <mergeCell ref="B15:B17"/>
    <mergeCell ref="B18:C18"/>
    <mergeCell ref="B19:C19"/>
  </mergeCells>
  <phoneticPr fontId="2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1:K22"/>
  <sheetViews>
    <sheetView workbookViewId="0"/>
  </sheetViews>
  <sheetFormatPr defaultRowHeight="16.5"/>
  <cols>
    <col min="1" max="1" width="1.625" customWidth="1"/>
    <col min="4" max="4" width="21.75" bestFit="1" customWidth="1"/>
  </cols>
  <sheetData>
    <row r="1" spans="2:11">
      <c r="B1" t="s">
        <v>191</v>
      </c>
      <c r="I1" t="s">
        <v>192</v>
      </c>
    </row>
    <row r="2" spans="2:11">
      <c r="B2" t="s">
        <v>119</v>
      </c>
      <c r="C2" t="s">
        <v>2</v>
      </c>
      <c r="D2" t="s">
        <v>120</v>
      </c>
      <c r="E2" t="s">
        <v>121</v>
      </c>
      <c r="F2" t="s">
        <v>122</v>
      </c>
      <c r="G2" t="s">
        <v>123</v>
      </c>
      <c r="I2" t="s">
        <v>193</v>
      </c>
      <c r="J2" t="s">
        <v>194</v>
      </c>
      <c r="K2" t="s">
        <v>195</v>
      </c>
    </row>
    <row r="3" spans="2:11">
      <c r="B3">
        <v>1</v>
      </c>
      <c r="C3" t="s">
        <v>124</v>
      </c>
      <c r="D3" t="s">
        <v>125</v>
      </c>
      <c r="E3" t="s">
        <v>126</v>
      </c>
      <c r="F3">
        <v>5000000</v>
      </c>
      <c r="G3">
        <v>12</v>
      </c>
      <c r="I3" t="s">
        <v>126</v>
      </c>
      <c r="J3">
        <v>4750000</v>
      </c>
      <c r="K3">
        <v>38.5</v>
      </c>
    </row>
    <row r="4" spans="2:11">
      <c r="B4">
        <v>2</v>
      </c>
      <c r="C4" t="s">
        <v>127</v>
      </c>
      <c r="D4" t="s">
        <v>128</v>
      </c>
      <c r="E4" t="s">
        <v>129</v>
      </c>
      <c r="F4">
        <v>5000000</v>
      </c>
      <c r="G4">
        <v>30</v>
      </c>
      <c r="I4" t="s">
        <v>129</v>
      </c>
      <c r="J4">
        <v>5488888.888888889</v>
      </c>
      <c r="K4">
        <v>30</v>
      </c>
    </row>
    <row r="5" spans="2:11">
      <c r="B5">
        <v>3</v>
      </c>
      <c r="C5" t="s">
        <v>130</v>
      </c>
      <c r="D5" t="s">
        <v>131</v>
      </c>
      <c r="E5" t="s">
        <v>132</v>
      </c>
      <c r="F5">
        <v>3000000</v>
      </c>
      <c r="G5">
        <v>24</v>
      </c>
      <c r="I5" t="s">
        <v>132</v>
      </c>
      <c r="J5">
        <v>5650000</v>
      </c>
      <c r="K5">
        <v>40.1</v>
      </c>
    </row>
    <row r="6" spans="2:11">
      <c r="B6">
        <v>4</v>
      </c>
      <c r="C6" t="s">
        <v>133</v>
      </c>
      <c r="D6" t="s">
        <v>131</v>
      </c>
      <c r="E6" t="s">
        <v>132</v>
      </c>
      <c r="F6">
        <v>2500000</v>
      </c>
      <c r="G6">
        <v>12</v>
      </c>
      <c r="I6" t="s">
        <v>138</v>
      </c>
      <c r="J6">
        <v>7428571.4285714282</v>
      </c>
      <c r="K6">
        <v>48.857142857142854</v>
      </c>
    </row>
    <row r="7" spans="2:11">
      <c r="B7">
        <v>5</v>
      </c>
      <c r="C7" t="s">
        <v>134</v>
      </c>
      <c r="D7" t="s">
        <v>135</v>
      </c>
      <c r="E7" t="s">
        <v>129</v>
      </c>
      <c r="F7">
        <v>8000000</v>
      </c>
      <c r="G7">
        <v>30</v>
      </c>
    </row>
    <row r="8" spans="2:11">
      <c r="B8">
        <v>5</v>
      </c>
      <c r="C8" t="s">
        <v>136</v>
      </c>
      <c r="D8" t="s">
        <v>137</v>
      </c>
      <c r="E8" t="s">
        <v>138</v>
      </c>
      <c r="F8">
        <v>10000000</v>
      </c>
      <c r="G8">
        <v>36</v>
      </c>
    </row>
    <row r="9" spans="2:11">
      <c r="B9">
        <v>6</v>
      </c>
      <c r="C9" t="s">
        <v>139</v>
      </c>
      <c r="D9" t="s">
        <v>140</v>
      </c>
      <c r="E9" t="s">
        <v>132</v>
      </c>
      <c r="F9">
        <v>7000000</v>
      </c>
      <c r="G9">
        <v>73</v>
      </c>
    </row>
    <row r="10" spans="2:11">
      <c r="B10">
        <v>7</v>
      </c>
      <c r="C10" t="s">
        <v>141</v>
      </c>
      <c r="D10" t="s">
        <v>137</v>
      </c>
      <c r="E10" t="s">
        <v>138</v>
      </c>
      <c r="F10">
        <v>2000000</v>
      </c>
      <c r="G10">
        <v>60</v>
      </c>
    </row>
    <row r="11" spans="2:11">
      <c r="B11">
        <v>8</v>
      </c>
      <c r="C11" t="s">
        <v>142</v>
      </c>
      <c r="D11" t="s">
        <v>143</v>
      </c>
      <c r="E11" t="s">
        <v>132</v>
      </c>
      <c r="F11">
        <v>5000000</v>
      </c>
      <c r="G11">
        <v>30</v>
      </c>
    </row>
    <row r="12" spans="2:11">
      <c r="B12">
        <v>9</v>
      </c>
      <c r="C12" t="s">
        <v>144</v>
      </c>
      <c r="D12" t="s">
        <v>145</v>
      </c>
      <c r="E12" t="s">
        <v>129</v>
      </c>
      <c r="F12">
        <v>3000000</v>
      </c>
      <c r="G12">
        <v>36</v>
      </c>
    </row>
    <row r="13" spans="2:11">
      <c r="B13">
        <v>10</v>
      </c>
      <c r="C13" t="s">
        <v>146</v>
      </c>
      <c r="D13" t="s">
        <v>147</v>
      </c>
      <c r="E13" t="s">
        <v>126</v>
      </c>
      <c r="F13">
        <v>5000000</v>
      </c>
      <c r="G13">
        <v>78</v>
      </c>
    </row>
    <row r="14" spans="2:11">
      <c r="B14">
        <v>11</v>
      </c>
      <c r="C14" t="s">
        <v>148</v>
      </c>
      <c r="D14" t="s">
        <v>149</v>
      </c>
      <c r="E14" t="s">
        <v>138</v>
      </c>
      <c r="F14">
        <v>12000000</v>
      </c>
      <c r="G14">
        <v>60</v>
      </c>
    </row>
    <row r="15" spans="2:11">
      <c r="B15">
        <v>12</v>
      </c>
      <c r="C15" t="s">
        <v>150</v>
      </c>
      <c r="D15" t="s">
        <v>151</v>
      </c>
      <c r="E15" t="s">
        <v>138</v>
      </c>
      <c r="F15">
        <v>15000000</v>
      </c>
      <c r="G15">
        <v>60</v>
      </c>
    </row>
    <row r="16" spans="2:11">
      <c r="B16">
        <v>13</v>
      </c>
      <c r="C16" t="s">
        <v>152</v>
      </c>
      <c r="D16" t="s">
        <v>153</v>
      </c>
      <c r="E16" t="s">
        <v>129</v>
      </c>
      <c r="F16">
        <v>8000000</v>
      </c>
      <c r="G16">
        <v>45</v>
      </c>
    </row>
    <row r="17" spans="2:7">
      <c r="B17">
        <v>14</v>
      </c>
      <c r="C17" t="s">
        <v>154</v>
      </c>
      <c r="D17" t="s">
        <v>155</v>
      </c>
      <c r="E17" t="s">
        <v>129</v>
      </c>
      <c r="F17">
        <v>7000000</v>
      </c>
      <c r="G17">
        <v>24</v>
      </c>
    </row>
    <row r="18" spans="2:7">
      <c r="B18">
        <v>15</v>
      </c>
      <c r="C18" t="s">
        <v>156</v>
      </c>
      <c r="D18" t="s">
        <v>157</v>
      </c>
      <c r="E18" t="s">
        <v>126</v>
      </c>
      <c r="F18">
        <v>3000000</v>
      </c>
      <c r="G18">
        <v>36</v>
      </c>
    </row>
    <row r="19" spans="2:7">
      <c r="B19">
        <v>16</v>
      </c>
      <c r="C19" t="s">
        <v>158</v>
      </c>
      <c r="D19" t="s">
        <v>159</v>
      </c>
      <c r="E19" t="s">
        <v>132</v>
      </c>
      <c r="F19">
        <v>1000000</v>
      </c>
      <c r="G19">
        <v>48</v>
      </c>
    </row>
    <row r="20" spans="2:7">
      <c r="B20">
        <v>17</v>
      </c>
      <c r="C20" t="s">
        <v>160</v>
      </c>
      <c r="D20" t="s">
        <v>161</v>
      </c>
      <c r="E20" t="s">
        <v>132</v>
      </c>
      <c r="F20">
        <v>27000000</v>
      </c>
      <c r="G20">
        <v>48</v>
      </c>
    </row>
    <row r="21" spans="2:7">
      <c r="B21">
        <v>18</v>
      </c>
      <c r="C21" t="s">
        <v>130</v>
      </c>
      <c r="D21" t="s">
        <v>131</v>
      </c>
      <c r="E21" t="s">
        <v>132</v>
      </c>
      <c r="F21">
        <v>3000000</v>
      </c>
      <c r="G21">
        <v>24</v>
      </c>
    </row>
    <row r="22" spans="2:7">
      <c r="B22">
        <v>19</v>
      </c>
      <c r="C22" t="s">
        <v>141</v>
      </c>
      <c r="D22" t="s">
        <v>162</v>
      </c>
      <c r="E22" t="s">
        <v>138</v>
      </c>
      <c r="F22">
        <v>2000000</v>
      </c>
      <c r="G22">
        <v>60</v>
      </c>
    </row>
  </sheetData>
  <dataConsolidate function="average" topLabels="1" link="1">
    <dataRefs count="2">
      <dataRef ref="E2:G22" sheet="상반기"/>
      <dataRef ref="E2:G12" sheet="하반기"/>
    </dataRefs>
  </dataConsolidate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8B15F-0E65-4030-AD77-B9C2AF3C191F}">
  <sheetPr codeName="Sheet10"/>
  <dimension ref="B1:G12"/>
  <sheetViews>
    <sheetView workbookViewId="0"/>
  </sheetViews>
  <sheetFormatPr defaultRowHeight="16.5"/>
  <cols>
    <col min="1" max="1" width="1.625" customWidth="1"/>
    <col min="4" max="4" width="21.75" bestFit="1" customWidth="1"/>
  </cols>
  <sheetData>
    <row r="1" spans="2:7">
      <c r="B1" t="s">
        <v>191</v>
      </c>
    </row>
    <row r="2" spans="2:7">
      <c r="B2" t="s">
        <v>119</v>
      </c>
      <c r="C2" t="s">
        <v>2</v>
      </c>
      <c r="D2" t="s">
        <v>120</v>
      </c>
      <c r="E2" t="s">
        <v>121</v>
      </c>
      <c r="F2" t="s">
        <v>122</v>
      </c>
      <c r="G2" t="s">
        <v>123</v>
      </c>
    </row>
    <row r="3" spans="2:7">
      <c r="B3">
        <v>1</v>
      </c>
      <c r="C3" t="s">
        <v>34</v>
      </c>
      <c r="D3" t="s">
        <v>217</v>
      </c>
      <c r="E3" t="s">
        <v>213</v>
      </c>
      <c r="F3">
        <v>4000000</v>
      </c>
      <c r="G3">
        <v>18</v>
      </c>
    </row>
    <row r="4" spans="2:7">
      <c r="B4">
        <v>2</v>
      </c>
      <c r="C4" t="s">
        <v>35</v>
      </c>
      <c r="D4" t="s">
        <v>221</v>
      </c>
      <c r="E4" t="s">
        <v>214</v>
      </c>
      <c r="F4">
        <v>4000000</v>
      </c>
      <c r="G4">
        <v>24</v>
      </c>
    </row>
    <row r="5" spans="2:7">
      <c r="B5">
        <v>3</v>
      </c>
      <c r="C5" t="s">
        <v>40</v>
      </c>
      <c r="D5" t="s">
        <v>224</v>
      </c>
      <c r="E5" t="s">
        <v>215</v>
      </c>
      <c r="F5">
        <v>2000000</v>
      </c>
      <c r="G5">
        <v>36</v>
      </c>
    </row>
    <row r="6" spans="2:7">
      <c r="B6">
        <v>4</v>
      </c>
      <c r="C6" t="s">
        <v>42</v>
      </c>
      <c r="D6" t="s">
        <v>220</v>
      </c>
      <c r="E6" t="s">
        <v>213</v>
      </c>
      <c r="F6">
        <v>2400000</v>
      </c>
      <c r="G6">
        <v>16</v>
      </c>
    </row>
    <row r="7" spans="2:7">
      <c r="B7">
        <v>5</v>
      </c>
      <c r="C7" t="s">
        <v>19</v>
      </c>
      <c r="D7" t="s">
        <v>226</v>
      </c>
      <c r="E7" t="s">
        <v>216</v>
      </c>
      <c r="F7">
        <v>6000000</v>
      </c>
      <c r="G7">
        <v>28</v>
      </c>
    </row>
    <row r="8" spans="2:7">
      <c r="B8">
        <v>6</v>
      </c>
      <c r="C8" t="s">
        <v>20</v>
      </c>
      <c r="D8" t="s">
        <v>225</v>
      </c>
      <c r="E8" t="s">
        <v>215</v>
      </c>
      <c r="F8">
        <v>9000000</v>
      </c>
      <c r="G8">
        <v>30</v>
      </c>
    </row>
    <row r="9" spans="2:7">
      <c r="B9">
        <v>7</v>
      </c>
      <c r="C9" t="s">
        <v>21</v>
      </c>
      <c r="D9" t="s">
        <v>218</v>
      </c>
      <c r="E9" t="s">
        <v>213</v>
      </c>
      <c r="F9">
        <v>8000000</v>
      </c>
      <c r="G9">
        <v>36</v>
      </c>
    </row>
    <row r="10" spans="2:7">
      <c r="B10">
        <v>8</v>
      </c>
      <c r="C10" t="s">
        <v>29</v>
      </c>
      <c r="D10" t="s">
        <v>222</v>
      </c>
      <c r="E10" t="s">
        <v>214</v>
      </c>
      <c r="F10">
        <v>2000000</v>
      </c>
      <c r="G10">
        <v>70</v>
      </c>
    </row>
    <row r="11" spans="2:7">
      <c r="B11">
        <v>9</v>
      </c>
      <c r="C11" t="s">
        <v>31</v>
      </c>
      <c r="D11" t="s">
        <v>219</v>
      </c>
      <c r="E11" t="s">
        <v>213</v>
      </c>
      <c r="F11">
        <v>4000000</v>
      </c>
      <c r="G11">
        <v>35</v>
      </c>
    </row>
    <row r="12" spans="2:7">
      <c r="B12">
        <v>10</v>
      </c>
      <c r="C12" t="s">
        <v>32</v>
      </c>
      <c r="D12" t="s">
        <v>223</v>
      </c>
      <c r="E12" t="s">
        <v>214</v>
      </c>
      <c r="F12">
        <v>2000000</v>
      </c>
      <c r="G12">
        <v>48</v>
      </c>
    </row>
  </sheetData>
  <dataConsolidate function="average" topLabels="1">
    <dataRefs count="1">
      <dataRef ref="E2:G22" sheet="상반기"/>
    </dataRefs>
  </dataConsolidate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9"/>
  <sheetViews>
    <sheetView workbookViewId="0"/>
  </sheetViews>
  <sheetFormatPr defaultRowHeight="16.5"/>
  <cols>
    <col min="2" max="5" width="11.625" customWidth="1"/>
  </cols>
  <sheetData>
    <row r="1" spans="1:6">
      <c r="A1" s="7"/>
      <c r="B1" s="7"/>
      <c r="C1" s="7"/>
      <c r="D1" s="7"/>
      <c r="E1" s="7"/>
      <c r="F1" s="7"/>
    </row>
    <row r="2" spans="1:6">
      <c r="A2" s="7"/>
      <c r="B2" s="1" t="s">
        <v>90</v>
      </c>
      <c r="C2" s="1"/>
      <c r="D2" s="1"/>
      <c r="E2" s="1"/>
      <c r="F2" s="7"/>
    </row>
    <row r="3" spans="1:6">
      <c r="A3" s="7"/>
      <c r="B3" s="11" t="s">
        <v>91</v>
      </c>
      <c r="C3" s="11" t="s">
        <v>210</v>
      </c>
      <c r="D3" s="11" t="s">
        <v>211</v>
      </c>
      <c r="E3" s="11" t="s">
        <v>212</v>
      </c>
      <c r="F3" s="7"/>
    </row>
    <row r="4" spans="1:6">
      <c r="A4" s="7"/>
      <c r="B4" s="11" t="s">
        <v>92</v>
      </c>
      <c r="C4" s="11">
        <v>600</v>
      </c>
      <c r="D4" s="11">
        <v>625</v>
      </c>
      <c r="E4" s="11">
        <v>636</v>
      </c>
      <c r="F4" s="7"/>
    </row>
    <row r="5" spans="1:6">
      <c r="A5" s="7"/>
      <c r="B5" s="11" t="s">
        <v>93</v>
      </c>
      <c r="C5" s="11">
        <v>129</v>
      </c>
      <c r="D5" s="11">
        <v>147</v>
      </c>
      <c r="E5" s="11">
        <v>156</v>
      </c>
      <c r="F5" s="7"/>
    </row>
    <row r="6" spans="1:6">
      <c r="A6" s="7"/>
      <c r="B6" s="11" t="s">
        <v>94</v>
      </c>
      <c r="C6" s="11">
        <v>69</v>
      </c>
      <c r="D6" s="11">
        <v>75</v>
      </c>
      <c r="E6" s="11">
        <v>90</v>
      </c>
      <c r="F6" s="7"/>
    </row>
    <row r="7" spans="1:6">
      <c r="A7" s="7"/>
      <c r="B7" s="11" t="s">
        <v>95</v>
      </c>
      <c r="C7" s="11">
        <v>26</v>
      </c>
      <c r="D7" s="11">
        <v>29</v>
      </c>
      <c r="E7" s="11">
        <v>36</v>
      </c>
      <c r="F7" s="7"/>
    </row>
    <row r="8" spans="1:6">
      <c r="A8" s="7"/>
      <c r="B8" s="11" t="s">
        <v>96</v>
      </c>
      <c r="C8" s="11">
        <f>SUM(C4:C7)</f>
        <v>824</v>
      </c>
      <c r="D8" s="11">
        <f>SUM(D4:D7)</f>
        <v>876</v>
      </c>
      <c r="E8" s="11">
        <f>SUM(E4:E7)</f>
        <v>918</v>
      </c>
      <c r="F8" s="7"/>
    </row>
    <row r="9" spans="1:6">
      <c r="A9" s="7"/>
      <c r="B9" s="7"/>
      <c r="C9" s="7"/>
      <c r="D9" s="7"/>
      <c r="E9" s="7"/>
      <c r="F9" s="7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2:D15"/>
  <sheetViews>
    <sheetView workbookViewId="0"/>
  </sheetViews>
  <sheetFormatPr defaultRowHeight="16.5"/>
  <cols>
    <col min="1" max="1" width="2.625" customWidth="1"/>
    <col min="2" max="2" width="27.625" bestFit="1" customWidth="1"/>
    <col min="3" max="3" width="12.375" bestFit="1" customWidth="1"/>
  </cols>
  <sheetData>
    <row r="2" spans="2:4">
      <c r="B2" s="34" t="s">
        <v>164</v>
      </c>
      <c r="C2" s="34" t="s">
        <v>165</v>
      </c>
      <c r="D2" s="34" t="s">
        <v>171</v>
      </c>
    </row>
    <row r="3" spans="2:4">
      <c r="B3" s="35" t="s">
        <v>184</v>
      </c>
      <c r="C3" s="35" t="s">
        <v>188</v>
      </c>
      <c r="D3" s="37">
        <v>0.03</v>
      </c>
    </row>
    <row r="4" spans="2:4">
      <c r="B4" s="35" t="s">
        <v>185</v>
      </c>
      <c r="C4" s="35" t="s">
        <v>183</v>
      </c>
      <c r="D4" s="37">
        <v>0.85</v>
      </c>
    </row>
    <row r="5" spans="2:4">
      <c r="B5" s="35" t="s">
        <v>177</v>
      </c>
      <c r="C5" s="35" t="s">
        <v>186</v>
      </c>
      <c r="D5" s="37">
        <v>0.59</v>
      </c>
    </row>
    <row r="6" spans="2:4">
      <c r="B6" s="35" t="s">
        <v>178</v>
      </c>
      <c r="C6" s="35" t="s">
        <v>179</v>
      </c>
      <c r="D6" s="37">
        <v>0.2</v>
      </c>
    </row>
    <row r="7" spans="2:4">
      <c r="B7" s="35" t="s">
        <v>180</v>
      </c>
      <c r="C7" s="35" t="s">
        <v>181</v>
      </c>
      <c r="D7" s="37">
        <v>0.15</v>
      </c>
    </row>
    <row r="8" spans="2:4">
      <c r="B8" s="35" t="s">
        <v>167</v>
      </c>
      <c r="C8" s="35" t="s">
        <v>187</v>
      </c>
      <c r="D8" s="37">
        <v>0.2</v>
      </c>
    </row>
    <row r="9" spans="2:4">
      <c r="B9" s="35" t="s">
        <v>168</v>
      </c>
      <c r="C9" s="35" t="s">
        <v>166</v>
      </c>
      <c r="D9" s="37">
        <v>0</v>
      </c>
    </row>
    <row r="10" spans="2:4">
      <c r="B10" s="35" t="s">
        <v>169</v>
      </c>
      <c r="C10" s="35" t="s">
        <v>189</v>
      </c>
      <c r="D10" s="37">
        <v>-0.2</v>
      </c>
    </row>
    <row r="11" spans="2:4">
      <c r="B11" s="35" t="s">
        <v>170</v>
      </c>
      <c r="C11" s="35" t="s">
        <v>190</v>
      </c>
      <c r="D11" s="37">
        <v>0.04</v>
      </c>
    </row>
    <row r="12" spans="2:4">
      <c r="B12" s="35" t="s">
        <v>182</v>
      </c>
      <c r="C12" s="35" t="s">
        <v>183</v>
      </c>
      <c r="D12" s="37">
        <v>-0.3</v>
      </c>
    </row>
    <row r="13" spans="2:4">
      <c r="B13" s="36" t="s">
        <v>172</v>
      </c>
      <c r="C13" s="36" t="s">
        <v>173</v>
      </c>
      <c r="D13" s="38">
        <v>0.4</v>
      </c>
    </row>
    <row r="14" spans="2:4">
      <c r="B14" s="36" t="s">
        <v>174</v>
      </c>
      <c r="C14" s="36" t="s">
        <v>175</v>
      </c>
      <c r="D14" s="39">
        <v>0.24</v>
      </c>
    </row>
    <row r="15" spans="2:4">
      <c r="B15" s="36" t="s">
        <v>176</v>
      </c>
      <c r="C15" s="36" t="s">
        <v>173</v>
      </c>
      <c r="D15" s="39">
        <v>0.67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백분율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일반서식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C30"/>
  <sheetViews>
    <sheetView workbookViewId="0"/>
  </sheetViews>
  <sheetFormatPr defaultRowHeight="16.5"/>
  <cols>
    <col min="1" max="1" width="14.5" customWidth="1"/>
    <col min="2" max="2" width="15.25" customWidth="1"/>
    <col min="3" max="3" width="13.5" customWidth="1"/>
  </cols>
  <sheetData>
    <row r="1" spans="1:3">
      <c r="A1" s="7"/>
      <c r="B1" s="7"/>
      <c r="C1" s="7"/>
    </row>
    <row r="2" spans="1:3">
      <c r="A2" s="7"/>
      <c r="B2" s="7"/>
      <c r="C2" s="7"/>
    </row>
    <row r="3" spans="1:3">
      <c r="A3" s="29" t="s">
        <v>97</v>
      </c>
      <c r="B3" s="29" t="s">
        <v>98</v>
      </c>
      <c r="C3" s="29" t="s">
        <v>99</v>
      </c>
    </row>
    <row r="4" spans="1:3">
      <c r="A4" s="16" t="s">
        <v>100</v>
      </c>
      <c r="B4" s="16" t="s">
        <v>101</v>
      </c>
      <c r="C4" s="16" t="s">
        <v>102</v>
      </c>
    </row>
    <row r="5" spans="1:3">
      <c r="A5" s="16" t="s">
        <v>103</v>
      </c>
      <c r="B5" s="16" t="s">
        <v>104</v>
      </c>
      <c r="C5" s="16" t="s">
        <v>102</v>
      </c>
    </row>
    <row r="6" spans="1:3">
      <c r="A6" s="16" t="s">
        <v>105</v>
      </c>
      <c r="B6" s="16" t="s">
        <v>106</v>
      </c>
      <c r="C6" s="16" t="s">
        <v>107</v>
      </c>
    </row>
    <row r="7" spans="1:3">
      <c r="A7" s="7"/>
      <c r="B7" s="7"/>
      <c r="C7" s="7"/>
    </row>
    <row r="8" spans="1:3">
      <c r="A8" s="16" t="s">
        <v>108</v>
      </c>
      <c r="B8" s="7"/>
      <c r="C8" s="7"/>
    </row>
    <row r="9" spans="1:3">
      <c r="A9" s="16" t="s">
        <v>109</v>
      </c>
      <c r="B9" s="7"/>
      <c r="C9" s="7"/>
    </row>
    <row r="10" spans="1:3">
      <c r="A10" s="16" t="s">
        <v>110</v>
      </c>
      <c r="B10" s="7"/>
      <c r="C10" s="7"/>
    </row>
    <row r="11" spans="1:3">
      <c r="A11" s="16" t="s">
        <v>111</v>
      </c>
      <c r="B11" s="7"/>
      <c r="C11" s="7"/>
    </row>
    <row r="12" spans="1:3">
      <c r="A12" s="16" t="s">
        <v>112</v>
      </c>
      <c r="B12" s="7"/>
      <c r="C12" s="7"/>
    </row>
    <row r="13" spans="1:3">
      <c r="A13" s="7"/>
      <c r="B13" s="7"/>
      <c r="C13" s="7"/>
    </row>
    <row r="14" spans="1:3">
      <c r="A14" s="30" t="s">
        <v>113</v>
      </c>
      <c r="B14" s="7"/>
      <c r="C14" s="7" t="s">
        <v>114</v>
      </c>
    </row>
    <row r="15" spans="1:3">
      <c r="A15" s="7"/>
      <c r="B15" s="7"/>
      <c r="C15" s="7"/>
    </row>
    <row r="16" spans="1:3">
      <c r="A16" s="29" t="s">
        <v>115</v>
      </c>
      <c r="B16" s="29" t="s">
        <v>116</v>
      </c>
      <c r="C16" s="29" t="s">
        <v>117</v>
      </c>
    </row>
    <row r="17" spans="1:3">
      <c r="A17" s="16"/>
      <c r="B17" s="16"/>
      <c r="C17" s="31"/>
    </row>
    <row r="18" spans="1:3">
      <c r="A18" s="16"/>
      <c r="B18" s="16"/>
      <c r="C18" s="31"/>
    </row>
    <row r="19" spans="1:3">
      <c r="A19" s="16"/>
      <c r="B19" s="16"/>
      <c r="C19" s="31"/>
    </row>
    <row r="20" spans="1:3">
      <c r="A20" s="16"/>
      <c r="B20" s="16"/>
      <c r="C20" s="31"/>
    </row>
    <row r="21" spans="1:3">
      <c r="A21" s="16"/>
      <c r="B21" s="16"/>
      <c r="C21" s="31"/>
    </row>
    <row r="22" spans="1:3">
      <c r="A22" s="16"/>
      <c r="B22" s="16"/>
      <c r="C22" s="31"/>
    </row>
    <row r="23" spans="1:3">
      <c r="A23" s="16"/>
      <c r="B23" s="16"/>
      <c r="C23" s="31"/>
    </row>
    <row r="24" spans="1:3">
      <c r="A24" s="16"/>
      <c r="B24" s="16"/>
      <c r="C24" s="31"/>
    </row>
    <row r="25" spans="1:3">
      <c r="A25" s="16"/>
      <c r="B25" s="16"/>
      <c r="C25" s="31"/>
    </row>
    <row r="26" spans="1:3">
      <c r="A26" s="16"/>
      <c r="B26" s="16"/>
      <c r="C26" s="31"/>
    </row>
    <row r="27" spans="1:3">
      <c r="A27" s="16"/>
      <c r="B27" s="16"/>
      <c r="C27" s="31"/>
    </row>
    <row r="28" spans="1:3">
      <c r="A28" s="16"/>
      <c r="B28" s="16"/>
      <c r="C28" s="31"/>
    </row>
    <row r="29" spans="1:3">
      <c r="A29" s="16"/>
      <c r="B29" s="16"/>
      <c r="C29" s="31"/>
    </row>
    <row r="30" spans="1:3">
      <c r="A30" s="16"/>
      <c r="B30" s="16"/>
      <c r="C30" s="16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Btn결제">
          <controlPr defaultSize="0" autoLine="0" r:id="rId4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3073" r:id="rId3" name="Btn결제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3</vt:i4>
      </vt:variant>
    </vt:vector>
  </HeadingPairs>
  <TitlesOfParts>
    <vt:vector size="13" baseType="lpstr">
      <vt:lpstr>기본작업-1</vt:lpstr>
      <vt:lpstr>기본작업-2</vt:lpstr>
      <vt:lpstr>계산작업-1</vt:lpstr>
      <vt:lpstr>계산작업-2</vt:lpstr>
      <vt:lpstr>분석작업-1</vt:lpstr>
      <vt:lpstr>상반기</vt:lpstr>
      <vt:lpstr>하반기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2021-06-19T17:46:48Z</cp:lastPrinted>
  <dcterms:created xsi:type="dcterms:W3CDTF">2020-04-09T05:43:17Z</dcterms:created>
  <dcterms:modified xsi:type="dcterms:W3CDTF">2023-10-01T13:20:51Z</dcterms:modified>
</cp:coreProperties>
</file>