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정답\"/>
    </mc:Choice>
  </mc:AlternateContent>
  <xr:revisionPtr revIDLastSave="0" documentId="13_ncr:1_{A625FA40-AA7B-4C95-AD57-5BB2B1387C9B}" xr6:coauthVersionLast="47" xr6:coauthVersionMax="47" xr10:uidLastSave="{00000000-0000-0000-0000-000000000000}"/>
  <bookViews>
    <workbookView xWindow="15510" yWindow="1815" windowWidth="17625" windowHeight="12510" tabRatio="879" xr2:uid="{00000000-000D-0000-FFFF-FFFF00000000}"/>
  </bookViews>
  <sheets>
    <sheet name="기본작업1" sheetId="1" r:id="rId1"/>
    <sheet name="기본작업2" sheetId="9" r:id="rId2"/>
    <sheet name="계산작업" sheetId="3" r:id="rId3"/>
    <sheet name="분석작업1" sheetId="8" r:id="rId4"/>
    <sheet name="분석작업2" sheetId="5" r:id="rId5"/>
    <sheet name="기타작업1" sheetId="6" r:id="rId6"/>
    <sheet name="기타작업2" sheetId="10" r:id="rId7"/>
    <sheet name="기타작업3" sheetId="7" r:id="rId8"/>
  </sheets>
  <functionGroups builtInGroupCount="19"/>
  <definedNames>
    <definedName name="_xlnm._FilterDatabase" localSheetId="0" hidden="1">기본작업1!$B$3:$I$20</definedName>
    <definedName name="_xlnm._FilterDatabase" localSheetId="1" hidden="1">기본작업2!$B$3:$I$20</definedName>
    <definedName name="_xlnm._FilterDatabase" localSheetId="4" hidden="1">분석작업2!#REF!</definedName>
    <definedName name="_xlnm.Criteria" localSheetId="0">기본작업1!$B$22:$B$23</definedName>
    <definedName name="_xlnm.Criteria" localSheetId="1">기본작업2!#REF!</definedName>
    <definedName name="_xlnm.Extract" localSheetId="0">기본작업1!$B$27:$E$27</definedName>
    <definedName name="_xlnm.Extract" localSheetId="1">기본작업2!#REF!</definedName>
    <definedName name="_xlnm.Print_Area" localSheetId="1">기본작업2!$B$3:$I$20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4" i="3"/>
  <c r="B8" i="5"/>
  <c r="E3" i="5" s="1"/>
  <c r="C27" i="3" l="1" a="1"/>
  <c r="C27" i="3" s="1"/>
  <c r="D27" i="3" a="1"/>
  <c r="D27" i="3" s="1"/>
  <c r="C28" i="3" a="1"/>
  <c r="C28" i="3" s="1"/>
  <c r="D28" i="3" a="1"/>
  <c r="D28" i="3" s="1"/>
  <c r="B28" i="3" a="1"/>
  <c r="B28" i="3" s="1"/>
  <c r="B27" i="3" a="1"/>
  <c r="B27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19" i="3" a="1"/>
  <c r="I19" i="3" s="1"/>
  <c r="I20" i="3" a="1"/>
  <c r="I20" i="3" s="1"/>
  <c r="I21" i="3" a="1"/>
  <c r="I21" i="3" s="1"/>
  <c r="I22" i="3" a="1"/>
  <c r="I22" i="3" s="1"/>
  <c r="I23" i="3" a="1"/>
  <c r="I23" i="3" s="1"/>
  <c r="I4" i="3" a="1"/>
  <c r="I4" i="3" s="1"/>
  <c r="B23" i="1"/>
  <c r="K16" i="3" a="1"/>
  <c r="K5" i="3" a="1"/>
  <c r="K13" i="3" a="1"/>
  <c r="K11" i="3" a="1"/>
  <c r="K7" i="3" a="1"/>
  <c r="K8" i="3" a="1"/>
  <c r="K10" i="3" a="1"/>
  <c r="K19" i="3" a="1"/>
  <c r="K12" i="3" a="1"/>
  <c r="K4" i="3" a="1"/>
  <c r="K22" i="3" a="1"/>
  <c r="K15" i="3" a="1"/>
  <c r="K21" i="3" a="1"/>
  <c r="K14" i="3" a="1"/>
  <c r="K6" i="3" a="1"/>
  <c r="K18" i="3" a="1"/>
  <c r="K23" i="3" a="1"/>
  <c r="K9" i="3" a="1"/>
  <c r="K20" i="3" a="1"/>
  <c r="K17" i="3" a="1"/>
  <c r="K12" i="3" l="1"/>
  <c r="K20" i="3"/>
  <c r="K10" i="3"/>
  <c r="K19" i="3"/>
  <c r="K9" i="3"/>
  <c r="K18" i="3"/>
  <c r="K8" i="3"/>
  <c r="K17" i="3"/>
  <c r="K7" i="3"/>
  <c r="K11" i="3"/>
  <c r="K23" i="3"/>
  <c r="K16" i="3"/>
  <c r="K6" i="3"/>
  <c r="K14" i="3"/>
  <c r="K21" i="3"/>
  <c r="K13" i="3"/>
  <c r="K22" i="3"/>
  <c r="K15" i="3"/>
  <c r="K5" i="3"/>
  <c r="K4" i="3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온라인게임.accdb;DefaultDir=E:\영진(2021년)\1급\excel\스프레드시트(파일) - 최종\모의고사;DriverId=25;FIL=MS Access;MaxBufferSize=2048;PageTimeout=5;" command="SELECT 판매량분석.장르, 판매량분석.회사명, 판매량분석.출시일, 판매량분석.정기권, 판매량분석.정액권_x000d__x000a_FROM 판매량분석 판매량분석"/>
  </connection>
  <connection id="2" xr16:uid="{00000000-0015-0000-FFFF-FFFF01000000}" name="MS Access Database_Query1" type="1" refreshedVersion="6">
    <dbPr connection="DSN=MS Access Database;DBQ=E:\영진(2021년)\1급\excel\문제변환(2차)\엑셀파일(변환2)\모의고사\온라인게임.accdb;DefaultDir=E:\영진(2021년)\1급\excel\문제변환(2차)\엑셀파일(변환2)\모의고사;DriverId=25;FIL=MS Access;MaxBufferSize=2048;PageTimeout=5;" command="SELECT 판매량분석.회사명, 판매량분석.장르, 판매량분석.출시일, 판매량분석.정기권, 판매량분석.정액권_x000d__x000a_FROM 판매량분석 판매량분석"/>
  </connection>
  <connection id="3" xr16:uid="{00000000-0015-0000-FFFF-FFFF02000000}" name="MS Access Database_Query2" type="1" refreshedVersion="6">
    <dbPr connection="DSN=MS Access Database;DBQ=E:\영진(2023년)\1급\2023년컴활1급\스프레드시트\기출변형문제\온라인게임.accdb;DefaultDir=E:\영진(2023년)\1급\2023년컴활1급\스프레드시트\기출변형문제;DriverId=25;FIL=MS Access;MaxBufferSize=2048;PageTimeout=5;" command="SELECT 판매량분석.장르, 판매량분석.회사명, 판매량분석.출시일, 판매량분석.정기권, 판매량분석.정액권_x000d__x000a_FROM 판매량분석 판매량분석"/>
  </connection>
  <connection id="4" xr16:uid="{5DFF62BB-2513-4014-A54E-D355B3B1B148}" name="MS Access Database_Query3" type="1" refreshedVersion="7" background="1">
    <dbPr connection="DSN=MS Access Database;DBQ=E:\영진(2024년)\1급\24년1급실기\1권_스프레드시트\기출변형문제\온라인게임.accdb;DefaultDir=E:\영진(2024년)\1급\24년1급실기\1권_스프레드시트\기출변형문제;DriverId=25;FIL=MS Access;MaxBufferSize=2048;PageTimeout=5;" command="SELECT 판매량분석.장르, 판매량분석.출시일, 판매량분석.회사명, 판매량분석.정기권, 판매량분석.정액권_x000d__x000a_FROM 판매량분석 판매량분석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<sst xmlns="http://schemas.openxmlformats.org/spreadsheetml/2006/main" count="371" uniqueCount="133">
  <si>
    <t>게임명</t>
    <phoneticPr fontId="4" type="noConversion"/>
  </si>
  <si>
    <t>게임파일코드</t>
    <phoneticPr fontId="4" type="noConversion"/>
  </si>
  <si>
    <t>장르</t>
    <phoneticPr fontId="4" type="noConversion"/>
  </si>
  <si>
    <t>회사명</t>
    <phoneticPr fontId="4" type="noConversion"/>
  </si>
  <si>
    <t>파일크기(MB)</t>
    <phoneticPr fontId="4" type="noConversion"/>
  </si>
  <si>
    <t>조회수</t>
  </si>
  <si>
    <t>다운로드수</t>
  </si>
  <si>
    <t>신비한세계일주모험</t>
    <phoneticPr fontId="4" type="noConversion"/>
  </si>
  <si>
    <t>C0033</t>
  </si>
  <si>
    <t>퍼즐</t>
  </si>
  <si>
    <t>겜노리</t>
  </si>
  <si>
    <t>미스터리PI</t>
    <phoneticPr fontId="4" type="noConversion"/>
  </si>
  <si>
    <t>C0083</t>
  </si>
  <si>
    <t>게임군</t>
  </si>
  <si>
    <t>터보샌드위치</t>
    <phoneticPr fontId="4" type="noConversion"/>
  </si>
  <si>
    <t>C0093</t>
  </si>
  <si>
    <t>게임메니아</t>
  </si>
  <si>
    <t>마트의여왕</t>
    <phoneticPr fontId="4" type="noConversion"/>
  </si>
  <si>
    <t>C0133</t>
  </si>
  <si>
    <t>사만다스위프트</t>
    <phoneticPr fontId="4" type="noConversion"/>
  </si>
  <si>
    <t>C0143</t>
  </si>
  <si>
    <t>워머스머더클럽</t>
    <phoneticPr fontId="4" type="noConversion"/>
  </si>
  <si>
    <t>C0163</t>
  </si>
  <si>
    <t>보글보글요리교실</t>
    <phoneticPr fontId="4" type="noConversion"/>
  </si>
  <si>
    <t>K0031</t>
  </si>
  <si>
    <t>아케이드</t>
  </si>
  <si>
    <t>프린세스아나벨</t>
    <phoneticPr fontId="4" type="noConversion"/>
  </si>
  <si>
    <t>K0041</t>
  </si>
  <si>
    <t>비쥬월드트위스트</t>
    <phoneticPr fontId="4" type="noConversion"/>
  </si>
  <si>
    <t>K0061</t>
  </si>
  <si>
    <t>후루비치파티</t>
    <phoneticPr fontId="4" type="noConversion"/>
  </si>
  <si>
    <t>K0101</t>
  </si>
  <si>
    <t>제인은호텔리어</t>
    <phoneticPr fontId="4" type="noConversion"/>
  </si>
  <si>
    <t>K0131</t>
  </si>
  <si>
    <t>러브하우스2</t>
    <phoneticPr fontId="4" type="noConversion"/>
  </si>
  <si>
    <t>P0054</t>
  </si>
  <si>
    <t>액션</t>
  </si>
  <si>
    <t>불멸의 해전</t>
    <phoneticPr fontId="4" type="noConversion"/>
  </si>
  <si>
    <t>P0064</t>
  </si>
  <si>
    <t>WW2퍼시픽히어</t>
    <phoneticPr fontId="4" type="noConversion"/>
  </si>
  <si>
    <t>P0104</t>
  </si>
  <si>
    <t>머쉬룸에이지</t>
    <phoneticPr fontId="4" type="noConversion"/>
  </si>
  <si>
    <t>P0114</t>
  </si>
  <si>
    <t>안나의찬란한농장</t>
    <phoneticPr fontId="4" type="noConversion"/>
  </si>
  <si>
    <t>P0134</t>
  </si>
  <si>
    <t>프린세스아나벨</t>
    <phoneticPr fontId="4" type="noConversion"/>
  </si>
  <si>
    <t>P0174</t>
  </si>
  <si>
    <t>핸드폰 게임 다운로드 현황</t>
    <phoneticPr fontId="4" type="noConversion"/>
  </si>
  <si>
    <t>게임코드</t>
    <phoneticPr fontId="4" type="noConversion"/>
  </si>
  <si>
    <t>파일출시일</t>
    <phoneticPr fontId="4" type="noConversion"/>
  </si>
  <si>
    <t>조회수</t>
    <phoneticPr fontId="4" type="noConversion"/>
  </si>
  <si>
    <t>다운로드수</t>
    <phoneticPr fontId="4" type="noConversion"/>
  </si>
  <si>
    <t>파일크기(MB)</t>
    <phoneticPr fontId="4" type="noConversion"/>
  </si>
  <si>
    <t>제작사</t>
    <phoneticPr fontId="4" type="noConversion"/>
  </si>
  <si>
    <t>게임구매하기</t>
    <phoneticPr fontId="4" type="noConversion"/>
  </si>
  <si>
    <t>적립액</t>
    <phoneticPr fontId="4" type="noConversion"/>
  </si>
  <si>
    <t>판매액</t>
    <phoneticPr fontId="4" type="noConversion"/>
  </si>
  <si>
    <t>다운로드비율(%)</t>
    <phoneticPr fontId="4" type="noConversion"/>
  </si>
  <si>
    <t>A0041</t>
  </si>
  <si>
    <t>A0031</t>
  </si>
  <si>
    <t>A0101</t>
  </si>
  <si>
    <t>A0061</t>
  </si>
  <si>
    <t>A0131</t>
  </si>
  <si>
    <t>P0024</t>
  </si>
  <si>
    <t>C0053</t>
  </si>
  <si>
    <t>P0044</t>
  </si>
  <si>
    <t>[표3] 적용비율</t>
    <phoneticPr fontId="4" type="noConversion"/>
  </si>
  <si>
    <t>출시년도</t>
    <phoneticPr fontId="4" type="noConversion"/>
  </si>
  <si>
    <t>[표4]</t>
    <phoneticPr fontId="4" type="noConversion"/>
  </si>
  <si>
    <t>파일크기</t>
    <phoneticPr fontId="4" type="noConversion"/>
  </si>
  <si>
    <t>단가</t>
    <phoneticPr fontId="4" type="noConversion"/>
  </si>
  <si>
    <t>장르</t>
  </si>
  <si>
    <t>출시일</t>
  </si>
  <si>
    <t>회사명</t>
  </si>
  <si>
    <t>머쉬룸에이지</t>
    <phoneticPr fontId="4" type="noConversion"/>
  </si>
  <si>
    <t>사만다스위프트</t>
    <phoneticPr fontId="4" type="noConversion"/>
  </si>
  <si>
    <t>후루비치파티</t>
    <phoneticPr fontId="4" type="noConversion"/>
  </si>
  <si>
    <t>국내인터넷 이용현황 (사업체수)</t>
    <phoneticPr fontId="4" type="noConversion"/>
  </si>
  <si>
    <t>전체사업체</t>
  </si>
  <si>
    <t>가능</t>
  </si>
  <si>
    <t>불가능</t>
  </si>
  <si>
    <t>[표1]</t>
    <phoneticPr fontId="1" type="noConversion"/>
  </si>
  <si>
    <t>핸드폰 게임</t>
    <phoneticPr fontId="1" type="noConversion"/>
  </si>
  <si>
    <t>게임명</t>
    <phoneticPr fontId="4" type="noConversion"/>
  </si>
  <si>
    <t>장르</t>
    <phoneticPr fontId="4" type="noConversion"/>
  </si>
  <si>
    <t>출시일</t>
    <phoneticPr fontId="4" type="noConversion"/>
  </si>
  <si>
    <t>러브하우스2</t>
    <phoneticPr fontId="4" type="noConversion"/>
  </si>
  <si>
    <t>미스터리PI</t>
    <phoneticPr fontId="4" type="noConversion"/>
  </si>
  <si>
    <t>프린세스아나벨</t>
    <phoneticPr fontId="4" type="noConversion"/>
  </si>
  <si>
    <t>마트의여왕</t>
    <phoneticPr fontId="4" type="noConversion"/>
  </si>
  <si>
    <t>WW2퍼시픽히어</t>
    <phoneticPr fontId="4" type="noConversion"/>
  </si>
  <si>
    <t>불멸의 해전</t>
    <phoneticPr fontId="4" type="noConversion"/>
  </si>
  <si>
    <t>터보샌드위치</t>
    <phoneticPr fontId="4" type="noConversion"/>
  </si>
  <si>
    <t>비쥬월드트위스트</t>
    <phoneticPr fontId="4" type="noConversion"/>
  </si>
  <si>
    <t>신비한세계일주모험</t>
    <phoneticPr fontId="4" type="noConversion"/>
  </si>
  <si>
    <t>안나의찬란한농장</t>
    <phoneticPr fontId="4" type="noConversion"/>
  </si>
  <si>
    <t>워머스머더클럽</t>
    <phoneticPr fontId="4" type="noConversion"/>
  </si>
  <si>
    <t>제인은호텔리어</t>
    <phoneticPr fontId="4" type="noConversion"/>
  </si>
  <si>
    <t>매직볼4</t>
    <phoneticPr fontId="4" type="noConversion"/>
  </si>
  <si>
    <t>웹디의 몸짱프로젝트</t>
    <phoneticPr fontId="4" type="noConversion"/>
  </si>
  <si>
    <t>(모두)</t>
  </si>
  <si>
    <t>총합계</t>
  </si>
  <si>
    <t>합계 : 정기권</t>
  </si>
  <si>
    <t>합계 : 정액권</t>
  </si>
  <si>
    <t>아케이드 요약</t>
  </si>
  <si>
    <t>액션 요약</t>
  </si>
  <si>
    <t>퍼즐 요약</t>
  </si>
  <si>
    <t>조건</t>
    <phoneticPr fontId="1" type="noConversion"/>
  </si>
  <si>
    <t>출시일자</t>
    <phoneticPr fontId="4" type="noConversion"/>
  </si>
  <si>
    <t>[표2]</t>
    <phoneticPr fontId="1" type="noConversion"/>
  </si>
  <si>
    <t>A</t>
    <phoneticPr fontId="4" type="noConversion"/>
  </si>
  <si>
    <t>C</t>
    <phoneticPr fontId="4" type="noConversion"/>
  </si>
  <si>
    <t>P</t>
    <phoneticPr fontId="4" type="noConversion"/>
  </si>
  <si>
    <t>출시년도별 장르별 평균다운로드수</t>
    <phoneticPr fontId="1" type="noConversion"/>
  </si>
  <si>
    <t>만족도1</t>
    <phoneticPr fontId="1" type="noConversion"/>
  </si>
  <si>
    <t>만족도2</t>
  </si>
  <si>
    <t>만족도3</t>
  </si>
  <si>
    <t>만족도4</t>
  </si>
  <si>
    <t>만족도5</t>
  </si>
  <si>
    <t>만족도6</t>
  </si>
  <si>
    <t>만족도7</t>
  </si>
  <si>
    <t>자동차 할부금 계산</t>
    <phoneticPr fontId="4" type="noConversion"/>
  </si>
  <si>
    <t>월납입금액</t>
    <phoneticPr fontId="4" type="noConversion"/>
  </si>
  <si>
    <t>차량금액</t>
    <phoneticPr fontId="4" type="noConversion"/>
  </si>
  <si>
    <t>상환기간(월)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</si>
  <si>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</si>
  <si>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</si>
  <si>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</si>
  <si>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연이율</t>
    <phoneticPr fontId="1" type="noConversion"/>
  </si>
  <si>
    <t>상환기간</t>
    <phoneticPr fontId="4" type="noConversion"/>
  </si>
  <si>
    <t>2023년</t>
  </si>
  <si>
    <t>2024년</t>
  </si>
  <si>
    <t>2025년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</si>
</sst>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yyyy/mm/dd\ hh:mm"/>
    <numFmt numFmtId="178" formatCode="General&quot;개&quot;&quot;월&quot;"/>
    <numFmt numFmtId="179" formatCode="0.0%"/>
    <numFmt numFmtId="180" formatCode="0_ "/>
    <numFmt numFmtId="181" formatCode="[Cyan][=1]&quot;★&quot;;[=0]&quot;☆&quot;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/>
    <xf numFmtId="42" fontId="2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41" fontId="6" fillId="0" borderId="1" xfId="1" applyFont="1" applyFill="1" applyBorder="1" applyAlignment="1">
      <alignment vertical="center" wrapText="1"/>
    </xf>
    <xf numFmtId="41" fontId="3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0" borderId="1" xfId="2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41" fontId="6" fillId="0" borderId="1" xfId="1" applyFont="1" applyFill="1" applyBorder="1" applyAlignment="1">
      <alignment horizontal="right" vertical="center" wrapText="1"/>
    </xf>
    <xf numFmtId="41" fontId="9" fillId="0" borderId="1" xfId="1" applyFont="1" applyFill="1" applyBorder="1" applyAlignment="1">
      <alignment vertical="center"/>
    </xf>
    <xf numFmtId="41" fontId="3" fillId="0" borderId="1" xfId="1" applyFont="1" applyFill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14" fontId="9" fillId="0" borderId="0" xfId="0" applyNumberFormat="1" applyFont="1" applyAlignment="1">
      <alignment vertical="center"/>
    </xf>
    <xf numFmtId="41" fontId="9" fillId="0" borderId="0" xfId="1" applyFont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41" fontId="3" fillId="0" borderId="0" xfId="0" applyNumberFormat="1" applyFont="1" applyFill="1" applyAlignment="1">
      <alignment vertical="center"/>
    </xf>
    <xf numFmtId="43" fontId="3" fillId="0" borderId="0" xfId="0" applyNumberFormat="1" applyFont="1" applyFill="1" applyAlignment="1">
      <alignment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1" fontId="9" fillId="0" borderId="1" xfId="1" applyFont="1" applyBorder="1" applyAlignment="1">
      <alignment horizontal="center" vertical="center"/>
    </xf>
    <xf numFmtId="0" fontId="6" fillId="0" borderId="0" xfId="2" applyFont="1" applyFill="1" applyBorder="1" applyAlignment="1">
      <alignment horizontal="center" vertical="center" wrapText="1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3" fillId="0" borderId="1" xfId="0" applyNumberFormat="1" applyFont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1" xfId="0" applyFont="1" applyBorder="1" applyAlignment="1">
      <alignment horizontal="left" vertical="center" indent="1"/>
    </xf>
    <xf numFmtId="42" fontId="3" fillId="0" borderId="1" xfId="3" applyFont="1" applyFill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42" fontId="3" fillId="0" borderId="1" xfId="0" applyNumberFormat="1" applyFont="1" applyBorder="1" applyAlignment="1">
      <alignment horizontal="center" vertical="center"/>
    </xf>
    <xf numFmtId="42" fontId="3" fillId="0" borderId="1" xfId="1" applyNumberFormat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81" fontId="6" fillId="0" borderId="1" xfId="2" applyNumberFormat="1" applyFont="1" applyFill="1" applyBorder="1" applyAlignment="1">
      <alignment horizontal="center" vertical="center" wrapText="1"/>
    </xf>
    <xf numFmtId="181" fontId="3" fillId="0" borderId="1" xfId="0" applyNumberFormat="1" applyFont="1" applyBorder="1" applyAlignment="1">
      <alignment horizontal="center" vertical="center"/>
    </xf>
    <xf numFmtId="181" fontId="6" fillId="0" borderId="1" xfId="1" applyNumberFormat="1" applyFont="1" applyFill="1" applyBorder="1" applyAlignment="1">
      <alignment horizontal="center" vertical="center" wrapText="1"/>
    </xf>
    <xf numFmtId="181" fontId="3" fillId="0" borderId="1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textRotation="255"/>
    </xf>
    <xf numFmtId="0" fontId="0" fillId="0" borderId="1" xfId="0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</cellXfs>
  <cellStyles count="4">
    <cellStyle name="쉼표 [0]" xfId="1" builtinId="6"/>
    <cellStyle name="통화 [0]" xfId="3" builtinId="7"/>
    <cellStyle name="표준" xfId="0" builtinId="0"/>
    <cellStyle name="표준_Sheet2" xfId="2" xr:uid="{00000000-0005-0000-0000-000002000000}"/>
  </cellStyles>
  <dxfs count="2">
    <dxf>
      <font>
        <b val="0"/>
        <i val="0"/>
        <condense val="0"/>
        <extend val="0"/>
        <color auto="1"/>
      </font>
    </dxf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기타작업1!$B$4</c:f>
              <c:strCache>
                <c:ptCount val="1"/>
                <c:pt idx="0">
                  <c:v>가능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기타작업1!$C$4:$E$4</c:f>
              <c:numCache>
                <c:formatCode>_(* #,##0_);_(* \(#,##0\);_(* "-"_);_(@_)</c:formatCode>
                <c:ptCount val="3"/>
                <c:pt idx="0">
                  <c:v>426349</c:v>
                </c:pt>
                <c:pt idx="1">
                  <c:v>427690</c:v>
                </c:pt>
                <c:pt idx="2">
                  <c:v>1255919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D-44C8-B012-2F927D696611}"/>
            </c:ext>
          </c:extLst>
        </c:ser>
        <c:ser>
          <c:idx val="2"/>
          <c:order val="2"/>
          <c:tx>
            <c:strRef>
              <c:f>기타작업1!$B$5</c:f>
              <c:strCache>
                <c:ptCount val="1"/>
                <c:pt idx="0">
                  <c:v>불가능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기타작업1!$C$5:$E$5</c:f>
              <c:numCache>
                <c:formatCode>_(* #,##0_);_(* \(#,##0\);_(* "-"_);_(@_)</c:formatCode>
                <c:ptCount val="3"/>
                <c:pt idx="0">
                  <c:v>70242</c:v>
                </c:pt>
                <c:pt idx="1">
                  <c:v>68268</c:v>
                </c:pt>
                <c:pt idx="2">
                  <c:v>1899136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D-44C8-B012-2F927D6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19679312"/>
        <c:axId val="1119682224"/>
      </c:barChart>
      <c:lineChart>
        <c:grouping val="standar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전체사업체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기타작업1!$C$2:$E$2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기타작업1!$C$3:$E$3</c:f>
              <c:numCache>
                <c:formatCode>_(* #,##0_);_(* \(#,##0\);_(* "-"_);_(@_)</c:formatCode>
                <c:ptCount val="3"/>
                <c:pt idx="0">
                  <c:v>496591</c:v>
                </c:pt>
                <c:pt idx="1">
                  <c:v>495958</c:v>
                </c:pt>
                <c:pt idx="2">
                  <c:v>3155055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4D-44C8-B012-2F927D6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03040"/>
        <c:axId val="36596384"/>
      </c:lineChart>
      <c:catAx>
        <c:axId val="111967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19682224"/>
        <c:crosses val="autoZero"/>
        <c:auto val="1"/>
        <c:lblAlgn val="ctr"/>
        <c:lblOffset val="100"/>
        <c:noMultiLvlLbl val="0"/>
      </c:catAx>
      <c:valAx>
        <c:axId val="111968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19679312"/>
        <c:crosses val="autoZero"/>
        <c:crossBetween val="between"/>
      </c:valAx>
      <c:valAx>
        <c:axId val="36596384"/>
        <c:scaling>
          <c:orientation val="minMax"/>
          <c:max val="4100000"/>
          <c:min val="1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36603040"/>
        <c:crosses val="max"/>
        <c:crossBetween val="between"/>
        <c:majorUnit val="1000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36603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59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굴림" panose="020B0600000101010101" pitchFamily="50" charset="-127"/>
          <a:ea typeface="굴림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5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9525</xdr:rowOff>
        </xdr:from>
        <xdr:to>
          <xdr:col>5</xdr:col>
          <xdr:colOff>19050</xdr:colOff>
          <xdr:row>1</xdr:row>
          <xdr:rowOff>123825</xdr:rowOff>
        </xdr:to>
        <xdr:sp macro="" textlink="">
          <xdr:nvSpPr>
            <xdr:cNvPr id="7169" name="게임검색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8.663524421296" backgroundQuery="1" createdVersion="7" refreshedVersion="7" minRefreshableVersion="3" recordCount="43" xr:uid="{283F046C-D10D-49F3-AD9F-56D2232C01A4}">
  <cacheSource type="external" connectionId="4"/>
  <cacheFields count="5">
    <cacheField name="장르" numFmtId="0" sqlType="-9">
      <sharedItems count="3">
        <s v="액션"/>
        <s v="아케이드"/>
        <s v="퍼즐"/>
      </sharedItems>
    </cacheField>
    <cacheField name="출시일" numFmtId="0" sqlType="11">
      <sharedItems containsSemiMixedTypes="0" containsNonDate="0" containsDate="1" containsString="0" minDate="2023-03-12T00:00:00" maxDate="2025-11-15T00:00:00" count="15">
        <d v="2025-06-12T00:00:00"/>
        <d v="2025-06-13T00:00:00"/>
        <d v="2025-04-03T00:00:00"/>
        <d v="2023-03-12T00:00:00"/>
        <d v="2023-08-25T00:00:00"/>
        <d v="2024-06-22T00:00:00"/>
        <d v="2025-08-07T00:00:00"/>
        <d v="2025-05-02T00:00:00"/>
        <d v="2024-01-06T00:00:00"/>
        <d v="2024-03-19T00:00:00"/>
        <d v="2025-11-14T00:00:00"/>
        <d v="2025-01-18T00:00:00"/>
        <d v="2025-02-10T00:00:00"/>
        <d v="2025-03-01T00:00:00"/>
        <d v="2024-03-11T00:00:00"/>
      </sharedItems>
      <fieldGroup base="1">
        <rangePr groupBy="years" startDate="2023-03-12T00:00:00" endDate="2025-11-15T00:00:00"/>
        <groupItems count="5">
          <s v="&lt;2023-03-12"/>
          <s v="2023년"/>
          <s v="2024년"/>
          <s v="2025년"/>
          <s v="&gt;2025-11-15"/>
        </groupItems>
      </fieldGroup>
    </cacheField>
    <cacheField name="회사명" numFmtId="0" sqlType="-9">
      <sharedItems count="4">
        <s v="게임메니아"/>
        <s v="게임군"/>
        <s v="겜노리"/>
        <s v="노래나무"/>
      </sharedItems>
    </cacheField>
    <cacheField name="정기권" numFmtId="0" sqlType="8">
      <sharedItems containsSemiMixedTypes="0" containsString="0" containsNumber="1" containsInteger="1" minValue="4000" maxValue="6000" count="3">
        <n v="6000"/>
        <n v="5000"/>
        <n v="4000"/>
      </sharedItems>
    </cacheField>
    <cacheField name="정액권" numFmtId="0" sqlType="8">
      <sharedItems containsSemiMixedTypes="0" containsString="0" containsNumber="1" containsInteger="1" minValue="5200" maxValue="7800" count="3">
        <n v="7800"/>
        <n v="6500"/>
        <n v="52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x v="0"/>
    <x v="0"/>
    <x v="0"/>
  </r>
  <r>
    <x v="1"/>
    <x v="1"/>
    <x v="1"/>
    <x v="1"/>
    <x v="1"/>
  </r>
  <r>
    <x v="1"/>
    <x v="2"/>
    <x v="1"/>
    <x v="1"/>
    <x v="1"/>
  </r>
  <r>
    <x v="0"/>
    <x v="1"/>
    <x v="0"/>
    <x v="0"/>
    <x v="0"/>
  </r>
  <r>
    <x v="0"/>
    <x v="1"/>
    <x v="1"/>
    <x v="0"/>
    <x v="0"/>
  </r>
  <r>
    <x v="0"/>
    <x v="3"/>
    <x v="1"/>
    <x v="0"/>
    <x v="0"/>
  </r>
  <r>
    <x v="2"/>
    <x v="4"/>
    <x v="1"/>
    <x v="2"/>
    <x v="2"/>
  </r>
  <r>
    <x v="0"/>
    <x v="5"/>
    <x v="2"/>
    <x v="0"/>
    <x v="0"/>
  </r>
  <r>
    <x v="0"/>
    <x v="3"/>
    <x v="1"/>
    <x v="0"/>
    <x v="0"/>
  </r>
  <r>
    <x v="2"/>
    <x v="6"/>
    <x v="1"/>
    <x v="2"/>
    <x v="2"/>
  </r>
  <r>
    <x v="2"/>
    <x v="3"/>
    <x v="1"/>
    <x v="2"/>
    <x v="2"/>
  </r>
  <r>
    <x v="2"/>
    <x v="7"/>
    <x v="0"/>
    <x v="2"/>
    <x v="2"/>
  </r>
  <r>
    <x v="1"/>
    <x v="4"/>
    <x v="1"/>
    <x v="1"/>
    <x v="1"/>
  </r>
  <r>
    <x v="2"/>
    <x v="0"/>
    <x v="0"/>
    <x v="2"/>
    <x v="2"/>
  </r>
  <r>
    <x v="0"/>
    <x v="8"/>
    <x v="0"/>
    <x v="0"/>
    <x v="0"/>
  </r>
  <r>
    <x v="1"/>
    <x v="9"/>
    <x v="0"/>
    <x v="1"/>
    <x v="1"/>
  </r>
  <r>
    <x v="1"/>
    <x v="10"/>
    <x v="2"/>
    <x v="1"/>
    <x v="1"/>
  </r>
  <r>
    <x v="2"/>
    <x v="3"/>
    <x v="1"/>
    <x v="2"/>
    <x v="2"/>
  </r>
  <r>
    <x v="2"/>
    <x v="2"/>
    <x v="1"/>
    <x v="2"/>
    <x v="2"/>
  </r>
  <r>
    <x v="0"/>
    <x v="11"/>
    <x v="0"/>
    <x v="0"/>
    <x v="0"/>
  </r>
  <r>
    <x v="2"/>
    <x v="9"/>
    <x v="2"/>
    <x v="2"/>
    <x v="2"/>
  </r>
  <r>
    <x v="1"/>
    <x v="1"/>
    <x v="0"/>
    <x v="1"/>
    <x v="1"/>
  </r>
  <r>
    <x v="0"/>
    <x v="9"/>
    <x v="0"/>
    <x v="0"/>
    <x v="0"/>
  </r>
  <r>
    <x v="2"/>
    <x v="1"/>
    <x v="0"/>
    <x v="2"/>
    <x v="2"/>
  </r>
  <r>
    <x v="2"/>
    <x v="12"/>
    <x v="3"/>
    <x v="2"/>
    <x v="2"/>
  </r>
  <r>
    <x v="1"/>
    <x v="0"/>
    <x v="0"/>
    <x v="1"/>
    <x v="1"/>
  </r>
  <r>
    <x v="2"/>
    <x v="9"/>
    <x v="0"/>
    <x v="2"/>
    <x v="2"/>
  </r>
  <r>
    <x v="2"/>
    <x v="5"/>
    <x v="2"/>
    <x v="2"/>
    <x v="2"/>
  </r>
  <r>
    <x v="1"/>
    <x v="9"/>
    <x v="2"/>
    <x v="1"/>
    <x v="1"/>
  </r>
  <r>
    <x v="0"/>
    <x v="13"/>
    <x v="2"/>
    <x v="0"/>
    <x v="0"/>
  </r>
  <r>
    <x v="2"/>
    <x v="11"/>
    <x v="2"/>
    <x v="2"/>
    <x v="2"/>
  </r>
  <r>
    <x v="0"/>
    <x v="0"/>
    <x v="0"/>
    <x v="0"/>
    <x v="0"/>
  </r>
  <r>
    <x v="1"/>
    <x v="7"/>
    <x v="0"/>
    <x v="1"/>
    <x v="1"/>
  </r>
  <r>
    <x v="2"/>
    <x v="8"/>
    <x v="0"/>
    <x v="2"/>
    <x v="2"/>
  </r>
  <r>
    <x v="2"/>
    <x v="13"/>
    <x v="2"/>
    <x v="2"/>
    <x v="2"/>
  </r>
  <r>
    <x v="0"/>
    <x v="7"/>
    <x v="0"/>
    <x v="0"/>
    <x v="0"/>
  </r>
  <r>
    <x v="1"/>
    <x v="3"/>
    <x v="1"/>
    <x v="1"/>
    <x v="1"/>
  </r>
  <r>
    <x v="0"/>
    <x v="14"/>
    <x v="2"/>
    <x v="0"/>
    <x v="0"/>
  </r>
  <r>
    <x v="0"/>
    <x v="12"/>
    <x v="3"/>
    <x v="0"/>
    <x v="0"/>
  </r>
  <r>
    <x v="2"/>
    <x v="10"/>
    <x v="2"/>
    <x v="2"/>
    <x v="2"/>
  </r>
  <r>
    <x v="1"/>
    <x v="0"/>
    <x v="0"/>
    <x v="1"/>
    <x v="1"/>
  </r>
  <r>
    <x v="1"/>
    <x v="14"/>
    <x v="2"/>
    <x v="1"/>
    <x v="1"/>
  </r>
  <r>
    <x v="0"/>
    <x v="4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B15BB3-5755-4901-8115-42EEFBCAC751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B3:E16" firstHeaderRow="0" firstDataRow="1" firstDataCol="2" rowPageCount="1" colPageCount="1"/>
  <pivotFields count="5">
    <pivotField axis="axisRow" compact="0" outline="0" showAll="0">
      <items count="4">
        <item x="1"/>
        <item x="0"/>
        <item x="2"/>
        <item t="default"/>
      </items>
    </pivotField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axis="axisPage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dataField="1" compact="0" outline="0" showAll="0"/>
  </pivotFields>
  <rowFields count="2">
    <field x="0"/>
    <field x="1"/>
  </rowFields>
  <rowItems count="13">
    <i>
      <x/>
      <x v="1"/>
    </i>
    <i r="1">
      <x v="2"/>
    </i>
    <i r="1">
      <x v="3"/>
    </i>
    <i t="default">
      <x/>
    </i>
    <i>
      <x v="1"/>
      <x v="1"/>
    </i>
    <i r="1">
      <x v="2"/>
    </i>
    <i r="1">
      <x v="3"/>
    </i>
    <i t="default">
      <x v="1"/>
    </i>
    <i>
      <x v="2"/>
      <x v="1"/>
    </i>
    <i r="1">
      <x v="2"/>
    </i>
    <i r="1">
      <x v="3"/>
    </i>
    <i t="default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합계 : 정기권" fld="3" baseField="1" baseItem="1" numFmtId="176"/>
    <dataField name="합계 : 정액권" fld="4" baseField="1" baseItem="1" numFmtId="176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I31"/>
  <sheetViews>
    <sheetView tabSelected="1" workbookViewId="0"/>
  </sheetViews>
  <sheetFormatPr defaultRowHeight="16.5"/>
  <cols>
    <col min="1" max="1" width="3.625" customWidth="1"/>
    <col min="2" max="2" width="18.625" customWidth="1"/>
    <col min="3" max="3" width="12.625" customWidth="1"/>
    <col min="4" max="4" width="12.125" customWidth="1"/>
    <col min="5" max="5" width="18.875" customWidth="1"/>
    <col min="6" max="6" width="14.125" customWidth="1"/>
    <col min="7" max="7" width="13" customWidth="1"/>
    <col min="9" max="9" width="12.125" customWidth="1"/>
  </cols>
  <sheetData>
    <row r="3" spans="2:9">
      <c r="B3" s="1" t="s">
        <v>0</v>
      </c>
      <c r="C3" s="1" t="s">
        <v>1</v>
      </c>
      <c r="D3" s="1" t="s">
        <v>2</v>
      </c>
      <c r="E3" s="1" t="s">
        <v>108</v>
      </c>
      <c r="F3" s="1" t="s">
        <v>3</v>
      </c>
      <c r="G3" s="2" t="s">
        <v>4</v>
      </c>
      <c r="H3" s="2" t="s">
        <v>5</v>
      </c>
      <c r="I3" s="2" t="s">
        <v>6</v>
      </c>
    </row>
    <row r="4" spans="2:9">
      <c r="B4" s="3" t="s">
        <v>7</v>
      </c>
      <c r="C4" s="3" t="s">
        <v>8</v>
      </c>
      <c r="D4" s="3" t="s">
        <v>9</v>
      </c>
      <c r="E4" s="41">
        <v>45707.541666666664</v>
      </c>
      <c r="F4" s="3" t="s">
        <v>10</v>
      </c>
      <c r="G4" s="5">
        <v>100</v>
      </c>
      <c r="H4" s="6">
        <v>568.9</v>
      </c>
      <c r="I4" s="6">
        <v>284.45</v>
      </c>
    </row>
    <row r="5" spans="2:9">
      <c r="B5" s="3" t="s">
        <v>11</v>
      </c>
      <c r="C5" s="3" t="s">
        <v>12</v>
      </c>
      <c r="D5" s="3" t="s">
        <v>9</v>
      </c>
      <c r="E5" s="41">
        <v>45728.625</v>
      </c>
      <c r="F5" s="3" t="s">
        <v>13</v>
      </c>
      <c r="G5" s="5">
        <v>100</v>
      </c>
      <c r="H5" s="6">
        <v>1000</v>
      </c>
      <c r="I5" s="6">
        <v>500</v>
      </c>
    </row>
    <row r="6" spans="2:9">
      <c r="B6" s="3" t="s">
        <v>14</v>
      </c>
      <c r="C6" s="3" t="s">
        <v>15</v>
      </c>
      <c r="D6" s="3" t="s">
        <v>9</v>
      </c>
      <c r="E6" s="41">
        <v>45663.375</v>
      </c>
      <c r="F6" s="3" t="s">
        <v>16</v>
      </c>
      <c r="G6" s="5">
        <v>100</v>
      </c>
      <c r="H6" s="6">
        <v>1025.0999999999999</v>
      </c>
      <c r="I6" s="6">
        <v>512.54999999999995</v>
      </c>
    </row>
    <row r="7" spans="2:9">
      <c r="B7" s="3" t="s">
        <v>17</v>
      </c>
      <c r="C7" s="3" t="s">
        <v>18</v>
      </c>
      <c r="D7" s="3" t="s">
        <v>9</v>
      </c>
      <c r="E7" s="41">
        <v>45894.583333333336</v>
      </c>
      <c r="F7" s="3" t="s">
        <v>13</v>
      </c>
      <c r="G7" s="5">
        <v>100</v>
      </c>
      <c r="H7" s="6">
        <v>1032.2</v>
      </c>
      <c r="I7" s="6">
        <v>516.1</v>
      </c>
    </row>
    <row r="8" spans="2:9">
      <c r="B8" s="3" t="s">
        <v>19</v>
      </c>
      <c r="C8" s="3" t="s">
        <v>20</v>
      </c>
      <c r="D8" s="3" t="s">
        <v>9</v>
      </c>
      <c r="E8" s="41">
        <v>45728.708333333336</v>
      </c>
      <c r="F8" s="3" t="s">
        <v>13</v>
      </c>
      <c r="G8" s="5">
        <v>100</v>
      </c>
      <c r="H8" s="6">
        <v>459.2</v>
      </c>
      <c r="I8" s="6">
        <v>229.6</v>
      </c>
    </row>
    <row r="9" spans="2:9">
      <c r="B9" s="3" t="s">
        <v>21</v>
      </c>
      <c r="C9" s="3" t="s">
        <v>22</v>
      </c>
      <c r="D9" s="3" t="s">
        <v>9</v>
      </c>
      <c r="E9" s="41">
        <v>45707.666666666664</v>
      </c>
      <c r="F9" s="3" t="s">
        <v>16</v>
      </c>
      <c r="G9" s="5">
        <v>100</v>
      </c>
      <c r="H9" s="6">
        <v>1200</v>
      </c>
      <c r="I9" s="6">
        <v>600</v>
      </c>
    </row>
    <row r="10" spans="2:9">
      <c r="B10" s="3" t="s">
        <v>23</v>
      </c>
      <c r="C10" s="3" t="s">
        <v>24</v>
      </c>
      <c r="D10" s="3" t="s">
        <v>25</v>
      </c>
      <c r="E10" s="41">
        <v>45894.416666666664</v>
      </c>
      <c r="F10" s="3" t="s">
        <v>13</v>
      </c>
      <c r="G10" s="5">
        <v>50</v>
      </c>
      <c r="H10" s="6">
        <v>859.2</v>
      </c>
      <c r="I10" s="6">
        <v>429.6</v>
      </c>
    </row>
    <row r="11" spans="2:9">
      <c r="B11" s="3" t="s">
        <v>26</v>
      </c>
      <c r="C11" s="3" t="s">
        <v>27</v>
      </c>
      <c r="D11" s="3" t="s">
        <v>25</v>
      </c>
      <c r="E11" s="41">
        <v>45728.458333333336</v>
      </c>
      <c r="F11" s="3" t="s">
        <v>13</v>
      </c>
      <c r="G11" s="5">
        <v>50</v>
      </c>
      <c r="H11" s="6">
        <v>859.2</v>
      </c>
      <c r="I11" s="6">
        <v>429.6</v>
      </c>
    </row>
    <row r="12" spans="2:9">
      <c r="B12" s="3" t="s">
        <v>28</v>
      </c>
      <c r="C12" s="3" t="s">
        <v>29</v>
      </c>
      <c r="D12" s="3" t="s">
        <v>25</v>
      </c>
      <c r="E12" s="41">
        <v>45707.75</v>
      </c>
      <c r="F12" s="3" t="s">
        <v>16</v>
      </c>
      <c r="G12" s="5">
        <v>50</v>
      </c>
      <c r="H12" s="6">
        <v>1350</v>
      </c>
      <c r="I12" s="6">
        <v>675</v>
      </c>
    </row>
    <row r="13" spans="2:9">
      <c r="B13" s="3" t="s">
        <v>30</v>
      </c>
      <c r="C13" s="3" t="s">
        <v>31</v>
      </c>
      <c r="D13" s="3" t="s">
        <v>25</v>
      </c>
      <c r="E13" s="41">
        <v>45727.791666666664</v>
      </c>
      <c r="F13" s="3" t="s">
        <v>10</v>
      </c>
      <c r="G13" s="5">
        <v>50</v>
      </c>
      <c r="H13" s="6">
        <v>1203.2</v>
      </c>
      <c r="I13" s="6">
        <v>601.6</v>
      </c>
    </row>
    <row r="14" spans="2:9">
      <c r="B14" s="3" t="s">
        <v>32</v>
      </c>
      <c r="C14" s="3" t="s">
        <v>33</v>
      </c>
      <c r="D14" s="3" t="s">
        <v>25</v>
      </c>
      <c r="E14" s="41">
        <v>45707.833333333336</v>
      </c>
      <c r="F14" s="3" t="s">
        <v>10</v>
      </c>
      <c r="G14" s="5">
        <v>50</v>
      </c>
      <c r="H14" s="6">
        <v>859.2</v>
      </c>
      <c r="I14" s="6">
        <v>429.6</v>
      </c>
    </row>
    <row r="15" spans="2:9">
      <c r="B15" s="3" t="s">
        <v>34</v>
      </c>
      <c r="C15" s="3" t="s">
        <v>35</v>
      </c>
      <c r="D15" s="3" t="s">
        <v>36</v>
      </c>
      <c r="E15" s="41">
        <v>45728.875</v>
      </c>
      <c r="F15" s="3" t="s">
        <v>13</v>
      </c>
      <c r="G15" s="5">
        <v>60</v>
      </c>
      <c r="H15" s="6">
        <v>943.4</v>
      </c>
      <c r="I15" s="6">
        <v>471.7</v>
      </c>
    </row>
    <row r="16" spans="2:9">
      <c r="B16" s="3" t="s">
        <v>37</v>
      </c>
      <c r="C16" s="3" t="s">
        <v>38</v>
      </c>
      <c r="D16" s="3" t="s">
        <v>36</v>
      </c>
      <c r="E16" s="41">
        <v>45663.458333333336</v>
      </c>
      <c r="F16" s="3" t="s">
        <v>16</v>
      </c>
      <c r="G16" s="5">
        <v>60</v>
      </c>
      <c r="H16" s="6">
        <v>943.4</v>
      </c>
      <c r="I16" s="6">
        <v>471.7</v>
      </c>
    </row>
    <row r="17" spans="2:9">
      <c r="B17" s="3" t="s">
        <v>39</v>
      </c>
      <c r="C17" s="3" t="s">
        <v>40</v>
      </c>
      <c r="D17" s="3" t="s">
        <v>36</v>
      </c>
      <c r="E17" s="41">
        <v>45894.625</v>
      </c>
      <c r="F17" s="3" t="s">
        <v>13</v>
      </c>
      <c r="G17" s="5">
        <v>60</v>
      </c>
      <c r="H17" s="6">
        <v>943.4</v>
      </c>
      <c r="I17" s="6">
        <v>471.7</v>
      </c>
    </row>
    <row r="18" spans="2:9">
      <c r="B18" s="3" t="s">
        <v>41</v>
      </c>
      <c r="C18" s="3" t="s">
        <v>42</v>
      </c>
      <c r="D18" s="3" t="s">
        <v>36</v>
      </c>
      <c r="E18" s="41">
        <v>45728.666666666664</v>
      </c>
      <c r="F18" s="3" t="s">
        <v>13</v>
      </c>
      <c r="G18" s="5">
        <v>60</v>
      </c>
      <c r="H18" s="6">
        <v>943.4</v>
      </c>
      <c r="I18" s="6">
        <v>471.7</v>
      </c>
    </row>
    <row r="19" spans="2:9">
      <c r="B19" s="3" t="s">
        <v>43</v>
      </c>
      <c r="C19" s="3" t="s">
        <v>44</v>
      </c>
      <c r="D19" s="3" t="s">
        <v>36</v>
      </c>
      <c r="E19" s="41">
        <v>45707.708333333336</v>
      </c>
      <c r="F19" s="3" t="s">
        <v>16</v>
      </c>
      <c r="G19" s="5">
        <v>60</v>
      </c>
      <c r="H19" s="6">
        <v>943.4</v>
      </c>
      <c r="I19" s="6">
        <v>471.7</v>
      </c>
    </row>
    <row r="20" spans="2:9">
      <c r="B20" s="3" t="s">
        <v>45</v>
      </c>
      <c r="C20" s="3" t="s">
        <v>46</v>
      </c>
      <c r="D20" s="3" t="s">
        <v>36</v>
      </c>
      <c r="E20" s="41">
        <v>45727.583333333336</v>
      </c>
      <c r="F20" s="3" t="s">
        <v>10</v>
      </c>
      <c r="G20" s="5">
        <v>60</v>
      </c>
      <c r="H20" s="6">
        <v>568.9</v>
      </c>
      <c r="I20" s="6">
        <v>284.45</v>
      </c>
    </row>
    <row r="22" spans="2:9">
      <c r="B22" s="38" t="s">
        <v>107</v>
      </c>
    </row>
    <row r="23" spans="2:9">
      <c r="B23" t="b">
        <f>AND(DAY(E4)&lt;=15,HOUR(E4)&gt;=12,HOUR(E4)&lt;=18)</f>
        <v>0</v>
      </c>
    </row>
    <row r="27" spans="2:9">
      <c r="B27" s="1" t="s">
        <v>1</v>
      </c>
      <c r="C27" s="1" t="s">
        <v>2</v>
      </c>
      <c r="D27" s="1" t="s">
        <v>3</v>
      </c>
      <c r="E27" s="2" t="s">
        <v>6</v>
      </c>
    </row>
    <row r="28" spans="2:9">
      <c r="B28" s="3" t="s">
        <v>12</v>
      </c>
      <c r="C28" s="3" t="s">
        <v>9</v>
      </c>
      <c r="D28" s="3" t="s">
        <v>13</v>
      </c>
      <c r="E28" s="6">
        <v>500</v>
      </c>
    </row>
    <row r="29" spans="2:9">
      <c r="B29" s="3" t="s">
        <v>20</v>
      </c>
      <c r="C29" s="3" t="s">
        <v>9</v>
      </c>
      <c r="D29" s="3" t="s">
        <v>13</v>
      </c>
      <c r="E29" s="6">
        <v>229.6</v>
      </c>
    </row>
    <row r="30" spans="2:9">
      <c r="B30" s="3" t="s">
        <v>42</v>
      </c>
      <c r="C30" s="3" t="s">
        <v>36</v>
      </c>
      <c r="D30" s="3" t="s">
        <v>13</v>
      </c>
      <c r="E30" s="6">
        <v>471.7</v>
      </c>
    </row>
    <row r="31" spans="2:9">
      <c r="B31" s="3" t="s">
        <v>46</v>
      </c>
      <c r="C31" s="3" t="s">
        <v>36</v>
      </c>
      <c r="D31" s="3" t="s">
        <v>10</v>
      </c>
      <c r="E31" s="6">
        <v>284.45</v>
      </c>
    </row>
  </sheetData>
  <phoneticPr fontId="1" type="noConversion"/>
  <conditionalFormatting sqref="B4:I20">
    <cfRule type="expression" dxfId="1" priority="1">
      <formula>MOD(MONTH($E4),2)&lt;&gt;0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3:I20"/>
  <sheetViews>
    <sheetView workbookViewId="0"/>
  </sheetViews>
  <sheetFormatPr defaultRowHeight="16.5"/>
  <cols>
    <col min="1" max="1" width="3.625" customWidth="1"/>
    <col min="2" max="2" width="18.625" customWidth="1"/>
    <col min="3" max="3" width="12.625" customWidth="1"/>
    <col min="4" max="4" width="12.125" customWidth="1"/>
    <col min="5" max="5" width="18.875" customWidth="1"/>
    <col min="6" max="6" width="14.125" customWidth="1"/>
    <col min="7" max="7" width="13" customWidth="1"/>
    <col min="9" max="9" width="12.125" customWidth="1"/>
  </cols>
  <sheetData>
    <row r="3" spans="2:9">
      <c r="B3" s="1" t="s">
        <v>0</v>
      </c>
      <c r="C3" s="1" t="s">
        <v>1</v>
      </c>
      <c r="D3" s="1" t="s">
        <v>2</v>
      </c>
      <c r="E3" s="1" t="s">
        <v>108</v>
      </c>
      <c r="F3" s="1" t="s">
        <v>3</v>
      </c>
      <c r="G3" s="2" t="s">
        <v>4</v>
      </c>
      <c r="H3" s="2" t="s">
        <v>5</v>
      </c>
      <c r="I3" s="2" t="s">
        <v>6</v>
      </c>
    </row>
    <row r="4" spans="2:9">
      <c r="B4" s="3" t="s">
        <v>7</v>
      </c>
      <c r="C4" s="3" t="s">
        <v>8</v>
      </c>
      <c r="D4" s="3" t="s">
        <v>9</v>
      </c>
      <c r="E4" s="41">
        <v>45707.541666666664</v>
      </c>
      <c r="F4" s="3" t="s">
        <v>10</v>
      </c>
      <c r="G4" s="5">
        <v>100</v>
      </c>
      <c r="H4" s="6">
        <v>568.9</v>
      </c>
      <c r="I4" s="6">
        <v>284.45</v>
      </c>
    </row>
    <row r="5" spans="2:9">
      <c r="B5" s="3" t="s">
        <v>11</v>
      </c>
      <c r="C5" s="3" t="s">
        <v>12</v>
      </c>
      <c r="D5" s="3" t="s">
        <v>9</v>
      </c>
      <c r="E5" s="41">
        <v>45728.625</v>
      </c>
      <c r="F5" s="3" t="s">
        <v>13</v>
      </c>
      <c r="G5" s="5">
        <v>100</v>
      </c>
      <c r="H5" s="6">
        <v>1000</v>
      </c>
      <c r="I5" s="6">
        <v>500</v>
      </c>
    </row>
    <row r="6" spans="2:9">
      <c r="B6" s="3" t="s">
        <v>14</v>
      </c>
      <c r="C6" s="3" t="s">
        <v>15</v>
      </c>
      <c r="D6" s="3" t="s">
        <v>9</v>
      </c>
      <c r="E6" s="41">
        <v>45663.375</v>
      </c>
      <c r="F6" s="3" t="s">
        <v>16</v>
      </c>
      <c r="G6" s="5">
        <v>100</v>
      </c>
      <c r="H6" s="6">
        <v>1025.0999999999999</v>
      </c>
      <c r="I6" s="6">
        <v>512.54999999999995</v>
      </c>
    </row>
    <row r="7" spans="2:9">
      <c r="B7" s="3" t="s">
        <v>17</v>
      </c>
      <c r="C7" s="3" t="s">
        <v>18</v>
      </c>
      <c r="D7" s="3" t="s">
        <v>9</v>
      </c>
      <c r="E7" s="41">
        <v>45894.583333333336</v>
      </c>
      <c r="F7" s="3" t="s">
        <v>13</v>
      </c>
      <c r="G7" s="5">
        <v>100</v>
      </c>
      <c r="H7" s="6">
        <v>1032.2</v>
      </c>
      <c r="I7" s="6">
        <v>516.1</v>
      </c>
    </row>
    <row r="8" spans="2:9">
      <c r="B8" s="3" t="s">
        <v>19</v>
      </c>
      <c r="C8" s="3" t="s">
        <v>20</v>
      </c>
      <c r="D8" s="3" t="s">
        <v>9</v>
      </c>
      <c r="E8" s="41">
        <v>45728.708333333336</v>
      </c>
      <c r="F8" s="3" t="s">
        <v>13</v>
      </c>
      <c r="G8" s="5">
        <v>100</v>
      </c>
      <c r="H8" s="6">
        <v>459.2</v>
      </c>
      <c r="I8" s="6">
        <v>229.6</v>
      </c>
    </row>
    <row r="9" spans="2:9">
      <c r="B9" s="3" t="s">
        <v>21</v>
      </c>
      <c r="C9" s="3" t="s">
        <v>22</v>
      </c>
      <c r="D9" s="3" t="s">
        <v>9</v>
      </c>
      <c r="E9" s="41">
        <v>45707.666666666664</v>
      </c>
      <c r="F9" s="3" t="s">
        <v>16</v>
      </c>
      <c r="G9" s="5">
        <v>100</v>
      </c>
      <c r="H9" s="6">
        <v>1200</v>
      </c>
      <c r="I9" s="6">
        <v>600</v>
      </c>
    </row>
    <row r="10" spans="2:9">
      <c r="B10" s="3" t="s">
        <v>23</v>
      </c>
      <c r="C10" s="3" t="s">
        <v>24</v>
      </c>
      <c r="D10" s="3" t="s">
        <v>25</v>
      </c>
      <c r="E10" s="41">
        <v>45894.416666666664</v>
      </c>
      <c r="F10" s="3" t="s">
        <v>13</v>
      </c>
      <c r="G10" s="5">
        <v>50</v>
      </c>
      <c r="H10" s="6">
        <v>859.2</v>
      </c>
      <c r="I10" s="6">
        <v>429.6</v>
      </c>
    </row>
    <row r="11" spans="2:9">
      <c r="B11" s="3" t="s">
        <v>26</v>
      </c>
      <c r="C11" s="3" t="s">
        <v>27</v>
      </c>
      <c r="D11" s="3" t="s">
        <v>25</v>
      </c>
      <c r="E11" s="41">
        <v>45728.458333333336</v>
      </c>
      <c r="F11" s="3" t="s">
        <v>13</v>
      </c>
      <c r="G11" s="5">
        <v>50</v>
      </c>
      <c r="H11" s="6">
        <v>859.2</v>
      </c>
      <c r="I11" s="6">
        <v>429.6</v>
      </c>
    </row>
    <row r="12" spans="2:9">
      <c r="B12" s="3" t="s">
        <v>28</v>
      </c>
      <c r="C12" s="3" t="s">
        <v>29</v>
      </c>
      <c r="D12" s="3" t="s">
        <v>25</v>
      </c>
      <c r="E12" s="41">
        <v>45707.75</v>
      </c>
      <c r="F12" s="3" t="s">
        <v>16</v>
      </c>
      <c r="G12" s="5">
        <v>50</v>
      </c>
      <c r="H12" s="6">
        <v>1350</v>
      </c>
      <c r="I12" s="6">
        <v>675</v>
      </c>
    </row>
    <row r="13" spans="2:9">
      <c r="B13" s="3" t="s">
        <v>30</v>
      </c>
      <c r="C13" s="3" t="s">
        <v>31</v>
      </c>
      <c r="D13" s="3" t="s">
        <v>25</v>
      </c>
      <c r="E13" s="41">
        <v>45727.791666666664</v>
      </c>
      <c r="F13" s="3" t="s">
        <v>10</v>
      </c>
      <c r="G13" s="5">
        <v>50</v>
      </c>
      <c r="H13" s="6">
        <v>1203.2</v>
      </c>
      <c r="I13" s="6">
        <v>601.6</v>
      </c>
    </row>
    <row r="14" spans="2:9">
      <c r="B14" s="3" t="s">
        <v>32</v>
      </c>
      <c r="C14" s="3" t="s">
        <v>33</v>
      </c>
      <c r="D14" s="3" t="s">
        <v>25</v>
      </c>
      <c r="E14" s="41">
        <v>45707.833333333336</v>
      </c>
      <c r="F14" s="3" t="s">
        <v>10</v>
      </c>
      <c r="G14" s="5">
        <v>50</v>
      </c>
      <c r="H14" s="6">
        <v>859.2</v>
      </c>
      <c r="I14" s="6">
        <v>429.6</v>
      </c>
    </row>
    <row r="15" spans="2:9">
      <c r="B15" s="3" t="s">
        <v>34</v>
      </c>
      <c r="C15" s="3" t="s">
        <v>35</v>
      </c>
      <c r="D15" s="3" t="s">
        <v>36</v>
      </c>
      <c r="E15" s="41">
        <v>45728.875</v>
      </c>
      <c r="F15" s="3" t="s">
        <v>13</v>
      </c>
      <c r="G15" s="5">
        <v>60</v>
      </c>
      <c r="H15" s="6">
        <v>943.4</v>
      </c>
      <c r="I15" s="6">
        <v>471.7</v>
      </c>
    </row>
    <row r="16" spans="2:9">
      <c r="B16" s="3" t="s">
        <v>37</v>
      </c>
      <c r="C16" s="3" t="s">
        <v>38</v>
      </c>
      <c r="D16" s="3" t="s">
        <v>36</v>
      </c>
      <c r="E16" s="41">
        <v>45663.458333333336</v>
      </c>
      <c r="F16" s="3" t="s">
        <v>16</v>
      </c>
      <c r="G16" s="5">
        <v>60</v>
      </c>
      <c r="H16" s="6">
        <v>943.4</v>
      </c>
      <c r="I16" s="6">
        <v>471.7</v>
      </c>
    </row>
    <row r="17" spans="2:9">
      <c r="B17" s="3" t="s">
        <v>39</v>
      </c>
      <c r="C17" s="3" t="s">
        <v>40</v>
      </c>
      <c r="D17" s="3" t="s">
        <v>36</v>
      </c>
      <c r="E17" s="41">
        <v>45894.625</v>
      </c>
      <c r="F17" s="3" t="s">
        <v>13</v>
      </c>
      <c r="G17" s="5">
        <v>60</v>
      </c>
      <c r="H17" s="6">
        <v>943.4</v>
      </c>
      <c r="I17" s="6">
        <v>471.7</v>
      </c>
    </row>
    <row r="18" spans="2:9">
      <c r="B18" s="3" t="s">
        <v>41</v>
      </c>
      <c r="C18" s="3" t="s">
        <v>42</v>
      </c>
      <c r="D18" s="3" t="s">
        <v>36</v>
      </c>
      <c r="E18" s="41">
        <v>45728.666666666664</v>
      </c>
      <c r="F18" s="3" t="s">
        <v>13</v>
      </c>
      <c r="G18" s="5">
        <v>60</v>
      </c>
      <c r="H18" s="6">
        <v>943.4</v>
      </c>
      <c r="I18" s="6">
        <v>471.7</v>
      </c>
    </row>
    <row r="19" spans="2:9">
      <c r="B19" s="3" t="s">
        <v>43</v>
      </c>
      <c r="C19" s="3" t="s">
        <v>44</v>
      </c>
      <c r="D19" s="3" t="s">
        <v>36</v>
      </c>
      <c r="E19" s="41">
        <v>45707.708333333336</v>
      </c>
      <c r="F19" s="3" t="s">
        <v>16</v>
      </c>
      <c r="G19" s="5">
        <v>60</v>
      </c>
      <c r="H19" s="6">
        <v>943.4</v>
      </c>
      <c r="I19" s="6">
        <v>471.7</v>
      </c>
    </row>
    <row r="20" spans="2:9">
      <c r="B20" s="3" t="s">
        <v>26</v>
      </c>
      <c r="C20" s="3" t="s">
        <v>46</v>
      </c>
      <c r="D20" s="3" t="s">
        <v>36</v>
      </c>
      <c r="E20" s="41">
        <v>45727.583333333336</v>
      </c>
      <c r="F20" s="3" t="s">
        <v>10</v>
      </c>
      <c r="G20" s="5">
        <v>60</v>
      </c>
      <c r="H20" s="6">
        <v>568.9</v>
      </c>
      <c r="I20" s="6">
        <v>284.45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&amp;C총 &amp;N 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32"/>
  <sheetViews>
    <sheetView workbookViewId="0"/>
  </sheetViews>
  <sheetFormatPr defaultRowHeight="16.5"/>
  <cols>
    <col min="2" max="2" width="12.125" customWidth="1"/>
    <col min="3" max="3" width="10.25" customWidth="1"/>
    <col min="5" max="5" width="12.625" customWidth="1"/>
    <col min="6" max="6" width="13.125" bestFit="1" customWidth="1"/>
    <col min="7" max="8" width="12.625" customWidth="1"/>
    <col min="9" max="10" width="11.25" customWidth="1"/>
    <col min="11" max="11" width="15.625" customWidth="1"/>
  </cols>
  <sheetData>
    <row r="1" spans="1:12" ht="24">
      <c r="A1" s="23" t="s">
        <v>81</v>
      </c>
      <c r="B1" s="42" t="s">
        <v>47</v>
      </c>
      <c r="C1" s="8"/>
      <c r="D1" s="8"/>
      <c r="E1" s="8"/>
      <c r="F1" s="8"/>
      <c r="G1" s="8"/>
      <c r="H1" s="8"/>
      <c r="I1" s="8"/>
      <c r="J1" s="8"/>
      <c r="K1" s="8"/>
      <c r="L1" s="7"/>
    </row>
    <row r="2" spans="1:12">
      <c r="A2" s="7"/>
      <c r="B2" s="7"/>
      <c r="C2" s="7"/>
      <c r="D2" s="7"/>
      <c r="E2" s="7"/>
      <c r="F2" s="7"/>
      <c r="G2" s="7"/>
      <c r="H2" s="7"/>
      <c r="I2" s="9"/>
      <c r="J2" s="7"/>
      <c r="K2" s="7"/>
      <c r="L2" s="7"/>
    </row>
    <row r="3" spans="1:12">
      <c r="A3" s="10" t="s">
        <v>48</v>
      </c>
      <c r="B3" s="11" t="s">
        <v>49</v>
      </c>
      <c r="C3" s="12" t="s">
        <v>2</v>
      </c>
      <c r="D3" s="11" t="s">
        <v>50</v>
      </c>
      <c r="E3" s="11" t="s">
        <v>51</v>
      </c>
      <c r="F3" s="11" t="s">
        <v>52</v>
      </c>
      <c r="G3" s="10" t="s">
        <v>53</v>
      </c>
      <c r="H3" s="13" t="s">
        <v>54</v>
      </c>
      <c r="I3" s="12" t="s">
        <v>55</v>
      </c>
      <c r="J3" s="12" t="s">
        <v>56</v>
      </c>
      <c r="K3" s="12" t="s">
        <v>57</v>
      </c>
      <c r="L3" s="7"/>
    </row>
    <row r="4" spans="1:12">
      <c r="A4" s="3" t="s">
        <v>35</v>
      </c>
      <c r="B4" s="14">
        <v>45297</v>
      </c>
      <c r="C4" s="1" t="str">
        <f>IF(AND(LEFT(A4,1)="A",RIGHT(A4,1)="1"),"액션",IF(AND(LEFT(A4,1)="P",RIGHT(A4,1)="4"),"퍼즐","아케이드"))</f>
        <v>퍼즐</v>
      </c>
      <c r="D4" s="15">
        <v>1500</v>
      </c>
      <c r="E4" s="15">
        <v>471.7</v>
      </c>
      <c r="F4" s="5">
        <v>40</v>
      </c>
      <c r="G4" s="16" t="s">
        <v>13</v>
      </c>
      <c r="H4" s="17">
        <v>10200</v>
      </c>
      <c r="I4" s="18">
        <f t="array" ref="I4">ROUNDUP(SUMPRODUCT(D4:E4,TRANSPOSE($G$26:$G$27)),-2)</f>
        <v>800</v>
      </c>
      <c r="J4" s="19">
        <f>F4*_xlfn.XLOOKUP(F4,$G$30:$K$30,$G$31:$K$31,,-1)*(1-IF(E4&lt;500,10%,0%))</f>
        <v>18000</v>
      </c>
      <c r="K4" s="19" cm="1">
        <f t="array" ref="K4">fn다운로드비율(A4,D4,E4)</f>
        <v>31.446666666666665</v>
      </c>
      <c r="L4" s="7"/>
    </row>
    <row r="5" spans="1:12">
      <c r="A5" s="3" t="s">
        <v>42</v>
      </c>
      <c r="B5" s="14">
        <v>45297</v>
      </c>
      <c r="C5" s="1" t="str">
        <f t="shared" ref="C5:C23" si="0">IF(AND(LEFT(A5,1)="A",RIGHT(A5,1)="1"),"액션",IF(AND(LEFT(A5,1)="P",RIGHT(A5,1)="4"),"퍼즐","아케이드"))</f>
        <v>퍼즐</v>
      </c>
      <c r="D5" s="15">
        <v>1450</v>
      </c>
      <c r="E5" s="15">
        <v>471.7</v>
      </c>
      <c r="F5" s="5">
        <v>60</v>
      </c>
      <c r="G5" s="16" t="s">
        <v>13</v>
      </c>
      <c r="H5" s="17">
        <v>10200</v>
      </c>
      <c r="I5" s="18">
        <f t="array" ref="I5">ROUNDUP(SUMPRODUCT(D5:E5,TRANSPOSE($G$26:$G$27)),-2)</f>
        <v>800</v>
      </c>
      <c r="J5" s="19">
        <f t="shared" ref="J5:J23" si="1">F5*_xlfn.XLOOKUP(F5,$G$30:$K$30,$G$31:$K$31,,-1)*(1-IF(E5&lt;500,10%,0%))</f>
        <v>37800</v>
      </c>
      <c r="K5" s="19" cm="1">
        <f t="array" ref="K5">fn다운로드비율(A5,D5,E5)</f>
        <v>32.531034482758621</v>
      </c>
      <c r="L5" s="7"/>
    </row>
    <row r="6" spans="1:12">
      <c r="A6" s="3" t="s">
        <v>12</v>
      </c>
      <c r="B6" s="14">
        <v>45362</v>
      </c>
      <c r="C6" s="1" t="str">
        <f t="shared" si="0"/>
        <v>아케이드</v>
      </c>
      <c r="D6" s="6">
        <v>3000</v>
      </c>
      <c r="E6" s="15">
        <v>500</v>
      </c>
      <c r="F6" s="5">
        <v>100</v>
      </c>
      <c r="G6" s="16" t="s">
        <v>13</v>
      </c>
      <c r="H6" s="17">
        <v>6800</v>
      </c>
      <c r="I6" s="18">
        <f t="array" ref="I6">ROUNDUP(SUMPRODUCT(D6:E6,TRANSPOSE($G$26:$G$27)),-2)</f>
        <v>1300</v>
      </c>
      <c r="J6" s="19">
        <f t="shared" si="1"/>
        <v>80000</v>
      </c>
      <c r="K6" s="19" cm="1">
        <f t="array" ref="K6">fn다운로드비율(A6,D6,E6)</f>
        <v>16.666666666666664</v>
      </c>
      <c r="L6" s="7"/>
    </row>
    <row r="7" spans="1:12">
      <c r="A7" s="3" t="s">
        <v>20</v>
      </c>
      <c r="B7" s="14">
        <v>45362</v>
      </c>
      <c r="C7" s="1" t="str">
        <f t="shared" si="0"/>
        <v>아케이드</v>
      </c>
      <c r="D7" s="15">
        <v>459.2</v>
      </c>
      <c r="E7" s="15">
        <v>229.6</v>
      </c>
      <c r="F7" s="5">
        <v>100</v>
      </c>
      <c r="G7" s="16" t="s">
        <v>13</v>
      </c>
      <c r="H7" s="17">
        <v>6800</v>
      </c>
      <c r="I7" s="18">
        <f t="array" ref="I7">ROUNDUP(SUMPRODUCT(D7:E7,TRANSPOSE($G$26:$G$27)),-2)</f>
        <v>300</v>
      </c>
      <c r="J7" s="19">
        <f t="shared" si="1"/>
        <v>72000</v>
      </c>
      <c r="K7" s="19" cm="1">
        <f t="array" ref="K7">fn다운로드비율(A7,D7,E7)</f>
        <v>50</v>
      </c>
      <c r="L7" s="7"/>
    </row>
    <row r="8" spans="1:12">
      <c r="A8" s="3" t="s">
        <v>58</v>
      </c>
      <c r="B8" s="14">
        <v>45370</v>
      </c>
      <c r="C8" s="1" t="str">
        <f t="shared" si="0"/>
        <v>액션</v>
      </c>
      <c r="D8" s="15">
        <v>450</v>
      </c>
      <c r="E8" s="15">
        <v>429.6</v>
      </c>
      <c r="F8" s="5">
        <v>50</v>
      </c>
      <c r="G8" s="16" t="s">
        <v>13</v>
      </c>
      <c r="H8" s="17">
        <v>8500</v>
      </c>
      <c r="I8" s="18">
        <f t="array" ref="I8">ROUNDUP(SUMPRODUCT(D8:E8,TRANSPOSE($G$26:$G$27)),-2)</f>
        <v>500</v>
      </c>
      <c r="J8" s="19">
        <f t="shared" si="1"/>
        <v>27000</v>
      </c>
      <c r="K8" s="19" cm="1">
        <f t="array" ref="K8">fn다운로드비율(A8,D8,E8)</f>
        <v>105.46666666666667</v>
      </c>
      <c r="L8" s="7"/>
    </row>
    <row r="9" spans="1:12">
      <c r="A9" s="3" t="s">
        <v>18</v>
      </c>
      <c r="B9" s="14">
        <v>45370</v>
      </c>
      <c r="C9" s="1" t="str">
        <f t="shared" si="0"/>
        <v>아케이드</v>
      </c>
      <c r="D9" s="15">
        <v>1032.2</v>
      </c>
      <c r="E9" s="15">
        <v>516.1</v>
      </c>
      <c r="F9" s="5">
        <v>20</v>
      </c>
      <c r="G9" s="16" t="s">
        <v>13</v>
      </c>
      <c r="H9" s="17">
        <v>6800</v>
      </c>
      <c r="I9" s="18">
        <f t="array" ref="I9">ROUNDUP(SUMPRODUCT(D9:E9,TRANSPOSE($G$26:$G$27)),-2)</f>
        <v>700</v>
      </c>
      <c r="J9" s="19">
        <f t="shared" si="1"/>
        <v>8000</v>
      </c>
      <c r="K9" s="19" cm="1">
        <f t="array" ref="K9">fn다운로드비율(A9,D9,E9)</f>
        <v>50</v>
      </c>
      <c r="L9" s="7"/>
    </row>
    <row r="10" spans="1:12">
      <c r="A10" s="3" t="s">
        <v>59</v>
      </c>
      <c r="B10" s="14">
        <v>45370</v>
      </c>
      <c r="C10" s="1" t="str">
        <f t="shared" si="0"/>
        <v>액션</v>
      </c>
      <c r="D10" s="6">
        <v>2577.6</v>
      </c>
      <c r="E10" s="15">
        <v>429.6</v>
      </c>
      <c r="F10" s="5">
        <v>50</v>
      </c>
      <c r="G10" s="16" t="s">
        <v>13</v>
      </c>
      <c r="H10" s="17">
        <v>8500</v>
      </c>
      <c r="I10" s="18">
        <f t="array" ref="I10">ROUNDUP(SUMPRODUCT(D10:E10,TRANSPOSE($G$26:$G$27)),-2)</f>
        <v>1100</v>
      </c>
      <c r="J10" s="19">
        <f t="shared" si="1"/>
        <v>27000</v>
      </c>
      <c r="K10" s="19" cm="1">
        <f t="array" ref="K10">fn다운로드비율(A10,D10,E10)</f>
        <v>26.666666666666668</v>
      </c>
      <c r="L10" s="7"/>
    </row>
    <row r="11" spans="1:12">
      <c r="A11" s="3" t="s">
        <v>40</v>
      </c>
      <c r="B11" s="14">
        <v>45370</v>
      </c>
      <c r="C11" s="1" t="str">
        <f t="shared" si="0"/>
        <v>퍼즐</v>
      </c>
      <c r="D11" s="6">
        <v>2830.2</v>
      </c>
      <c r="E11" s="15">
        <v>471.7</v>
      </c>
      <c r="F11" s="5">
        <v>60</v>
      </c>
      <c r="G11" s="16" t="s">
        <v>13</v>
      </c>
      <c r="H11" s="17">
        <v>10200</v>
      </c>
      <c r="I11" s="18">
        <f t="array" ref="I11">ROUNDUP(SUMPRODUCT(D11:E11,TRANSPOSE($G$26:$G$27)),-2)</f>
        <v>1200</v>
      </c>
      <c r="J11" s="19">
        <f t="shared" si="1"/>
        <v>37800</v>
      </c>
      <c r="K11" s="19" cm="1">
        <f t="array" ref="K11">fn다운로드비율(A11,D11,E11)</f>
        <v>16.666666666666668</v>
      </c>
      <c r="L11" s="7"/>
    </row>
    <row r="12" spans="1:12">
      <c r="A12" s="3" t="s">
        <v>38</v>
      </c>
      <c r="B12" s="14">
        <v>45370</v>
      </c>
      <c r="C12" s="1" t="str">
        <f t="shared" si="0"/>
        <v>퍼즐</v>
      </c>
      <c r="D12" s="15">
        <v>943.4</v>
      </c>
      <c r="E12" s="15">
        <v>471.7</v>
      </c>
      <c r="F12" s="5">
        <v>60</v>
      </c>
      <c r="G12" s="16" t="s">
        <v>16</v>
      </c>
      <c r="H12" s="17">
        <v>10200</v>
      </c>
      <c r="I12" s="18">
        <f t="array" ref="I12">ROUNDUP(SUMPRODUCT(D12:E12,TRANSPOSE($G$26:$G$27)),-2)</f>
        <v>700</v>
      </c>
      <c r="J12" s="19">
        <f t="shared" si="1"/>
        <v>37800</v>
      </c>
      <c r="K12" s="19" cm="1">
        <f t="array" ref="K12">fn다운로드비율(A12,D12,E12)</f>
        <v>50</v>
      </c>
      <c r="L12" s="7"/>
    </row>
    <row r="13" spans="1:12">
      <c r="A13" s="3" t="s">
        <v>15</v>
      </c>
      <c r="B13" s="14">
        <v>45465</v>
      </c>
      <c r="C13" s="1" t="str">
        <f t="shared" si="0"/>
        <v>아케이드</v>
      </c>
      <c r="D13" s="15">
        <v>1025.0999999999999</v>
      </c>
      <c r="E13" s="15">
        <v>512.54999999999995</v>
      </c>
      <c r="F13" s="5">
        <v>100</v>
      </c>
      <c r="G13" s="16" t="s">
        <v>16</v>
      </c>
      <c r="H13" s="17">
        <v>6800</v>
      </c>
      <c r="I13" s="18">
        <f t="array" ref="I13">ROUNDUP(SUMPRODUCT(D13:E13,TRANSPOSE($G$26:$G$27)),-2)</f>
        <v>700</v>
      </c>
      <c r="J13" s="19">
        <f t="shared" si="1"/>
        <v>80000</v>
      </c>
      <c r="K13" s="19" cm="1">
        <f t="array" ref="K13">fn다운로드비율(A13,D13,E13)</f>
        <v>50</v>
      </c>
      <c r="L13" s="7"/>
    </row>
    <row r="14" spans="1:12">
      <c r="A14" s="3" t="s">
        <v>46</v>
      </c>
      <c r="B14" s="14">
        <v>45465</v>
      </c>
      <c r="C14" s="1" t="str">
        <f t="shared" si="0"/>
        <v>퍼즐</v>
      </c>
      <c r="D14" s="15">
        <v>365</v>
      </c>
      <c r="E14" s="15">
        <v>284.45</v>
      </c>
      <c r="F14" s="5">
        <v>60</v>
      </c>
      <c r="G14" s="16" t="s">
        <v>10</v>
      </c>
      <c r="H14" s="17">
        <v>10200</v>
      </c>
      <c r="I14" s="18">
        <f t="array" ref="I14">ROUNDUP(SUMPRODUCT(D14:E14,TRANSPOSE($G$26:$G$27)),-2)</f>
        <v>400</v>
      </c>
      <c r="J14" s="19">
        <f t="shared" si="1"/>
        <v>37800</v>
      </c>
      <c r="K14" s="19" cm="1">
        <f t="array" ref="K14">fn다운로드비율(A14,D14,E14)</f>
        <v>77.93150684931507</v>
      </c>
      <c r="L14" s="7"/>
    </row>
    <row r="15" spans="1:12">
      <c r="A15" s="3" t="s">
        <v>60</v>
      </c>
      <c r="B15" s="14">
        <v>45675</v>
      </c>
      <c r="C15" s="1" t="str">
        <f t="shared" si="0"/>
        <v>액션</v>
      </c>
      <c r="D15" s="6">
        <v>3609.6</v>
      </c>
      <c r="E15" s="15">
        <v>601.6</v>
      </c>
      <c r="F15" s="5">
        <v>50</v>
      </c>
      <c r="G15" s="16" t="s">
        <v>10</v>
      </c>
      <c r="H15" s="17">
        <v>8500</v>
      </c>
      <c r="I15" s="18">
        <f t="array" ref="I15">ROUNDUP(SUMPRODUCT(D15:E15,TRANSPOSE($G$26:$G$27)),-2)</f>
        <v>1600</v>
      </c>
      <c r="J15" s="19">
        <f t="shared" si="1"/>
        <v>30000</v>
      </c>
      <c r="K15" s="19" cm="1">
        <f t="array" ref="K15">fn다운로드비율(A15,D15,E15)</f>
        <v>26.666666666666668</v>
      </c>
      <c r="L15" s="7"/>
    </row>
    <row r="16" spans="1:12">
      <c r="A16" s="3" t="s">
        <v>61</v>
      </c>
      <c r="B16" s="14">
        <v>45675</v>
      </c>
      <c r="C16" s="1" t="str">
        <f t="shared" si="0"/>
        <v>액션</v>
      </c>
      <c r="D16" s="15">
        <v>1350</v>
      </c>
      <c r="E16" s="15">
        <v>675</v>
      </c>
      <c r="F16" s="5">
        <v>50</v>
      </c>
      <c r="G16" s="16" t="s">
        <v>16</v>
      </c>
      <c r="H16" s="17">
        <v>8500</v>
      </c>
      <c r="I16" s="18">
        <f t="array" ref="I16">ROUNDUP(SUMPRODUCT(D16:E16,TRANSPOSE($G$26:$G$27)),-2)</f>
        <v>900</v>
      </c>
      <c r="J16" s="19">
        <f t="shared" si="1"/>
        <v>30000</v>
      </c>
      <c r="K16" s="19" cm="1">
        <f t="array" ref="K16">fn다운로드비율(A16,D16,E16)</f>
        <v>60</v>
      </c>
      <c r="L16" s="7"/>
    </row>
    <row r="17" spans="1:12">
      <c r="A17" s="3" t="s">
        <v>8</v>
      </c>
      <c r="B17" s="14">
        <v>45698</v>
      </c>
      <c r="C17" s="1" t="str">
        <f t="shared" si="0"/>
        <v>아케이드</v>
      </c>
      <c r="D17" s="15">
        <v>780</v>
      </c>
      <c r="E17" s="15">
        <v>284.45</v>
      </c>
      <c r="F17" s="5">
        <v>100</v>
      </c>
      <c r="G17" s="16" t="s">
        <v>10</v>
      </c>
      <c r="H17" s="17">
        <v>6800</v>
      </c>
      <c r="I17" s="18">
        <f t="array" ref="I17">ROUNDUP(SUMPRODUCT(D17:E17,TRANSPOSE($G$26:$G$27)),-2)</f>
        <v>500</v>
      </c>
      <c r="J17" s="19">
        <f t="shared" si="1"/>
        <v>72000</v>
      </c>
      <c r="K17" s="19" cm="1">
        <f t="array" ref="K17">fn다운로드비율(A17,D17,E17)</f>
        <v>36.467948717948715</v>
      </c>
      <c r="L17" s="7"/>
    </row>
    <row r="18" spans="1:12">
      <c r="A18" s="3" t="s">
        <v>44</v>
      </c>
      <c r="B18" s="14">
        <v>45698</v>
      </c>
      <c r="C18" s="1" t="str">
        <f t="shared" si="0"/>
        <v>퍼즐</v>
      </c>
      <c r="D18" s="15">
        <v>500</v>
      </c>
      <c r="E18" s="15">
        <v>471.7</v>
      </c>
      <c r="F18" s="5">
        <v>60</v>
      </c>
      <c r="G18" s="16" t="s">
        <v>16</v>
      </c>
      <c r="H18" s="17">
        <v>10200</v>
      </c>
      <c r="I18" s="18">
        <f t="array" ref="I18">ROUNDUP(SUMPRODUCT(D18:E18,TRANSPOSE($G$26:$G$27)),-2)</f>
        <v>500</v>
      </c>
      <c r="J18" s="19">
        <f t="shared" si="1"/>
        <v>37800</v>
      </c>
      <c r="K18" s="19" cm="1">
        <f t="array" ref="K18">fn다운로드비율(A18,D18,E18)</f>
        <v>94.34</v>
      </c>
      <c r="L18" s="7"/>
    </row>
    <row r="19" spans="1:12">
      <c r="A19" s="3" t="s">
        <v>22</v>
      </c>
      <c r="B19" s="14">
        <v>45717</v>
      </c>
      <c r="C19" s="1" t="str">
        <f t="shared" si="0"/>
        <v>아케이드</v>
      </c>
      <c r="D19" s="6">
        <v>3600</v>
      </c>
      <c r="E19" s="15">
        <v>600</v>
      </c>
      <c r="F19" s="5">
        <v>100</v>
      </c>
      <c r="G19" s="16" t="s">
        <v>16</v>
      </c>
      <c r="H19" s="17">
        <v>6800</v>
      </c>
      <c r="I19" s="18">
        <f t="array" ref="I19">ROUNDUP(SUMPRODUCT(D19:E19,TRANSPOSE($G$26:$G$27)),-2)</f>
        <v>1500</v>
      </c>
      <c r="J19" s="19">
        <f t="shared" si="1"/>
        <v>80000</v>
      </c>
      <c r="K19" s="19" cm="1">
        <f t="array" ref="K19">fn다운로드비율(A19,D19,E19)</f>
        <v>16.666666666666664</v>
      </c>
      <c r="L19" s="7"/>
    </row>
    <row r="20" spans="1:12">
      <c r="A20" s="3" t="s">
        <v>62</v>
      </c>
      <c r="B20" s="14">
        <v>45717</v>
      </c>
      <c r="C20" s="1" t="str">
        <f t="shared" si="0"/>
        <v>액션</v>
      </c>
      <c r="D20" s="15">
        <v>859.2</v>
      </c>
      <c r="E20" s="15">
        <v>429.6</v>
      </c>
      <c r="F20" s="5">
        <v>50</v>
      </c>
      <c r="G20" s="16" t="s">
        <v>10</v>
      </c>
      <c r="H20" s="17">
        <v>8500</v>
      </c>
      <c r="I20" s="18">
        <f t="array" ref="I20">ROUNDUP(SUMPRODUCT(D20:E20,TRANSPOSE($G$26:$G$27)),-2)</f>
        <v>600</v>
      </c>
      <c r="J20" s="19">
        <f t="shared" si="1"/>
        <v>27000</v>
      </c>
      <c r="K20" s="19" cm="1">
        <f t="array" ref="K20">fn다운로드비율(A20,D20,E20)</f>
        <v>60</v>
      </c>
      <c r="L20" s="7"/>
    </row>
    <row r="21" spans="1:12">
      <c r="A21" s="3" t="s">
        <v>63</v>
      </c>
      <c r="B21" s="14">
        <v>45750</v>
      </c>
      <c r="C21" s="1" t="str">
        <f t="shared" si="0"/>
        <v>퍼즐</v>
      </c>
      <c r="D21" s="15">
        <v>859.2</v>
      </c>
      <c r="E21" s="15">
        <v>429.6</v>
      </c>
      <c r="F21" s="5">
        <v>60</v>
      </c>
      <c r="G21" s="16" t="s">
        <v>10</v>
      </c>
      <c r="H21" s="17">
        <v>10200</v>
      </c>
      <c r="I21" s="18">
        <f t="array" ref="I21">ROUNDUP(SUMPRODUCT(D21:E21,TRANSPOSE($G$26:$G$27)),-2)</f>
        <v>600</v>
      </c>
      <c r="J21" s="19">
        <f t="shared" si="1"/>
        <v>37800</v>
      </c>
      <c r="K21" s="19" cm="1">
        <f t="array" ref="K21">fn다운로드비율(A21,D21,E21)</f>
        <v>50</v>
      </c>
      <c r="L21" s="7"/>
    </row>
    <row r="22" spans="1:12">
      <c r="A22" s="3" t="s">
        <v>64</v>
      </c>
      <c r="B22" s="14">
        <v>45750</v>
      </c>
      <c r="C22" s="1" t="str">
        <f t="shared" si="0"/>
        <v>아케이드</v>
      </c>
      <c r="D22" s="6">
        <v>3306.9</v>
      </c>
      <c r="E22" s="15">
        <v>551.15</v>
      </c>
      <c r="F22" s="5">
        <v>100</v>
      </c>
      <c r="G22" s="16" t="s">
        <v>10</v>
      </c>
      <c r="H22" s="17">
        <v>6800</v>
      </c>
      <c r="I22" s="18">
        <f t="array" ref="I22">ROUNDUP(SUMPRODUCT(D22:E22,TRANSPOSE($G$26:$G$27)),-2)</f>
        <v>1400</v>
      </c>
      <c r="J22" s="19">
        <f t="shared" si="1"/>
        <v>80000</v>
      </c>
      <c r="K22" s="19" cm="1">
        <f t="array" ref="K22">fn다운로드비율(A22,D22,E22)</f>
        <v>16.666666666666664</v>
      </c>
      <c r="L22" s="7"/>
    </row>
    <row r="23" spans="1:12">
      <c r="A23" s="3" t="s">
        <v>65</v>
      </c>
      <c r="B23" s="14">
        <v>45779</v>
      </c>
      <c r="C23" s="1" t="str">
        <f t="shared" si="0"/>
        <v>퍼즐</v>
      </c>
      <c r="D23" s="15">
        <v>943.4</v>
      </c>
      <c r="E23" s="15">
        <v>471.7</v>
      </c>
      <c r="F23" s="5">
        <v>60</v>
      </c>
      <c r="G23" s="16" t="s">
        <v>16</v>
      </c>
      <c r="H23" s="17">
        <v>10200</v>
      </c>
      <c r="I23" s="18">
        <f t="array" ref="I23">ROUNDUP(SUMPRODUCT(D23:E23,TRANSPOSE($G$26:$G$27)),-2)</f>
        <v>700</v>
      </c>
      <c r="J23" s="19">
        <f t="shared" si="1"/>
        <v>37800</v>
      </c>
      <c r="K23" s="19" cm="1">
        <f t="array" ref="K23">fn다운로드비율(A23,D23,E23)</f>
        <v>50</v>
      </c>
      <c r="L23" s="7"/>
    </row>
    <row r="24" spans="1:12">
      <c r="A24" s="20"/>
      <c r="B24" s="21"/>
      <c r="C24" s="20"/>
      <c r="D24" s="22"/>
      <c r="E24" s="20"/>
      <c r="F24" s="20"/>
      <c r="G24" s="20"/>
      <c r="H24" s="20"/>
      <c r="I24" s="20"/>
      <c r="J24" s="20"/>
      <c r="K24" s="20"/>
      <c r="L24" s="7"/>
    </row>
    <row r="25" spans="1:12">
      <c r="A25" s="23" t="s">
        <v>109</v>
      </c>
      <c r="B25" s="24" t="s">
        <v>113</v>
      </c>
      <c r="C25" s="23"/>
      <c r="D25" s="23"/>
      <c r="F25" s="24" t="s">
        <v>66</v>
      </c>
      <c r="G25" s="23"/>
      <c r="J25" s="24"/>
      <c r="K25" s="23"/>
      <c r="L25" s="9"/>
    </row>
    <row r="26" spans="1:12">
      <c r="A26" s="11" t="s">
        <v>67</v>
      </c>
      <c r="B26" s="12" t="s">
        <v>110</v>
      </c>
      <c r="C26" s="12" t="s">
        <v>111</v>
      </c>
      <c r="D26" s="12" t="s">
        <v>112</v>
      </c>
      <c r="F26" s="1" t="s">
        <v>50</v>
      </c>
      <c r="G26" s="28">
        <v>0.3</v>
      </c>
      <c r="J26" s="26"/>
      <c r="K26" s="27"/>
      <c r="L26" s="7"/>
    </row>
    <row r="27" spans="1:12">
      <c r="A27" s="29">
        <v>2024</v>
      </c>
      <c r="B27" s="19">
        <f t="array" ref="B27">AVERAGE(IF((YEAR($B$4:$B$23)=$A27)*(LEFT($A$4:$A$23,1)=B$26),$E$4:$E$23))</f>
        <v>429.6</v>
      </c>
      <c r="C27" s="19">
        <f t="array" ref="C27">AVERAGE(IF((YEAR($B$4:$B$23)=$A27)*(LEFT($A$4:$A$23,1)=C$26),$E$4:$E$23))</f>
        <v>439.5625</v>
      </c>
      <c r="D27" s="19">
        <f t="array" ref="D27">AVERAGE(IF((YEAR($B$4:$B$23)=$A27)*(LEFT($A$4:$A$23,1)=D$26),$E$4:$E$23))</f>
        <v>434.25</v>
      </c>
      <c r="F27" s="1" t="s">
        <v>51</v>
      </c>
      <c r="G27" s="28">
        <v>0.7</v>
      </c>
      <c r="J27" s="20"/>
      <c r="K27" s="23"/>
      <c r="L27" s="7"/>
    </row>
    <row r="28" spans="1:12">
      <c r="A28" s="29">
        <v>2025</v>
      </c>
      <c r="B28" s="19">
        <f t="array" ref="B28">AVERAGE(IF((YEAR($B$4:$B$23)=$A28)*(LEFT($A$4:$A$23,1)=B$26),$E$4:$E$23))</f>
        <v>568.73333333333323</v>
      </c>
      <c r="C28" s="19">
        <f t="array" ref="C28">AVERAGE(IF((YEAR($B$4:$B$23)=$A28)*(LEFT($A$4:$A$23,1)=C$26),$E$4:$E$23))</f>
        <v>478.5333333333333</v>
      </c>
      <c r="D28" s="19">
        <f t="array" ref="D28">AVERAGE(IF((YEAR($B$4:$B$23)=$A28)*(LEFT($A$4:$A$23,1)=D$26),$E$4:$E$23))</f>
        <v>457.66666666666669</v>
      </c>
      <c r="E28" s="23"/>
      <c r="F28" s="23"/>
      <c r="G28" s="23"/>
      <c r="H28" s="20"/>
      <c r="I28" s="20"/>
      <c r="J28" s="20"/>
      <c r="K28" s="23"/>
      <c r="L28" s="7"/>
    </row>
    <row r="29" spans="1:12">
      <c r="F29" s="30" t="s">
        <v>68</v>
      </c>
      <c r="G29" s="31"/>
      <c r="H29" s="31"/>
      <c r="I29" s="20"/>
      <c r="J29" s="20"/>
      <c r="K29" s="20"/>
      <c r="L29" s="7"/>
    </row>
    <row r="30" spans="1:12">
      <c r="A30" s="20"/>
      <c r="B30" s="20"/>
      <c r="C30" s="20"/>
      <c r="D30" s="23"/>
      <c r="F30" s="1" t="s">
        <v>69</v>
      </c>
      <c r="G30" s="25">
        <v>10</v>
      </c>
      <c r="H30" s="19">
        <v>40</v>
      </c>
      <c r="I30" s="19">
        <v>50</v>
      </c>
      <c r="J30" s="18">
        <v>60</v>
      </c>
      <c r="K30" s="18">
        <v>70</v>
      </c>
      <c r="L30" s="7"/>
    </row>
    <row r="31" spans="1:12">
      <c r="A31" s="20"/>
      <c r="B31" s="20"/>
      <c r="C31" s="20"/>
      <c r="D31" s="23"/>
      <c r="F31" s="1" t="s">
        <v>70</v>
      </c>
      <c r="G31" s="19">
        <v>400</v>
      </c>
      <c r="H31" s="19">
        <v>500</v>
      </c>
      <c r="I31" s="19">
        <v>600</v>
      </c>
      <c r="J31" s="19">
        <v>700</v>
      </c>
      <c r="K31" s="19">
        <v>800</v>
      </c>
      <c r="L31" s="7"/>
    </row>
    <row r="32" spans="1:12">
      <c r="A32" s="20"/>
      <c r="B32" s="20"/>
      <c r="C32" s="20"/>
      <c r="D32" s="23"/>
      <c r="E32" s="31"/>
      <c r="F32" s="31"/>
      <c r="G32" s="31"/>
      <c r="H32" s="24"/>
      <c r="I32" s="23"/>
      <c r="J32" s="23"/>
      <c r="K32" s="23"/>
      <c r="L32" s="7"/>
    </row>
  </sheetData>
  <phoneticPr fontId="1" type="noConversion"/>
  <conditionalFormatting sqref="B25 F25">
    <cfRule type="expression" dxfId="0" priority="4" stopIfTrue="1">
      <formula>$D25&gt;=95</formula>
    </cfRule>
  </conditionalFormatting>
  <pageMargins left="0.7" right="0.7" top="0.75" bottom="0.75" header="0.3" footer="0.3"/>
  <pageSetup paperSize="9" orientation="portrait" r:id="rId1"/>
  <ignoredErrors>
    <ignoredError sqref="I4:I23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E16"/>
  <sheetViews>
    <sheetView workbookViewId="0"/>
  </sheetViews>
  <sheetFormatPr defaultRowHeight="16.5"/>
  <cols>
    <col min="2" max="2" width="12.25" bestFit="1" customWidth="1"/>
    <col min="3" max="3" width="8.875" bestFit="1" customWidth="1"/>
    <col min="4" max="7" width="12.5" bestFit="1" customWidth="1"/>
  </cols>
  <sheetData>
    <row r="1" spans="2:5">
      <c r="B1" s="39" t="s">
        <v>73</v>
      </c>
      <c r="C1" t="s">
        <v>100</v>
      </c>
    </row>
    <row r="3" spans="2:5">
      <c r="B3" s="39" t="s">
        <v>71</v>
      </c>
      <c r="C3" s="39" t="s">
        <v>72</v>
      </c>
      <c r="D3" t="s">
        <v>102</v>
      </c>
      <c r="E3" t="s">
        <v>103</v>
      </c>
    </row>
    <row r="4" spans="2:5">
      <c r="B4" t="s">
        <v>25</v>
      </c>
      <c r="C4" t="s">
        <v>130</v>
      </c>
      <c r="D4" s="40">
        <v>10000</v>
      </c>
      <c r="E4" s="40">
        <v>13000</v>
      </c>
    </row>
    <row r="5" spans="2:5">
      <c r="C5" t="s">
        <v>131</v>
      </c>
      <c r="D5" s="40">
        <v>15000</v>
      </c>
      <c r="E5" s="40">
        <v>19500</v>
      </c>
    </row>
    <row r="6" spans="2:5">
      <c r="C6" t="s">
        <v>132</v>
      </c>
      <c r="D6" s="40">
        <v>35000</v>
      </c>
      <c r="E6" s="40">
        <v>45500</v>
      </c>
    </row>
    <row r="7" spans="2:5">
      <c r="B7" t="s">
        <v>104</v>
      </c>
      <c r="D7" s="40">
        <v>60000</v>
      </c>
      <c r="E7" s="40">
        <v>78000</v>
      </c>
    </row>
    <row r="8" spans="2:5">
      <c r="B8" t="s">
        <v>36</v>
      </c>
      <c r="C8" t="s">
        <v>130</v>
      </c>
      <c r="D8" s="40">
        <v>18000</v>
      </c>
      <c r="E8" s="40">
        <v>23400</v>
      </c>
    </row>
    <row r="9" spans="2:5">
      <c r="C9" t="s">
        <v>131</v>
      </c>
      <c r="D9" s="40">
        <v>24000</v>
      </c>
      <c r="E9" s="40">
        <v>31200</v>
      </c>
    </row>
    <row r="10" spans="2:5">
      <c r="C10" t="s">
        <v>132</v>
      </c>
      <c r="D10" s="40">
        <v>48000</v>
      </c>
      <c r="E10" s="40">
        <v>62400</v>
      </c>
    </row>
    <row r="11" spans="2:5">
      <c r="B11" t="s">
        <v>105</v>
      </c>
      <c r="D11" s="40">
        <v>90000</v>
      </c>
      <c r="E11" s="40">
        <v>117000</v>
      </c>
    </row>
    <row r="12" spans="2:5">
      <c r="B12" t="s">
        <v>9</v>
      </c>
      <c r="C12" t="s">
        <v>130</v>
      </c>
      <c r="D12" s="40">
        <v>12000</v>
      </c>
      <c r="E12" s="40">
        <v>15600</v>
      </c>
    </row>
    <row r="13" spans="2:5">
      <c r="C13" t="s">
        <v>131</v>
      </c>
      <c r="D13" s="40">
        <v>16000</v>
      </c>
      <c r="E13" s="40">
        <v>20800</v>
      </c>
    </row>
    <row r="14" spans="2:5">
      <c r="C14" t="s">
        <v>132</v>
      </c>
      <c r="D14" s="40">
        <v>36000</v>
      </c>
      <c r="E14" s="40">
        <v>46800</v>
      </c>
    </row>
    <row r="15" spans="2:5">
      <c r="B15" t="s">
        <v>106</v>
      </c>
      <c r="D15" s="40">
        <v>64000</v>
      </c>
      <c r="E15" s="40">
        <v>83200</v>
      </c>
    </row>
    <row r="16" spans="2:5">
      <c r="B16" t="s">
        <v>101</v>
      </c>
      <c r="D16" s="40">
        <v>214000</v>
      </c>
      <c r="E16" s="40">
        <v>278200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L9"/>
  <sheetViews>
    <sheetView workbookViewId="0"/>
  </sheetViews>
  <sheetFormatPr defaultRowHeight="16.5"/>
  <cols>
    <col min="1" max="1" width="13.875" customWidth="1"/>
    <col min="2" max="2" width="13.125" bestFit="1" customWidth="1"/>
    <col min="4" max="4" width="5.625" customWidth="1"/>
    <col min="5" max="5" width="10.625" customWidth="1"/>
    <col min="6" max="12" width="11.625" customWidth="1"/>
  </cols>
  <sheetData>
    <row r="1" spans="1:12">
      <c r="A1" s="59" t="s">
        <v>121</v>
      </c>
      <c r="B1" s="59"/>
      <c r="C1" s="43"/>
      <c r="D1" s="43"/>
      <c r="E1" s="44"/>
      <c r="F1" s="43"/>
    </row>
    <row r="2" spans="1:12">
      <c r="A2" s="45"/>
      <c r="B2" s="45"/>
      <c r="C2" s="43"/>
      <c r="F2" s="61" t="s">
        <v>128</v>
      </c>
      <c r="G2" s="61"/>
      <c r="H2" s="61"/>
      <c r="I2" s="61"/>
      <c r="J2" s="61"/>
      <c r="K2" s="61"/>
      <c r="L2" s="61"/>
    </row>
    <row r="3" spans="1:12" ht="17.100000000000001" customHeight="1">
      <c r="A3" s="46" t="s">
        <v>123</v>
      </c>
      <c r="B3" s="47">
        <v>20000000</v>
      </c>
      <c r="C3" s="43"/>
      <c r="E3" s="52">
        <f>B8</f>
        <v>466593.27240984648</v>
      </c>
      <c r="F3" s="51">
        <v>0.03</v>
      </c>
      <c r="G3" s="51">
        <v>0.04</v>
      </c>
      <c r="H3" s="51">
        <v>0.05</v>
      </c>
      <c r="I3" s="51">
        <v>0.06</v>
      </c>
      <c r="J3" s="51">
        <v>7.0000000000000007E-2</v>
      </c>
      <c r="K3" s="51">
        <v>0.08</v>
      </c>
      <c r="L3" s="51">
        <v>0.09</v>
      </c>
    </row>
    <row r="4" spans="1:12" ht="17.100000000000001" customHeight="1">
      <c r="A4" s="46" t="s">
        <v>125</v>
      </c>
      <c r="B4" s="47">
        <v>5000000</v>
      </c>
      <c r="C4" s="43"/>
      <c r="D4" s="60" t="s">
        <v>129</v>
      </c>
      <c r="E4" s="48">
        <v>12</v>
      </c>
      <c r="F4" s="53">
        <f t="dataTable" ref="F4:L9" dt2D="1" dtr="1" r1="B6" r2="B7"/>
        <v>1270405.4813773341</v>
      </c>
      <c r="G4" s="54">
        <v>1277248.5629333688</v>
      </c>
      <c r="H4" s="54">
        <v>1284112.226827007</v>
      </c>
      <c r="I4" s="54">
        <v>1290996.4456062096</v>
      </c>
      <c r="J4" s="54">
        <v>1297901.1914720708</v>
      </c>
      <c r="K4" s="54">
        <v>1304826.436281316</v>
      </c>
      <c r="L4" s="54">
        <v>1311772.1515488215</v>
      </c>
    </row>
    <row r="5" spans="1:12">
      <c r="A5" s="46" t="s">
        <v>126</v>
      </c>
      <c r="B5" s="47">
        <v>15000000</v>
      </c>
      <c r="C5" s="43"/>
      <c r="D5" s="60"/>
      <c r="E5" s="48">
        <v>24</v>
      </c>
      <c r="F5" s="53">
        <v>644718.1796933416</v>
      </c>
      <c r="G5" s="54">
        <v>651373.83256161073</v>
      </c>
      <c r="H5" s="54">
        <v>658070.84601102665</v>
      </c>
      <c r="I5" s="54">
        <v>664809.15379135346</v>
      </c>
      <c r="J5" s="54">
        <v>671588.68654718122</v>
      </c>
      <c r="K5" s="54">
        <v>678409.37184276222</v>
      </c>
      <c r="L5" s="54">
        <v>685271.1341875965</v>
      </c>
    </row>
    <row r="6" spans="1:12">
      <c r="A6" s="46" t="s">
        <v>127</v>
      </c>
      <c r="B6" s="49">
        <v>7.4999999999999997E-2</v>
      </c>
      <c r="C6" s="43"/>
      <c r="D6" s="60"/>
      <c r="E6" s="48">
        <v>48</v>
      </c>
      <c r="F6" s="53">
        <v>332014.90483967267</v>
      </c>
      <c r="G6" s="54">
        <v>338685.81962534966</v>
      </c>
      <c r="H6" s="54">
        <v>345439.40355969779</v>
      </c>
      <c r="I6" s="54">
        <v>352275.43571903423</v>
      </c>
      <c r="J6" s="54">
        <v>359193.66993664362</v>
      </c>
      <c r="K6" s="54">
        <v>366193.83512253722</v>
      </c>
      <c r="L6" s="54">
        <v>373275.63560901314</v>
      </c>
    </row>
    <row r="7" spans="1:12">
      <c r="A7" s="46" t="s">
        <v>124</v>
      </c>
      <c r="B7" s="50">
        <v>36</v>
      </c>
      <c r="C7" s="43"/>
      <c r="D7" s="60"/>
      <c r="E7" s="48">
        <v>60</v>
      </c>
      <c r="F7" s="53">
        <v>269530.35996094707</v>
      </c>
      <c r="G7" s="54">
        <v>276247.83082899527</v>
      </c>
      <c r="H7" s="54">
        <v>283068.50466016401</v>
      </c>
      <c r="I7" s="54">
        <v>289992.02294141869</v>
      </c>
      <c r="J7" s="54">
        <v>297017.97810524306</v>
      </c>
      <c r="K7" s="54">
        <v>304145.91432620521</v>
      </c>
      <c r="L7" s="54">
        <v>311375.32839531015</v>
      </c>
    </row>
    <row r="8" spans="1:12">
      <c r="A8" s="46" t="s">
        <v>122</v>
      </c>
      <c r="B8" s="47">
        <f>PMT(B6/12,B7,-B5)</f>
        <v>466593.27240984648</v>
      </c>
      <c r="C8" s="43"/>
      <c r="D8" s="60"/>
      <c r="E8" s="48">
        <v>72</v>
      </c>
      <c r="F8" s="53">
        <v>227905.13729158111</v>
      </c>
      <c r="G8" s="54">
        <v>234677.74608813753</v>
      </c>
      <c r="H8" s="54">
        <v>241573.98992176395</v>
      </c>
      <c r="I8" s="54">
        <v>248593.31840208301</v>
      </c>
      <c r="J8" s="54">
        <v>255735.09707954427</v>
      </c>
      <c r="K8" s="54">
        <v>262998.60917929182</v>
      </c>
      <c r="L8" s="54">
        <v>270383.05752407748</v>
      </c>
    </row>
    <row r="9" spans="1:12">
      <c r="A9" s="43"/>
      <c r="B9" s="43"/>
      <c r="C9" s="43"/>
      <c r="D9" s="60"/>
      <c r="E9" s="48">
        <v>84</v>
      </c>
      <c r="F9" s="53">
        <v>198199.50098192663</v>
      </c>
      <c r="G9" s="54">
        <v>205032.09504734774</v>
      </c>
      <c r="H9" s="54">
        <v>212008.63607860514</v>
      </c>
      <c r="I9" s="54">
        <v>219128.31725671183</v>
      </c>
      <c r="J9" s="54">
        <v>226390.19973284093</v>
      </c>
      <c r="K9" s="54">
        <v>233793.2160400431</v>
      </c>
      <c r="L9" s="54">
        <v>241336.17390057826</v>
      </c>
    </row>
  </sheetData>
  <mergeCells count="3">
    <mergeCell ref="A1:B1"/>
    <mergeCell ref="D4:D9"/>
    <mergeCell ref="F2:L2"/>
  </mergeCells>
  <phoneticPr fontId="1" type="noConversion"/>
  <dataValidations count="1">
    <dataValidation type="custom" allowBlank="1" showInputMessage="1" showErrorMessage="1" errorTitle="입력오류" error="12의 배수값만 입력하세요." sqref="E4:E9" xr:uid="{D002DBD7-4E04-41CE-A89D-7D16D7F4B23F}">
      <formula1>MOD(E4,12)=0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5"/>
  <sheetViews>
    <sheetView workbookViewId="0"/>
  </sheetViews>
  <sheetFormatPr defaultRowHeight="16.5"/>
  <cols>
    <col min="2" max="5" width="20.5" customWidth="1"/>
  </cols>
  <sheetData>
    <row r="1" spans="1:5" ht="24">
      <c r="A1" s="7"/>
      <c r="B1" s="62" t="s">
        <v>77</v>
      </c>
      <c r="C1" s="62"/>
      <c r="D1" s="62"/>
      <c r="E1" s="62"/>
    </row>
    <row r="2" spans="1:5">
      <c r="A2" s="34"/>
      <c r="B2" s="35"/>
      <c r="C2" s="36">
        <v>2023</v>
      </c>
      <c r="D2" s="36">
        <v>2024</v>
      </c>
      <c r="E2" s="36">
        <v>2025</v>
      </c>
    </row>
    <row r="3" spans="1:5">
      <c r="A3" s="34"/>
      <c r="B3" s="36" t="s">
        <v>78</v>
      </c>
      <c r="C3" s="37">
        <v>496591</v>
      </c>
      <c r="D3" s="37">
        <v>495958</v>
      </c>
      <c r="E3" s="37">
        <v>3155055</v>
      </c>
    </row>
    <row r="4" spans="1:5">
      <c r="A4" s="34"/>
      <c r="B4" s="36" t="s">
        <v>79</v>
      </c>
      <c r="C4" s="37">
        <v>426349</v>
      </c>
      <c r="D4" s="37">
        <v>427690</v>
      </c>
      <c r="E4" s="37">
        <v>1255919</v>
      </c>
    </row>
    <row r="5" spans="1:5">
      <c r="A5" s="34"/>
      <c r="B5" s="36" t="s">
        <v>80</v>
      </c>
      <c r="C5" s="37">
        <v>70242</v>
      </c>
      <c r="D5" s="37">
        <v>68268</v>
      </c>
      <c r="E5" s="37">
        <v>1899136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5:I16"/>
  <sheetViews>
    <sheetView workbookViewId="0"/>
  </sheetViews>
  <sheetFormatPr defaultRowHeight="16.5"/>
  <cols>
    <col min="2" max="2" width="17.625" customWidth="1"/>
    <col min="3" max="9" width="8.625" customWidth="1"/>
  </cols>
  <sheetData>
    <row r="5" spans="2:9">
      <c r="B5" s="1" t="s">
        <v>0</v>
      </c>
      <c r="C5" s="1" t="s">
        <v>114</v>
      </c>
      <c r="D5" s="1" t="s">
        <v>115</v>
      </c>
      <c r="E5" s="1" t="s">
        <v>116</v>
      </c>
      <c r="F5" s="1" t="s">
        <v>117</v>
      </c>
      <c r="G5" s="1" t="s">
        <v>118</v>
      </c>
      <c r="H5" s="1" t="s">
        <v>119</v>
      </c>
      <c r="I5" s="1" t="s">
        <v>120</v>
      </c>
    </row>
    <row r="6" spans="2:9">
      <c r="B6" s="3" t="s">
        <v>7</v>
      </c>
      <c r="C6" s="55">
        <v>1</v>
      </c>
      <c r="D6" s="55">
        <v>1</v>
      </c>
      <c r="E6" s="56">
        <v>1</v>
      </c>
      <c r="F6" s="55">
        <v>0</v>
      </c>
      <c r="G6" s="57">
        <v>1</v>
      </c>
      <c r="H6" s="58">
        <v>1</v>
      </c>
      <c r="I6" s="58">
        <v>1</v>
      </c>
    </row>
    <row r="7" spans="2:9">
      <c r="B7" s="3" t="s">
        <v>11</v>
      </c>
      <c r="C7" s="55">
        <v>1</v>
      </c>
      <c r="D7" s="55">
        <v>0</v>
      </c>
      <c r="E7" s="56">
        <v>1</v>
      </c>
      <c r="F7" s="55">
        <v>0</v>
      </c>
      <c r="G7" s="55">
        <v>0</v>
      </c>
      <c r="H7" s="58">
        <v>1</v>
      </c>
      <c r="I7" s="55">
        <v>0</v>
      </c>
    </row>
    <row r="8" spans="2:9">
      <c r="B8" s="3" t="s">
        <v>14</v>
      </c>
      <c r="C8" s="55">
        <v>0</v>
      </c>
      <c r="D8" s="55">
        <v>1</v>
      </c>
      <c r="E8" s="55">
        <v>0</v>
      </c>
      <c r="F8" s="55">
        <v>1</v>
      </c>
      <c r="G8" s="57">
        <v>1</v>
      </c>
      <c r="H8" s="55">
        <v>0</v>
      </c>
      <c r="I8" s="58">
        <v>1</v>
      </c>
    </row>
    <row r="9" spans="2:9">
      <c r="B9" s="3" t="s">
        <v>17</v>
      </c>
      <c r="C9" s="55">
        <v>1</v>
      </c>
      <c r="D9" s="55">
        <v>1</v>
      </c>
      <c r="E9" s="56">
        <v>1</v>
      </c>
      <c r="F9" s="55">
        <v>1</v>
      </c>
      <c r="G9" s="57">
        <v>1</v>
      </c>
      <c r="H9" s="58">
        <v>1</v>
      </c>
      <c r="I9" s="58">
        <v>1</v>
      </c>
    </row>
    <row r="10" spans="2:9">
      <c r="B10" s="3" t="s">
        <v>19</v>
      </c>
      <c r="C10" s="55">
        <v>1</v>
      </c>
      <c r="D10" s="55">
        <v>0</v>
      </c>
      <c r="E10" s="55">
        <v>0</v>
      </c>
      <c r="F10" s="55">
        <v>0</v>
      </c>
      <c r="G10" s="55">
        <v>0</v>
      </c>
      <c r="H10" s="58">
        <v>1</v>
      </c>
      <c r="I10" s="58">
        <v>1</v>
      </c>
    </row>
    <row r="11" spans="2:9">
      <c r="B11" s="3" t="s">
        <v>21</v>
      </c>
      <c r="C11" s="55">
        <v>0</v>
      </c>
      <c r="D11" s="55">
        <v>1</v>
      </c>
      <c r="E11" s="55">
        <v>0</v>
      </c>
      <c r="F11" s="55">
        <v>1</v>
      </c>
      <c r="G11" s="57">
        <v>1</v>
      </c>
      <c r="H11" s="58">
        <v>1</v>
      </c>
      <c r="I11" s="55">
        <v>0</v>
      </c>
    </row>
    <row r="12" spans="2:9">
      <c r="B12" s="3" t="s">
        <v>23</v>
      </c>
      <c r="C12" s="55">
        <v>1</v>
      </c>
      <c r="D12" s="55">
        <v>1</v>
      </c>
      <c r="E12" s="55">
        <v>0</v>
      </c>
      <c r="F12" s="55">
        <v>1</v>
      </c>
      <c r="G12" s="57">
        <v>1</v>
      </c>
      <c r="H12" s="55">
        <v>0</v>
      </c>
      <c r="I12" s="58">
        <v>1</v>
      </c>
    </row>
    <row r="13" spans="2:9">
      <c r="B13" s="3" t="s">
        <v>26</v>
      </c>
      <c r="C13" s="55">
        <v>1</v>
      </c>
      <c r="D13" s="55">
        <v>1</v>
      </c>
      <c r="E13" s="56">
        <v>1</v>
      </c>
      <c r="F13" s="55">
        <v>1</v>
      </c>
      <c r="G13" s="57">
        <v>1</v>
      </c>
      <c r="H13" s="58">
        <v>1</v>
      </c>
      <c r="I13" s="55">
        <v>0</v>
      </c>
    </row>
    <row r="14" spans="2:9">
      <c r="B14" s="3" t="s">
        <v>28</v>
      </c>
      <c r="C14" s="55">
        <v>1</v>
      </c>
      <c r="D14" s="55">
        <v>1</v>
      </c>
      <c r="E14" s="55">
        <v>0</v>
      </c>
      <c r="F14" s="55">
        <v>0</v>
      </c>
      <c r="G14" s="57">
        <v>1</v>
      </c>
      <c r="H14" s="58">
        <v>1</v>
      </c>
      <c r="I14" s="55">
        <v>0</v>
      </c>
    </row>
    <row r="15" spans="2:9">
      <c r="B15" s="3" t="s">
        <v>30</v>
      </c>
      <c r="C15" s="55">
        <v>0</v>
      </c>
      <c r="D15" s="55">
        <v>1</v>
      </c>
      <c r="E15" s="56">
        <v>1</v>
      </c>
      <c r="F15" s="55">
        <v>1</v>
      </c>
      <c r="G15" s="57">
        <v>1</v>
      </c>
      <c r="H15" s="58">
        <v>1</v>
      </c>
      <c r="I15" s="55">
        <v>0</v>
      </c>
    </row>
    <row r="16" spans="2:9">
      <c r="B16" s="3" t="s">
        <v>32</v>
      </c>
      <c r="C16" s="55">
        <v>0</v>
      </c>
      <c r="D16" s="55">
        <v>0</v>
      </c>
      <c r="E16" s="56">
        <v>1</v>
      </c>
      <c r="F16" s="55">
        <v>1</v>
      </c>
      <c r="G16" s="55">
        <v>0</v>
      </c>
      <c r="H16" s="58">
        <v>1</v>
      </c>
      <c r="I16" s="5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E22"/>
  <sheetViews>
    <sheetView workbookViewId="0"/>
  </sheetViews>
  <sheetFormatPr defaultRowHeight="16.5"/>
  <cols>
    <col min="1" max="1" width="15.25" customWidth="1"/>
    <col min="2" max="2" width="19.125" customWidth="1"/>
    <col min="3" max="3" width="11.375" customWidth="1"/>
    <col min="4" max="4" width="17" customWidth="1"/>
    <col min="5" max="5" width="14.375" customWidth="1"/>
  </cols>
  <sheetData>
    <row r="1" spans="1:5">
      <c r="A1" s="32" t="s">
        <v>81</v>
      </c>
      <c r="B1" s="32" t="s">
        <v>82</v>
      </c>
      <c r="C1" s="32"/>
      <c r="D1" s="32"/>
    </row>
    <row r="2" spans="1:5">
      <c r="A2" s="32"/>
      <c r="B2" s="32"/>
      <c r="C2" s="32"/>
      <c r="D2" s="32"/>
    </row>
    <row r="3" spans="1:5">
      <c r="A3" s="33" t="s">
        <v>1</v>
      </c>
      <c r="B3" s="33" t="s">
        <v>83</v>
      </c>
      <c r="C3" s="33" t="s">
        <v>84</v>
      </c>
      <c r="D3" s="33" t="s">
        <v>85</v>
      </c>
      <c r="E3" s="33" t="s">
        <v>3</v>
      </c>
    </row>
    <row r="4" spans="1:5">
      <c r="A4" s="3" t="s">
        <v>35</v>
      </c>
      <c r="B4" s="3" t="s">
        <v>86</v>
      </c>
      <c r="C4" s="3" t="s">
        <v>36</v>
      </c>
      <c r="D4" s="4">
        <v>45363</v>
      </c>
      <c r="E4" s="3" t="s">
        <v>13</v>
      </c>
    </row>
    <row r="5" spans="1:5">
      <c r="A5" s="3" t="s">
        <v>42</v>
      </c>
      <c r="B5" s="3" t="s">
        <v>74</v>
      </c>
      <c r="C5" s="3" t="s">
        <v>36</v>
      </c>
      <c r="D5" s="4">
        <v>45363</v>
      </c>
      <c r="E5" s="3" t="s">
        <v>13</v>
      </c>
    </row>
    <row r="6" spans="1:5">
      <c r="A6" s="3" t="s">
        <v>12</v>
      </c>
      <c r="B6" s="3" t="s">
        <v>87</v>
      </c>
      <c r="C6" s="3" t="s">
        <v>9</v>
      </c>
      <c r="D6" s="4">
        <v>45363</v>
      </c>
      <c r="E6" s="3" t="s">
        <v>13</v>
      </c>
    </row>
    <row r="7" spans="1:5">
      <c r="A7" s="3" t="s">
        <v>20</v>
      </c>
      <c r="B7" s="3" t="s">
        <v>75</v>
      </c>
      <c r="C7" s="3" t="s">
        <v>9</v>
      </c>
      <c r="D7" s="4">
        <v>45363</v>
      </c>
      <c r="E7" s="3" t="s">
        <v>13</v>
      </c>
    </row>
    <row r="8" spans="1:5">
      <c r="A8" s="3" t="s">
        <v>27</v>
      </c>
      <c r="B8" s="3" t="s">
        <v>88</v>
      </c>
      <c r="C8" s="3" t="s">
        <v>25</v>
      </c>
      <c r="D8" s="4">
        <v>45363</v>
      </c>
      <c r="E8" s="3" t="s">
        <v>13</v>
      </c>
    </row>
    <row r="9" spans="1:5">
      <c r="A9" s="3" t="s">
        <v>18</v>
      </c>
      <c r="B9" s="3" t="s">
        <v>89</v>
      </c>
      <c r="C9" s="3" t="s">
        <v>9</v>
      </c>
      <c r="D9" s="4">
        <v>45529</v>
      </c>
      <c r="E9" s="3" t="s">
        <v>13</v>
      </c>
    </row>
    <row r="10" spans="1:5">
      <c r="A10" s="3" t="s">
        <v>24</v>
      </c>
      <c r="B10" s="3" t="s">
        <v>23</v>
      </c>
      <c r="C10" s="3" t="s">
        <v>25</v>
      </c>
      <c r="D10" s="4">
        <v>45529</v>
      </c>
      <c r="E10" s="3" t="s">
        <v>13</v>
      </c>
    </row>
    <row r="11" spans="1:5">
      <c r="A11" s="3" t="s">
        <v>40</v>
      </c>
      <c r="B11" s="3" t="s">
        <v>90</v>
      </c>
      <c r="C11" s="3" t="s">
        <v>36</v>
      </c>
      <c r="D11" s="4">
        <v>45529</v>
      </c>
      <c r="E11" s="3" t="s">
        <v>13</v>
      </c>
    </row>
    <row r="12" spans="1:5">
      <c r="A12" s="3" t="s">
        <v>38</v>
      </c>
      <c r="B12" s="3" t="s">
        <v>91</v>
      </c>
      <c r="C12" s="3" t="s">
        <v>36</v>
      </c>
      <c r="D12" s="4">
        <v>45663</v>
      </c>
      <c r="E12" s="3" t="s">
        <v>16</v>
      </c>
    </row>
    <row r="13" spans="1:5">
      <c r="A13" s="3" t="s">
        <v>15</v>
      </c>
      <c r="B13" s="3" t="s">
        <v>92</v>
      </c>
      <c r="C13" s="3" t="s">
        <v>9</v>
      </c>
      <c r="D13" s="4">
        <v>45663</v>
      </c>
      <c r="E13" s="3" t="s">
        <v>16</v>
      </c>
    </row>
    <row r="14" spans="1:5">
      <c r="A14" s="3" t="s">
        <v>46</v>
      </c>
      <c r="B14" s="3" t="s">
        <v>88</v>
      </c>
      <c r="C14" s="3" t="s">
        <v>36</v>
      </c>
      <c r="D14" s="4">
        <v>45727</v>
      </c>
      <c r="E14" s="3" t="s">
        <v>10</v>
      </c>
    </row>
    <row r="15" spans="1:5">
      <c r="A15" s="3" t="s">
        <v>31</v>
      </c>
      <c r="B15" s="3" t="s">
        <v>76</v>
      </c>
      <c r="C15" s="3" t="s">
        <v>25</v>
      </c>
      <c r="D15" s="4">
        <v>45727</v>
      </c>
      <c r="E15" s="3" t="s">
        <v>10</v>
      </c>
    </row>
    <row r="16" spans="1:5">
      <c r="A16" s="3" t="s">
        <v>29</v>
      </c>
      <c r="B16" s="3" t="s">
        <v>93</v>
      </c>
      <c r="C16" s="3" t="s">
        <v>25</v>
      </c>
      <c r="D16" s="4">
        <v>45735</v>
      </c>
      <c r="E16" s="3" t="s">
        <v>16</v>
      </c>
    </row>
    <row r="17" spans="1:5">
      <c r="A17" s="3" t="s">
        <v>8</v>
      </c>
      <c r="B17" s="3" t="s">
        <v>94</v>
      </c>
      <c r="C17" s="3" t="s">
        <v>9</v>
      </c>
      <c r="D17" s="4">
        <v>45735</v>
      </c>
      <c r="E17" s="3" t="s">
        <v>10</v>
      </c>
    </row>
    <row r="18" spans="1:5">
      <c r="A18" s="3" t="s">
        <v>44</v>
      </c>
      <c r="B18" s="3" t="s">
        <v>95</v>
      </c>
      <c r="C18" s="3" t="s">
        <v>36</v>
      </c>
      <c r="D18" s="4">
        <v>45735</v>
      </c>
      <c r="E18" s="3" t="s">
        <v>16</v>
      </c>
    </row>
    <row r="19" spans="1:5">
      <c r="A19" s="3" t="s">
        <v>22</v>
      </c>
      <c r="B19" s="3" t="s">
        <v>96</v>
      </c>
      <c r="C19" s="3" t="s">
        <v>9</v>
      </c>
      <c r="D19" s="4">
        <v>45735</v>
      </c>
      <c r="E19" s="3" t="s">
        <v>16</v>
      </c>
    </row>
    <row r="20" spans="1:5">
      <c r="A20" s="3" t="s">
        <v>33</v>
      </c>
      <c r="B20" s="3" t="s">
        <v>97</v>
      </c>
      <c r="C20" s="3" t="s">
        <v>25</v>
      </c>
      <c r="D20" s="4">
        <v>45735</v>
      </c>
      <c r="E20" s="3" t="s">
        <v>10</v>
      </c>
    </row>
    <row r="21" spans="1:5">
      <c r="A21" s="3" t="s">
        <v>63</v>
      </c>
      <c r="B21" s="3" t="s">
        <v>98</v>
      </c>
      <c r="C21" s="3" t="s">
        <v>36</v>
      </c>
      <c r="D21" s="4">
        <v>45830</v>
      </c>
      <c r="E21" s="3" t="s">
        <v>10</v>
      </c>
    </row>
    <row r="22" spans="1:5">
      <c r="A22" s="3" t="s">
        <v>64</v>
      </c>
      <c r="B22" s="3" t="s">
        <v>99</v>
      </c>
      <c r="C22" s="3" t="s">
        <v>9</v>
      </c>
      <c r="D22" s="4">
        <v>45830</v>
      </c>
      <c r="E22" s="3" t="s">
        <v>10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게임검색">
          <controlPr defaultSize="0" autoLine="0" r:id="rId4">
            <anchor moveWithCells="1">
              <from>
                <xdr:col>4</xdr:col>
                <xdr:colOff>19050</xdr:colOff>
                <xdr:row>0</xdr:row>
                <xdr:rowOff>9525</xdr:rowOff>
              </from>
              <to>
                <xdr:col>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3" name="게임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  <vt:lpstr>기본작업1!Criteria</vt:lpstr>
      <vt:lpstr>기본작업1!Extract</vt:lpstr>
      <vt:lpstr>기본작업2!Print_Area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2023-10-02T02:25:00Z</cp:lastPrinted>
  <dcterms:created xsi:type="dcterms:W3CDTF">2020-04-07T06:00:22Z</dcterms:created>
  <dcterms:modified xsi:type="dcterms:W3CDTF">2023-10-02T02:31:40Z</dcterms:modified>
</cp:coreProperties>
</file>