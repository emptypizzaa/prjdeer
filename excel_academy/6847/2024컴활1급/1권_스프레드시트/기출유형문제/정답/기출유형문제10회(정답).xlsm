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교정\24년1급실기\1권_스프레드시트\기출변형문제\정답\"/>
    </mc:Choice>
  </mc:AlternateContent>
  <xr:revisionPtr revIDLastSave="0" documentId="13_ncr:1_{8F3C9E8E-1BA7-4F8A-AF36-F885B6ED9A64}" xr6:coauthVersionLast="47" xr6:coauthVersionMax="47" xr10:uidLastSave="{00000000-0000-0000-0000-000000000000}"/>
  <bookViews>
    <workbookView xWindow="18420" yWindow="180" windowWidth="19695" windowHeight="15300" tabRatio="788" xr2:uid="{00000000-000D-0000-FFFF-FFFF00000000}"/>
  </bookViews>
  <sheets>
    <sheet name="기본작업-1" sheetId="2" r:id="rId1"/>
    <sheet name="기본작업-2" sheetId="9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5" r:id="rId7"/>
    <sheet name="기타작업-3" sheetId="7" r:id="rId8"/>
  </sheets>
  <functionGroups builtInGroupCount="19"/>
  <definedNames>
    <definedName name="_xlnm._FilterDatabase" localSheetId="0" hidden="1">'기본작업-1'!$A$1:$I$19</definedName>
    <definedName name="_xlnm._FilterDatabase" localSheetId="1" hidden="1">'기본작업-2'!$A$1:$I$19</definedName>
    <definedName name="_xlnm._FilterDatabase" localSheetId="4" hidden="1">'분석작업-2'!#REF!</definedName>
    <definedName name="_xlnm.Criteria" localSheetId="0">'기본작업-1'!$A$21:$A$22</definedName>
    <definedName name="_xlnm.Criteria" localSheetId="1">'기본작업-2'!#REF!</definedName>
    <definedName name="_xlnm.Extract" localSheetId="0">'기본작업-1'!$A$26:$F$26</definedName>
    <definedName name="_xlnm.Extract" localSheetId="1">'기본작업-2'!#REF!</definedName>
    <definedName name="MS_Access_Database_Query_4" localSheetId="2">계산작업!$B$17:$G$44</definedName>
    <definedName name="_xlnm.Print_Area" localSheetId="1">'기본작업-2'!$A$1:$I$19</definedName>
    <definedName name="_xlnm.Print_Titles" localSheetId="1">'기본작업-2'!$1:$1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판매" name="판매" connection="판매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" i="3" l="1"/>
  <c r="I10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18" i="3"/>
  <c r="D4" i="3" a="1"/>
  <c r="D4" i="3" s="1"/>
  <c r="E4" i="3" a="1"/>
  <c r="E4" i="3" s="1"/>
  <c r="F4" i="3" a="1"/>
  <c r="F4" i="3" s="1"/>
  <c r="D5" i="3" a="1"/>
  <c r="D5" i="3" s="1"/>
  <c r="E5" i="3" a="1"/>
  <c r="E5" i="3" s="1"/>
  <c r="F5" i="3" a="1"/>
  <c r="F5" i="3" s="1"/>
  <c r="D6" i="3" a="1"/>
  <c r="D6" i="3" s="1"/>
  <c r="E6" i="3" a="1"/>
  <c r="E6" i="3" s="1"/>
  <c r="F6" i="3" a="1"/>
  <c r="F6" i="3" s="1"/>
  <c r="C5" i="3" a="1"/>
  <c r="C5" i="3" s="1"/>
  <c r="C6" i="3" a="1"/>
  <c r="C6" i="3" s="1"/>
  <c r="C4" i="3" a="1"/>
  <c r="C4" i="3" s="1"/>
  <c r="J10" i="3"/>
  <c r="D11" i="3" a="1"/>
  <c r="D11" i="3" s="1"/>
  <c r="E11" i="3" a="1"/>
  <c r="E11" i="3" s="1"/>
  <c r="F11" i="3" a="1"/>
  <c r="F11" i="3" s="1"/>
  <c r="D12" i="3" a="1"/>
  <c r="D12" i="3" s="1"/>
  <c r="E12" i="3" a="1"/>
  <c r="E12" i="3" s="1"/>
  <c r="F12" i="3" a="1"/>
  <c r="F12" i="3" s="1"/>
  <c r="D13" i="3" a="1"/>
  <c r="D13" i="3" s="1"/>
  <c r="E13" i="3" a="1"/>
  <c r="E13" i="3" s="1"/>
  <c r="F13" i="3" a="1"/>
  <c r="F13" i="3" s="1"/>
  <c r="C12" i="3" a="1"/>
  <c r="C12" i="3" s="1"/>
  <c r="C13" i="3" a="1"/>
  <c r="C13" i="3" s="1"/>
  <c r="C11" i="3" a="1"/>
  <c r="C11" i="3" s="1"/>
  <c r="I31" i="3" a="1"/>
  <c r="I44" i="3" a="1"/>
  <c r="I41" i="3" a="1"/>
  <c r="I32" i="3" a="1"/>
  <c r="I28" i="3" a="1"/>
  <c r="I29" i="3" a="1"/>
  <c r="I34" i="3" a="1"/>
  <c r="I40" i="3" a="1"/>
  <c r="I21" i="3" a="1"/>
  <c r="I42" i="3" a="1"/>
  <c r="I22" i="3" a="1"/>
  <c r="I39" i="3" a="1"/>
  <c r="I33" i="3" a="1"/>
  <c r="I43" i="3" a="1"/>
  <c r="I35" i="3" a="1"/>
  <c r="I20" i="3" a="1"/>
  <c r="I26" i="3" a="1"/>
  <c r="I36" i="3" a="1"/>
  <c r="I27" i="3" a="1"/>
  <c r="I30" i="3" a="1"/>
  <c r="I19" i="3" a="1"/>
  <c r="I37" i="3" a="1"/>
  <c r="I23" i="3" a="1"/>
  <c r="I38" i="3" a="1"/>
  <c r="I25" i="3" a="1"/>
  <c r="I18" i="3" a="1"/>
  <c r="I24" i="3" a="1"/>
  <c r="I38" i="3" l="1"/>
  <c r="I37" i="3"/>
  <c r="I36" i="3"/>
  <c r="I25" i="3"/>
  <c r="I34" i="3"/>
  <c r="I23" i="3"/>
  <c r="I22" i="3"/>
  <c r="I28" i="3"/>
  <c r="I27" i="3"/>
  <c r="I26" i="3"/>
  <c r="I35" i="3"/>
  <c r="I44" i="3"/>
  <c r="I24" i="3"/>
  <c r="I43" i="3"/>
  <c r="I33" i="3"/>
  <c r="I42" i="3"/>
  <c r="I32" i="3"/>
  <c r="I41" i="3"/>
  <c r="I31" i="3"/>
  <c r="I21" i="3"/>
  <c r="I40" i="3"/>
  <c r="I30" i="3"/>
  <c r="I20" i="3"/>
  <c r="I39" i="3"/>
  <c r="I29" i="3"/>
  <c r="I19" i="3"/>
  <c r="I18" i="3"/>
  <c r="A22" i="2"/>
  <c r="C30" i="5" l="1"/>
  <c r="C23" i="5"/>
  <c r="C18" i="5"/>
  <c r="C10" i="5"/>
  <c r="C32" i="5" s="1"/>
  <c r="F31" i="5"/>
  <c r="E31" i="5"/>
  <c r="F24" i="5"/>
  <c r="E24" i="5"/>
  <c r="F19" i="5"/>
  <c r="E19" i="5"/>
  <c r="F11" i="5"/>
  <c r="E11" i="5"/>
  <c r="E33" i="5" s="1"/>
  <c r="F33" i="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모의고사\판매.accdb;DefaultDir=E:\영진(2021년)\1급\excel\스프레드시트(파일) - 최종\모의고사;DriverId=25;FIL=MS Access;MaxBufferSize=2048;PageTimeout=5;" command="SELECT 가전제품.제품코드, 가전제품.지점, 가전제품.제품명, 가전제품.생산원가, 가전제품.판매금액, 가전제품.이익금_x000d__x000a_FROM 가전제품 가전제품"/>
  </connection>
  <connection id="2" xr16:uid="{00000000-0015-0000-FFFF-FFFF01000000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연결" type="1" refreshedVersion="0" savePassword="1" deleted="1" background="1" saveData="1">
    <dbPr connection="" command=""/>
  </connection>
  <connection id="4" xr16:uid="{00000000-0015-0000-FFFF-FFFF03000000}" name="판매" type="103" refreshedVersion="6" minRefreshableVersion="5">
    <extLst>
      <ext xmlns:x15="http://schemas.microsoft.com/office/spreadsheetml/2010/11/main" uri="{DE250136-89BD-433C-8126-D09CA5730AF9}">
        <x15:connection id="판매" autoDelete="1">
          <x15:textPr prompt="0" codePage="949" sourceFile="C:\컴활1급\스프레드시트\모의고사\판매.csv" tab="0" comma="1">
            <textFields count="7">
              <textField type="skip"/>
              <textField/>
              <textField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metadataStrings count="2">
    <s v="ThisWorkbookDataModel"/>
    <s v="{[판매].[제품코드].[All]}"/>
  </metadataStrings>
  <mdxMetadata count="1">
    <mdx n="0" f="s">
      <ms ns="1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<sst xmlns="http://schemas.openxmlformats.org/spreadsheetml/2006/main" count="590" uniqueCount="262">
  <si>
    <t>대출번호</t>
  </si>
  <si>
    <t>성명</t>
  </si>
  <si>
    <t>주민등록번호</t>
  </si>
  <si>
    <t>주소</t>
  </si>
  <si>
    <t>대출지점</t>
  </si>
  <si>
    <t>대출일</t>
  </si>
  <si>
    <t>대출종류</t>
  </si>
  <si>
    <t>대출금액</t>
  </si>
  <si>
    <t>기간</t>
  </si>
  <si>
    <t>J04-26</t>
  </si>
  <si>
    <t>남지철</t>
  </si>
  <si>
    <t>581105-1067449</t>
  </si>
  <si>
    <t>대전시 대덕구 법동</t>
  </si>
  <si>
    <t>충청</t>
  </si>
  <si>
    <t>주택자금대출</t>
  </si>
  <si>
    <t>M01-37</t>
  </si>
  <si>
    <t>최만용</t>
  </si>
  <si>
    <t>721105-1471885</t>
  </si>
  <si>
    <t>서울시 중구 필동</t>
  </si>
  <si>
    <t>서울</t>
  </si>
  <si>
    <t>무보증신용대출</t>
  </si>
  <si>
    <t>M02-06</t>
  </si>
  <si>
    <t>최철식</t>
  </si>
  <si>
    <t>700710-1179826</t>
  </si>
  <si>
    <t>경기도 안양시 만안구</t>
  </si>
  <si>
    <t>경기</t>
  </si>
  <si>
    <t>Y02-67</t>
  </si>
  <si>
    <t>형연주</t>
  </si>
  <si>
    <t>730205-2848619</t>
  </si>
  <si>
    <t>경기도 수원시 장안구</t>
  </si>
  <si>
    <t>예부적금담보대출</t>
  </si>
  <si>
    <t>J02-01</t>
  </si>
  <si>
    <t>김춘복</t>
  </si>
  <si>
    <t>711211-1038429</t>
  </si>
  <si>
    <t>경기도 수원시 권선구</t>
  </si>
  <si>
    <t>Y04-15</t>
  </si>
  <si>
    <t>진영태</t>
  </si>
  <si>
    <t>700412-1877519</t>
  </si>
  <si>
    <t>충남 천안시 불당동</t>
  </si>
  <si>
    <t>Y01-07</t>
  </si>
  <si>
    <t>도희철</t>
  </si>
  <si>
    <t>680722-1104775</t>
  </si>
  <si>
    <t>서울시 강남구 역삼동</t>
  </si>
  <si>
    <t>M01-27</t>
  </si>
  <si>
    <t>박세희</t>
  </si>
  <si>
    <t>570519-2027689</t>
  </si>
  <si>
    <t>서울시 서대문구 역촌동</t>
  </si>
  <si>
    <t>K03-05</t>
  </si>
  <si>
    <t>민승렬</t>
  </si>
  <si>
    <t>630225-1462892</t>
  </si>
  <si>
    <t>부산시 부산진구 동평동</t>
  </si>
  <si>
    <t>부산</t>
  </si>
  <si>
    <t>국민주택기금대출</t>
  </si>
  <si>
    <t>J03-26</t>
  </si>
  <si>
    <t>민애라</t>
  </si>
  <si>
    <t>700215-2245773</t>
  </si>
  <si>
    <t>부산시 동구 범일동</t>
  </si>
  <si>
    <t>J02-38</t>
  </si>
  <si>
    <t>이민주</t>
  </si>
  <si>
    <t>600629-2005884</t>
  </si>
  <si>
    <t>경기도 성남시 분당구</t>
  </si>
  <si>
    <t>K04-35</t>
  </si>
  <si>
    <t>박철형</t>
  </si>
  <si>
    <t>630714-2177475</t>
  </si>
  <si>
    <t>대전시 서구 둔산동</t>
  </si>
  <si>
    <t>Y03-88</t>
  </si>
  <si>
    <t>김상진</t>
  </si>
  <si>
    <t>670214-1397503</t>
  </si>
  <si>
    <t>부산시 남구 문현동</t>
  </si>
  <si>
    <t>M01-23</t>
  </si>
  <si>
    <t>구준식</t>
  </si>
  <si>
    <t>680909-1833529</t>
  </si>
  <si>
    <t>서울시 종로구 팔판동</t>
  </si>
  <si>
    <t>K01-02</t>
  </si>
  <si>
    <t>오태열</t>
  </si>
  <si>
    <t>531227-1344216</t>
  </si>
  <si>
    <t>서울시 양천구 목동</t>
  </si>
  <si>
    <t>Y02-26</t>
  </si>
  <si>
    <t>이재철</t>
  </si>
  <si>
    <t>701125-1178421</t>
  </si>
  <si>
    <t>경기도 안양시 동안구</t>
  </si>
  <si>
    <t>J04-31</t>
  </si>
  <si>
    <t>민인희</t>
  </si>
  <si>
    <t>681205-2027817</t>
  </si>
  <si>
    <t>대전시 동구 판암동</t>
  </si>
  <si>
    <t>M04-08</t>
  </si>
  <si>
    <t>김진석</t>
  </si>
  <si>
    <t>710618-1061918</t>
  </si>
  <si>
    <t>대전시 유성구 온천동</t>
  </si>
  <si>
    <t>고객등급</t>
    <phoneticPr fontId="3" type="noConversion"/>
  </si>
  <si>
    <t>일반</t>
    <phoneticPr fontId="3" type="noConversion"/>
  </si>
  <si>
    <t>우수</t>
    <phoneticPr fontId="3" type="noConversion"/>
  </si>
  <si>
    <t>최우수</t>
    <phoneticPr fontId="3" type="noConversion"/>
  </si>
  <si>
    <t>수수료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</si>
  <si>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3] 대출</t>
    </r>
    <r>
      <rPr>
        <sz val="11"/>
        <rFont val="맑은 고딕"/>
        <family val="3"/>
        <charset val="129"/>
        <scheme val="minor"/>
      </rPr>
      <t>년도별 지역별 대출액의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최대값</t>
    </r>
    <phoneticPr fontId="3" type="noConversion"/>
  </si>
  <si>
    <t>지역</t>
    <phoneticPr fontId="3" type="noConversion"/>
  </si>
  <si>
    <t>대출액평균</t>
    <phoneticPr fontId="3" type="noConversion"/>
  </si>
  <si>
    <t>대출년도</t>
    <phoneticPr fontId="3" type="noConversion"/>
  </si>
  <si>
    <t>충청</t>
    <phoneticPr fontId="3" type="noConversion"/>
  </si>
  <si>
    <t>경기</t>
    <phoneticPr fontId="3" type="noConversion"/>
  </si>
  <si>
    <t>부산</t>
    <phoneticPr fontId="3" type="noConversion"/>
  </si>
  <si>
    <t>서울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</si>
  <si>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</t>
    </r>
    <r>
      <rPr>
        <sz val="11"/>
        <rFont val="맑은 고딕"/>
        <family val="3"/>
        <charset val="129"/>
        <scheme val="minor"/>
      </rPr>
      <t>]</t>
    </r>
    <phoneticPr fontId="3" type="noConversion"/>
  </si>
  <si>
    <t>(단위 : 만원, 기간 : 월)</t>
    <phoneticPr fontId="3" type="noConversion"/>
  </si>
  <si>
    <t>고객등급</t>
    <phoneticPr fontId="3" type="noConversion"/>
  </si>
  <si>
    <t>대출액</t>
    <phoneticPr fontId="3" type="noConversion"/>
  </si>
  <si>
    <t>지급수수료</t>
    <phoneticPr fontId="3" type="noConversion"/>
  </si>
  <si>
    <t>연이자</t>
    <phoneticPr fontId="3" type="noConversion"/>
  </si>
  <si>
    <t>C04-08</t>
    <phoneticPr fontId="3" type="noConversion"/>
  </si>
  <si>
    <t>우수</t>
    <phoneticPr fontId="3" type="noConversion"/>
  </si>
  <si>
    <t>무보증신용</t>
    <phoneticPr fontId="3" type="noConversion"/>
  </si>
  <si>
    <t>S01-23</t>
    <phoneticPr fontId="3" type="noConversion"/>
  </si>
  <si>
    <t>최우수</t>
    <phoneticPr fontId="3" type="noConversion"/>
  </si>
  <si>
    <t>K02-26</t>
    <phoneticPr fontId="3" type="noConversion"/>
  </si>
  <si>
    <t>일반</t>
    <phoneticPr fontId="3" type="noConversion"/>
  </si>
  <si>
    <t>예부적금담보</t>
    <phoneticPr fontId="3" type="noConversion"/>
  </si>
  <si>
    <t>S01-27</t>
    <phoneticPr fontId="3" type="noConversion"/>
  </si>
  <si>
    <t>P03-37</t>
    <phoneticPr fontId="3" type="noConversion"/>
  </si>
  <si>
    <t>K02-59</t>
  </si>
  <si>
    <t>국민주택기금</t>
    <phoneticPr fontId="3" type="noConversion"/>
  </si>
  <si>
    <t>P03-08</t>
    <phoneticPr fontId="3" type="noConversion"/>
  </si>
  <si>
    <t>S01-07</t>
    <phoneticPr fontId="3" type="noConversion"/>
  </si>
  <si>
    <t>예부적금담보</t>
    <phoneticPr fontId="3" type="noConversion"/>
  </si>
  <si>
    <t>C04-02</t>
    <phoneticPr fontId="3" type="noConversion"/>
  </si>
  <si>
    <t>P03-26</t>
    <phoneticPr fontId="3" type="noConversion"/>
  </si>
  <si>
    <t>주택자금</t>
    <phoneticPr fontId="3" type="noConversion"/>
  </si>
  <si>
    <t>P03-05</t>
    <phoneticPr fontId="3" type="noConversion"/>
  </si>
  <si>
    <t>S01-37</t>
    <phoneticPr fontId="3" type="noConversion"/>
  </si>
  <si>
    <t>S01-02</t>
    <phoneticPr fontId="3" type="noConversion"/>
  </si>
  <si>
    <t>C04-48</t>
    <phoneticPr fontId="3" type="noConversion"/>
  </si>
  <si>
    <t>K02-67</t>
    <phoneticPr fontId="3" type="noConversion"/>
  </si>
  <si>
    <t>K02-38</t>
    <phoneticPr fontId="3" type="noConversion"/>
  </si>
  <si>
    <t>S01-38</t>
    <phoneticPr fontId="3" type="noConversion"/>
  </si>
  <si>
    <t>K02-01</t>
    <phoneticPr fontId="3" type="noConversion"/>
  </si>
  <si>
    <t>S01-64</t>
    <phoneticPr fontId="3" type="noConversion"/>
  </si>
  <si>
    <t>무보증신용</t>
    <phoneticPr fontId="3" type="noConversion"/>
  </si>
  <si>
    <t>C04-15</t>
    <phoneticPr fontId="3" type="noConversion"/>
  </si>
  <si>
    <t>K02-28</t>
  </si>
  <si>
    <t>C04-26</t>
    <phoneticPr fontId="3" type="noConversion"/>
  </si>
  <si>
    <t>P03-52</t>
    <phoneticPr fontId="3" type="noConversion"/>
  </si>
  <si>
    <t>C04-31</t>
    <phoneticPr fontId="3" type="noConversion"/>
  </si>
  <si>
    <t>K02-06</t>
    <phoneticPr fontId="3" type="noConversion"/>
  </si>
  <si>
    <t>C04-35</t>
    <phoneticPr fontId="3" type="noConversion"/>
  </si>
  <si>
    <t>국민주택기금</t>
    <phoneticPr fontId="3" type="noConversion"/>
  </si>
  <si>
    <t>S01-42</t>
    <phoneticPr fontId="3" type="noConversion"/>
  </si>
  <si>
    <t>인천</t>
    <phoneticPr fontId="3" type="noConversion"/>
  </si>
  <si>
    <t>대출종류</t>
    <phoneticPr fontId="3" type="noConversion"/>
  </si>
  <si>
    <t>대출번호</t>
    <phoneticPr fontId="3" type="noConversion"/>
  </si>
  <si>
    <t>성명</t>
    <phoneticPr fontId="3" type="noConversion"/>
  </si>
  <si>
    <t>대출일</t>
    <phoneticPr fontId="3" type="noConversion"/>
  </si>
  <si>
    <t>대출금액</t>
    <phoneticPr fontId="3" type="noConversion"/>
  </si>
  <si>
    <t>기간</t>
    <phoneticPr fontId="3" type="noConversion"/>
  </si>
  <si>
    <t>K03-52</t>
  </si>
  <si>
    <t>구선재</t>
    <phoneticPr fontId="1" type="noConversion"/>
  </si>
  <si>
    <t>J01-42</t>
  </si>
  <si>
    <t>성철수</t>
  </si>
  <si>
    <t>M01-64</t>
  </si>
  <si>
    <t>이영진</t>
  </si>
  <si>
    <t>M02-12</t>
  </si>
  <si>
    <t>이진태</t>
  </si>
  <si>
    <t>임현석</t>
  </si>
  <si>
    <t>K01-38</t>
  </si>
  <si>
    <t>정대식</t>
  </si>
  <si>
    <t>[대출 종류별 대출실적]</t>
    <phoneticPr fontId="3" type="noConversion"/>
  </si>
  <si>
    <t>(단위:천원)</t>
    <phoneticPr fontId="3" type="noConversion"/>
  </si>
  <si>
    <t>대출 종류</t>
    <phoneticPr fontId="3" type="noConversion"/>
  </si>
  <si>
    <t>평균</t>
    <phoneticPr fontId="3" type="noConversion"/>
  </si>
  <si>
    <t>주택자금대출</t>
    <phoneticPr fontId="3" type="noConversion"/>
  </si>
  <si>
    <t>신용대출</t>
    <phoneticPr fontId="3" type="noConversion"/>
  </si>
  <si>
    <t>예금담보대출</t>
    <phoneticPr fontId="3" type="noConversion"/>
  </si>
  <si>
    <t>대출번호</t>
    <phoneticPr fontId="3" type="noConversion"/>
  </si>
  <si>
    <t>대출종류</t>
    <phoneticPr fontId="3" type="noConversion"/>
  </si>
  <si>
    <t>대출금액</t>
    <phoneticPr fontId="3" type="noConversion"/>
  </si>
  <si>
    <t>대출지점</t>
    <phoneticPr fontId="3" type="noConversion"/>
  </si>
  <si>
    <t>A-101</t>
    <phoneticPr fontId="3" type="noConversion"/>
  </si>
  <si>
    <t>신용대출</t>
    <phoneticPr fontId="3" type="noConversion"/>
  </si>
  <si>
    <t>B-102</t>
    <phoneticPr fontId="3" type="noConversion"/>
  </si>
  <si>
    <t>담보대출</t>
    <phoneticPr fontId="3" type="noConversion"/>
  </si>
  <si>
    <t>A-105</t>
    <phoneticPr fontId="3" type="noConversion"/>
  </si>
  <si>
    <t>주택대출</t>
    <phoneticPr fontId="3" type="noConversion"/>
  </si>
  <si>
    <t>A-110</t>
    <phoneticPr fontId="3" type="noConversion"/>
  </si>
  <si>
    <t>신용대출</t>
    <phoneticPr fontId="3" type="noConversion"/>
  </si>
  <si>
    <t>C-120</t>
    <phoneticPr fontId="3" type="noConversion"/>
  </si>
  <si>
    <t>담보대출</t>
    <phoneticPr fontId="3" type="noConversion"/>
  </si>
  <si>
    <t>전남</t>
    <phoneticPr fontId="3" type="noConversion"/>
  </si>
  <si>
    <t>C-140</t>
    <phoneticPr fontId="3" type="noConversion"/>
  </si>
  <si>
    <t>주택대출</t>
    <phoneticPr fontId="3" type="noConversion"/>
  </si>
  <si>
    <t>제주</t>
    <phoneticPr fontId="3" type="noConversion"/>
  </si>
  <si>
    <t>C-150</t>
    <phoneticPr fontId="3" type="noConversion"/>
  </si>
  <si>
    <t>신용대출</t>
    <phoneticPr fontId="3" type="noConversion"/>
  </si>
  <si>
    <t>부산</t>
    <phoneticPr fontId="3" type="noConversion"/>
  </si>
  <si>
    <t>D-200</t>
    <phoneticPr fontId="3" type="noConversion"/>
  </si>
  <si>
    <t>D-210</t>
    <phoneticPr fontId="3" type="noConversion"/>
  </si>
  <si>
    <t>강원</t>
    <phoneticPr fontId="3" type="noConversion"/>
  </si>
  <si>
    <t>D-220</t>
    <phoneticPr fontId="3" type="noConversion"/>
  </si>
  <si>
    <t>충남</t>
    <phoneticPr fontId="3" type="noConversion"/>
  </si>
  <si>
    <t>E-300</t>
    <phoneticPr fontId="3" type="noConversion"/>
  </si>
  <si>
    <t>경북</t>
    <phoneticPr fontId="3" type="noConversion"/>
  </si>
  <si>
    <t>E-310</t>
    <phoneticPr fontId="3" type="noConversion"/>
  </si>
  <si>
    <t>경남</t>
    <phoneticPr fontId="3" type="noConversion"/>
  </si>
  <si>
    <t>E-320</t>
    <phoneticPr fontId="3" type="noConversion"/>
  </si>
  <si>
    <t>경기</t>
    <phoneticPr fontId="3" type="noConversion"/>
  </si>
  <si>
    <t>고객등급</t>
    <phoneticPr fontId="1" type="noConversion"/>
  </si>
  <si>
    <t>최우수</t>
    <phoneticPr fontId="1" type="noConversion"/>
  </si>
  <si>
    <t>제품코드</t>
  </si>
  <si>
    <t>TV</t>
  </si>
  <si>
    <t>김치냉장고</t>
  </si>
  <si>
    <t>디지털카메라</t>
  </si>
  <si>
    <t>광주</t>
  </si>
  <si>
    <t>대전</t>
  </si>
  <si>
    <t>인천</t>
  </si>
  <si>
    <t>제품명</t>
  </si>
  <si>
    <t>지점</t>
  </si>
  <si>
    <t>값</t>
  </si>
  <si>
    <t>*</t>
  </si>
  <si>
    <t>국민주택기금대출 평균</t>
  </si>
  <si>
    <t>무보증신용대출 평균</t>
  </si>
  <si>
    <t>예부적금담보대출 평균</t>
  </si>
  <si>
    <t>주택자금대출 평균</t>
  </si>
  <si>
    <t>전체 평균</t>
  </si>
  <si>
    <t>국민주택기금대출 개수</t>
  </si>
  <si>
    <t>무보증신용대출 개수</t>
  </si>
  <si>
    <t>예부적금담보대출 개수</t>
  </si>
  <si>
    <t>주택자금대출 개수</t>
  </si>
  <si>
    <t>전체 개수</t>
  </si>
  <si>
    <t>대출조회</t>
    <phoneticPr fontId="1" type="noConversion"/>
  </si>
  <si>
    <t>[표1]</t>
    <phoneticPr fontId="1" type="noConversion"/>
  </si>
  <si>
    <t>조건</t>
    <phoneticPr fontId="1" type="noConversion"/>
  </si>
  <si>
    <t>All</t>
  </si>
  <si>
    <t>평균: 생산원가</t>
  </si>
  <si>
    <t>평균: 판매금액</t>
  </si>
  <si>
    <t>평균: 이익금</t>
  </si>
  <si>
    <t>2023년</t>
  </si>
  <si>
    <t>2024년</t>
  </si>
  <si>
    <t>2025년</t>
    <phoneticPr fontId="1" type="noConversion"/>
  </si>
  <si>
    <t>2026년</t>
    <phoneticPr fontId="1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</si>
  <si>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 xml:space="preserve">2] 고객등급별 </t>
    </r>
    <r>
      <rPr>
        <sz val="11"/>
        <rFont val="맑은 고딕"/>
        <family val="3"/>
        <charset val="129"/>
        <scheme val="minor"/>
      </rPr>
      <t>수수료</t>
    </r>
    <phoneticPr fontId="3" type="noConversion"/>
  </si>
  <si>
    <t>C지역</t>
    <phoneticPr fontId="3" type="noConversion"/>
  </si>
  <si>
    <t>K지역</t>
    <phoneticPr fontId="3" type="noConversion"/>
  </si>
  <si>
    <t>P지역</t>
    <phoneticPr fontId="3" type="noConversion"/>
  </si>
  <si>
    <t>S지역</t>
    <phoneticPr fontId="3" type="noConversion"/>
  </si>
  <si>
    <t>우수</t>
    <phoneticPr fontId="1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</si>
  <si>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최</t>
    </r>
    <r>
      <rPr>
        <sz val="11"/>
        <rFont val="맑은 고딕"/>
        <family val="3"/>
        <charset val="129"/>
        <scheme val="minor"/>
      </rPr>
      <t>우수 또는 우수 고객</t>
    </r>
    <r>
      <rPr>
        <sz val="11"/>
        <color theme="1"/>
        <rFont val="맑은 고딕"/>
        <family val="3"/>
        <charset val="129"/>
        <scheme val="minor"/>
      </rPr>
      <t xml:space="preserve"> 대출액의 평균</t>
    </r>
    <phoneticPr fontId="3" type="noConversion"/>
  </si>
  <si>
    <t>일반</t>
    <phoneticPr fontId="1" type="noConversion"/>
  </si>
  <si>
    <t>C</t>
    <phoneticPr fontId="1" type="noConversion"/>
  </si>
  <si>
    <t>K</t>
    <phoneticPr fontId="1" type="noConversion"/>
  </si>
  <si>
    <t>P</t>
    <phoneticPr fontId="1" type="noConversion"/>
  </si>
  <si>
    <t>S</t>
    <phoneticPr fontId="1" type="noConversion"/>
  </si>
  <si>
    <t>지역</t>
    <phoneticPr fontId="1" type="noConversion"/>
  </si>
  <si>
    <t>고객등급별 지역별 대출현황</t>
    <phoneticPr fontId="1" type="noConversion"/>
  </si>
  <si>
    <t>학과별 인증 점수 취득 총점</t>
    <phoneticPr fontId="1" type="noConversion"/>
  </si>
  <si>
    <t>학과</t>
    <phoneticPr fontId="1" type="noConversion"/>
  </si>
  <si>
    <t>정보인증</t>
    <phoneticPr fontId="1" type="noConversion"/>
  </si>
  <si>
    <t>국제인증</t>
    <phoneticPr fontId="1" type="noConversion"/>
  </si>
  <si>
    <t>전공인증</t>
    <phoneticPr fontId="1" type="noConversion"/>
  </si>
  <si>
    <t>컴퓨터정보과</t>
    <phoneticPr fontId="1" type="noConversion"/>
  </si>
  <si>
    <t>유아교육과</t>
    <phoneticPr fontId="1" type="noConversion"/>
  </si>
  <si>
    <t>컴퓨터게임과</t>
    <phoneticPr fontId="1" type="noConversion"/>
  </si>
  <si>
    <t>특수교육과</t>
    <phoneticPr fontId="1" type="noConversion"/>
  </si>
  <si>
    <t>[표1] 1학기</t>
    <phoneticPr fontId="1" type="noConversion"/>
  </si>
  <si>
    <t>[표2] 2학기</t>
    <phoneticPr fontId="1" type="noConversion"/>
  </si>
  <si>
    <t>[표3] 평균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</si>
</sst>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yyyy&quot;년&quot;\ m&quot;월&quot;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0070C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34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/>
    <xf numFmtId="0" fontId="13" fillId="0" borderId="0">
      <alignment vertical="center"/>
    </xf>
  </cellStyleXfs>
  <cellXfs count="66">
    <xf numFmtId="0" fontId="0" fillId="0" borderId="0" xfId="0">
      <alignment vertical="center"/>
    </xf>
    <xf numFmtId="0" fontId="5" fillId="0" borderId="2" xfId="2" applyFont="1" applyFill="1" applyBorder="1" applyAlignment="1">
      <alignment horizontal="left" vertical="center" wrapText="1"/>
    </xf>
    <xf numFmtId="55" fontId="5" fillId="0" borderId="2" xfId="2" applyNumberFormat="1" applyFont="1" applyFill="1" applyBorder="1" applyAlignment="1">
      <alignment horizontal="right" vertical="center" wrapText="1"/>
    </xf>
    <xf numFmtId="0" fontId="5" fillId="0" borderId="2" xfId="2" applyFont="1" applyFill="1" applyBorder="1" applyAlignment="1">
      <alignment horizontal="right" vertical="center" wrapText="1"/>
    </xf>
    <xf numFmtId="0" fontId="5" fillId="2" borderId="1" xfId="2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3" xfId="0" applyFont="1" applyFill="1" applyBorder="1" applyAlignment="1">
      <alignment horizontal="center" vertical="center"/>
    </xf>
    <xf numFmtId="176" fontId="6" fillId="0" borderId="3" xfId="0" applyNumberFormat="1" applyFont="1" applyBorder="1" applyAlignment="1">
      <alignment vertical="center"/>
    </xf>
    <xf numFmtId="0" fontId="6" fillId="0" borderId="0" xfId="0" applyFont="1" applyBorder="1" applyAlignment="1">
      <alignment horizontal="right" vertical="center"/>
    </xf>
    <xf numFmtId="0" fontId="8" fillId="0" borderId="3" xfId="0" applyFont="1" applyFill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41" fontId="6" fillId="0" borderId="3" xfId="1" applyFont="1" applyBorder="1" applyAlignment="1">
      <alignment horizontal="right" vertical="center"/>
    </xf>
    <xf numFmtId="0" fontId="8" fillId="2" borderId="3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41" fontId="7" fillId="0" borderId="0" xfId="1" applyFont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7" fillId="0" borderId="5" xfId="0" applyFont="1" applyBorder="1" applyAlignment="1">
      <alignment horizontal="center" vertical="center"/>
    </xf>
    <xf numFmtId="14" fontId="7" fillId="0" borderId="5" xfId="0" applyNumberFormat="1" applyFont="1" applyBorder="1" applyAlignment="1">
      <alignment horizontal="center" vertical="center"/>
    </xf>
    <xf numFmtId="41" fontId="7" fillId="0" borderId="5" xfId="1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3" fontId="7" fillId="0" borderId="3" xfId="0" applyNumberFormat="1" applyFont="1" applyBorder="1" applyAlignment="1">
      <alignment horizontal="center" vertical="center"/>
    </xf>
    <xf numFmtId="41" fontId="6" fillId="0" borderId="3" xfId="1" applyFont="1" applyBorder="1" applyAlignment="1">
      <alignment vertical="center"/>
    </xf>
    <xf numFmtId="0" fontId="8" fillId="4" borderId="3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5" fillId="0" borderId="3" xfId="2" applyFont="1" applyFill="1" applyBorder="1" applyAlignment="1">
      <alignment horizontal="left" vertical="center" wrapText="1"/>
    </xf>
    <xf numFmtId="177" fontId="6" fillId="0" borderId="3" xfId="0" applyNumberFormat="1" applyFont="1" applyBorder="1" applyAlignment="1">
      <alignment vertical="center"/>
    </xf>
    <xf numFmtId="3" fontId="6" fillId="0" borderId="3" xfId="0" applyNumberFormat="1" applyFont="1" applyBorder="1" applyAlignment="1">
      <alignment vertical="center"/>
    </xf>
    <xf numFmtId="0" fontId="5" fillId="0" borderId="0" xfId="2" applyFont="1" applyFill="1" applyBorder="1" applyAlignment="1">
      <alignment horizontal="left" vertical="center" wrapText="1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14" fontId="7" fillId="0" borderId="0" xfId="0" applyNumberFormat="1" applyFont="1" applyBorder="1" applyAlignment="1">
      <alignment horizontal="center" vertical="center"/>
    </xf>
    <xf numFmtId="41" fontId="7" fillId="0" borderId="0" xfId="1" applyFont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0" fontId="0" fillId="0" borderId="3" xfId="0" applyBorder="1">
      <alignment vertical="center"/>
    </xf>
    <xf numFmtId="14" fontId="6" fillId="0" borderId="3" xfId="0" applyNumberFormat="1" applyFont="1" applyBorder="1" applyAlignment="1">
      <alignment horizontal="center" vertical="center"/>
    </xf>
    <xf numFmtId="0" fontId="6" fillId="0" borderId="0" xfId="3" applyFont="1">
      <alignment vertical="center"/>
    </xf>
    <xf numFmtId="41" fontId="6" fillId="0" borderId="0" xfId="1" applyFont="1">
      <alignment vertical="center"/>
    </xf>
    <xf numFmtId="0" fontId="6" fillId="0" borderId="0" xfId="3" applyFont="1" applyAlignment="1">
      <alignment horizontal="right" vertical="center"/>
    </xf>
    <xf numFmtId="41" fontId="0" fillId="0" borderId="0" xfId="1" applyFont="1">
      <alignment vertical="center"/>
    </xf>
    <xf numFmtId="0" fontId="11" fillId="0" borderId="3" xfId="0" applyFont="1" applyBorder="1" applyAlignment="1">
      <alignment horizontal="center" vertical="center"/>
    </xf>
    <xf numFmtId="41" fontId="11" fillId="0" borderId="3" xfId="1" applyFont="1" applyBorder="1" applyAlignment="1">
      <alignment horizontal="center" vertical="center"/>
    </xf>
    <xf numFmtId="41" fontId="0" fillId="0" borderId="3" xfId="1" applyFont="1" applyBorder="1">
      <alignment vertical="center"/>
    </xf>
    <xf numFmtId="41" fontId="0" fillId="0" borderId="3" xfId="1" applyNumberFormat="1" applyFont="1" applyBorder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0" borderId="0" xfId="3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3179E276-C6B9-4305-92C9-C277BADA2123}"/>
    <cellStyle name="표준_Sheet1" xfId="2" xr:uid="{00000000-0005-0000-0000-000002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대출종류별 실적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'기타작업-1'!$B$5</c:f>
              <c:strCache>
                <c:ptCount val="1"/>
                <c:pt idx="0">
                  <c:v>주택자금대출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125-40DB-B5D7-EDDCDE5002F2}"/>
                </c:ext>
              </c:extLst>
            </c:dLbl>
            <c:dLbl>
              <c:idx val="3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25-40DB-B5D7-EDDCDE5002F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'기타작업-1'!$C$5:$F$5</c:f>
              <c:numCache>
                <c:formatCode>_(* #,##0_);_(* \(#,##0\);_(* "-"_);_(@_)</c:formatCode>
                <c:ptCount val="4"/>
                <c:pt idx="0" formatCode="#,##0">
                  <c:v>15000</c:v>
                </c:pt>
                <c:pt idx="1">
                  <c:v>12000</c:v>
                </c:pt>
                <c:pt idx="2">
                  <c:v>21000</c:v>
                </c:pt>
                <c:pt idx="3">
                  <c:v>29000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25-40DB-B5D7-EDDCDE5002F2}"/>
            </c:ext>
          </c:extLst>
        </c:ser>
        <c:ser>
          <c:idx val="1"/>
          <c:order val="1"/>
          <c:tx>
            <c:strRef>
              <c:f>'기타작업-1'!$B$6</c:f>
              <c:strCache>
                <c:ptCount val="1"/>
                <c:pt idx="0">
                  <c:v>신용대출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'기타작업-1'!$C$6:$F$6</c:f>
              <c:numCache>
                <c:formatCode>_(* #,##0_);_(* \(#,##0\);_(* "-"_);_(@_)</c:formatCode>
                <c:ptCount val="4"/>
                <c:pt idx="0" formatCode="#,##0">
                  <c:v>16500</c:v>
                </c:pt>
                <c:pt idx="1">
                  <c:v>17000</c:v>
                </c:pt>
                <c:pt idx="2">
                  <c:v>13000</c:v>
                </c:pt>
                <c:pt idx="3">
                  <c:v>26000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5-40DB-B5D7-EDDCDE5002F2}"/>
            </c:ext>
          </c:extLst>
        </c:ser>
        <c:ser>
          <c:idx val="2"/>
          <c:order val="2"/>
          <c:tx>
            <c:strRef>
              <c:f>'기타작업-1'!$B$7</c:f>
              <c:strCache>
                <c:ptCount val="1"/>
                <c:pt idx="0">
                  <c:v>예금담보대출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'기타작업-1'!$C$4:$F$4</c:f>
              <c:strCache>
                <c:ptCount val="4"/>
                <c:pt idx="0">
                  <c:v>2023년</c:v>
                </c:pt>
                <c:pt idx="1">
                  <c:v>2024년</c:v>
                </c:pt>
                <c:pt idx="2">
                  <c:v>2025년</c:v>
                </c:pt>
                <c:pt idx="3">
                  <c:v>2026년</c:v>
                </c:pt>
              </c:strCache>
            </c:strRef>
          </c:cat>
          <c:val>
            <c:numRef>
              <c:f>'기타작업-1'!$C$7:$F$7</c:f>
              <c:numCache>
                <c:formatCode>_(* #,##0_);_(* \(#,##0\);_(* "-"_);_(@_)</c:formatCode>
                <c:ptCount val="4"/>
                <c:pt idx="0" formatCode="#,##0">
                  <c:v>13500</c:v>
                </c:pt>
                <c:pt idx="1">
                  <c:v>12500</c:v>
                </c:pt>
                <c:pt idx="2">
                  <c:v>14000</c:v>
                </c:pt>
                <c:pt idx="3">
                  <c:v>22000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25-40DB-B5D7-EDDCDE500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85697184"/>
        <c:axId val="1785699264"/>
      </c:barChart>
      <c:catAx>
        <c:axId val="1785697184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85699264"/>
        <c:crosses val="autoZero"/>
        <c:auto val="1"/>
        <c:lblAlgn val="ctr"/>
        <c:lblOffset val="100"/>
        <c:noMultiLvlLbl val="0"/>
      </c:catAx>
      <c:valAx>
        <c:axId val="178569926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85697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대출종류별 통계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부분합해제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</xdr:row>
          <xdr:rowOff>0</xdr:rowOff>
        </xdr:from>
        <xdr:to>
          <xdr:col>8</xdr:col>
          <xdr:colOff>219075</xdr:colOff>
          <xdr:row>2</xdr:row>
          <xdr:rowOff>142875</xdr:rowOff>
        </xdr:to>
        <xdr:sp macro="" textlink="">
          <xdr:nvSpPr>
            <xdr:cNvPr id="7169" name="대출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092.679667245371" backgroundQuery="1" createdVersion="6" refreshedVersion="6" minRefreshableVersion="3" recordCount="0" supportSubquery="1" supportAdvancedDrill="1" xr:uid="{00000000-000A-0000-FFFF-FFFF00000000}">
  <cacheSource type="external" connectionId="2"/>
  <cacheFields count="6">
    <cacheField name="[판매].[제품코드].[제품코드]" caption="제품코드" numFmtId="0" level="1">
      <sharedItems containsSemiMixedTypes="0" containsNonDate="0" containsString="0"/>
    </cacheField>
    <cacheField name="[판매].[지점].[지점]" caption="지점" numFmtId="0" hierarchy="1" level="1">
      <sharedItems count="5">
        <s v="광주"/>
        <s v="대전"/>
        <s v="부산"/>
        <s v="서울"/>
        <s v="인천"/>
      </sharedItems>
    </cacheField>
    <cacheField name="[판매].[제품명].[제품명]" caption="제품명" numFmtId="0" hierarchy="2" level="1">
      <sharedItems count="3">
        <s v="TV"/>
        <s v="김치냉장고"/>
        <s v="디지털카메라"/>
      </sharedItems>
    </cacheField>
    <cacheField name="[Measures].[평균: 생산원가]" caption="평균: 생산원가" numFmtId="0" hierarchy="11" level="32767"/>
    <cacheField name="[Measures].[평균: 판매금액]" caption="평균: 판매금액" numFmtId="0" hierarchy="12" level="32767"/>
    <cacheField name="[Measures].[평균: 이익금]" caption="평균: 이익금" numFmtId="0" hierarchy="13" level="32767"/>
  </cacheFields>
  <cacheHierarchies count="14">
    <cacheHierarchy uniqueName="[판매].[제품코드]" caption="제품코드" attribute="1" defaultMemberUniqueName="[판매].[제품코드].[All]" allUniqueName="[판매].[제품코드].[All]" dimensionUniqueName="[판매]" displayFolder="" count="2" memberValueDatatype="130" unbalanced="0">
      <fieldsUsage count="2">
        <fieldUsage x="-1"/>
        <fieldUsage x="0"/>
      </fieldsUsage>
    </cacheHierarchy>
    <cacheHierarchy uniqueName="[판매].[지점]" caption="지점" attribute="1" defaultMemberUniqueName="[판매].[지점].[All]" allUniqueName="[판매].[지점].[All]" dimensionUniqueName="[판매]" displayFolder="" count="2" memberValueDatatype="130" unbalanced="0">
      <fieldsUsage count="2">
        <fieldUsage x="-1"/>
        <fieldUsage x="1"/>
      </fieldsUsage>
    </cacheHierarchy>
    <cacheHierarchy uniqueName="[판매].[제품명]" caption="제품명" attribute="1" defaultMemberUniqueName="[판매].[제품명].[All]" allUniqueName="[판매].[제품명].[All]" dimensionUniqueName="[판매]" displayFolder="" count="2" memberValueDatatype="130" unbalanced="0">
      <fieldsUsage count="2">
        <fieldUsage x="-1"/>
        <fieldUsage x="2"/>
      </fieldsUsage>
    </cacheHierarchy>
    <cacheHierarchy uniqueName="[판매].[생산원가]" caption="생산원가" attribute="1" defaultMemberUniqueName="[판매].[생산원가].[All]" allUniqueName="[판매].[생산원가].[All]" dimensionUniqueName="[판매]" displayFolder="" count="0" memberValueDatatype="20" unbalanced="0"/>
    <cacheHierarchy uniqueName="[판매].[판매금액]" caption="판매금액" attribute="1" defaultMemberUniqueName="[판매].[판매금액].[All]" allUniqueName="[판매].[판매금액].[All]" dimensionUniqueName="[판매]" displayFolder="" count="0" memberValueDatatype="20" unbalanced="0"/>
    <cacheHierarchy uniqueName="[판매].[이익금]" caption="이익금" attribute="1" defaultMemberUniqueName="[판매].[이익금].[All]" allUniqueName="[판매].[이익금].[All]" dimensionUniqueName="[판매]" displayFolder="" count="0" memberValueDatatype="20" unbalanced="0"/>
    <cacheHierarchy uniqueName="[Measures].[__XL_Count 판매]" caption="__XL_Count 판매" measure="1" displayFolder="" measureGroup="판매" count="0" hidden="1"/>
    <cacheHierarchy uniqueName="[Measures].[__No measures defined]" caption="__No measures defined" measure="1" displayFolder="" count="0" hidden="1"/>
    <cacheHierarchy uniqueName="[Measures].[합계: 생산원가]" caption="합계: 생산원가" measure="1" displayFolder="" measureGroup="판매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합계: 판매금액]" caption="합계: 판매금액" measure="1" displayFolder="" measureGroup="판매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합계: 이익금]" caption="합계: 이익금" measure="1" displayFolder="" measureGroup="판매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평균: 생산원가]" caption="평균: 생산원가" measure="1" displayFolder="" measureGroup="판매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평균: 판매금액]" caption="평균: 판매금액" measure="1" displayFolder="" measureGroup="판매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이익금]" caption="평균: 이익금" measure="1" displayFolder="" measureGroup="판매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2">
    <dimension measure="1" name="Measures" uniqueName="[Measures]" caption="Measures"/>
    <dimension name="판매" uniqueName="[판매]" caption="판매"/>
  </dimensions>
  <measureGroups count="1">
    <measureGroup name="판매" caption="판매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dataOnRows="1" applyNumberFormats="0" applyBorderFormats="0" applyFontFormats="0" applyPatternFormats="0" applyAlignmentFormats="0" applyWidthHeightFormats="1" dataCaption="값" missingCaption="*" updatedVersion="6" minRefreshableVersion="3" useAutoFormatting="1" subtotalHiddenItems="1" rowGrandTotals="0" colGrandTotals="0" itemPrintTitles="1" mergeItem="1" createdVersion="6" indent="0" compact="0" compactData="0" multipleFieldFilters="0">
  <location ref="A4:E20" firstHeaderRow="1" firstDataRow="2" firstDataCol="2" rowPageCount="1" colPageCount="1"/>
  <pivotFields count="6">
    <pivotField axis="axisPage" compact="0" allDrilled="1" outline="0" showAll="0" dataSourceSort="1" defaultAttributeDrillState="1">
      <items count="1">
        <item t="default"/>
      </items>
    </pivotField>
    <pivotField axis="axisRow" compact="0" allDrilled="1" outline="0" showAll="0" defaultAttributeDrillState="1">
      <items count="6">
        <item x="0"/>
        <item x="3"/>
        <item x="1"/>
        <item x="2"/>
        <item x="4"/>
        <item t="default"/>
      </items>
    </pivotField>
    <pivotField axis="axisCol" compact="0" allDrilled="1" outline="0" showAll="0" dataSourceSort="1" defaultAttributeDrillState="1">
      <items count="4">
        <item x="0"/>
        <item x="1"/>
        <item x="2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2">
    <field x="1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2"/>
  </colFields>
  <colItems count="3">
    <i>
      <x/>
    </i>
    <i>
      <x v="1"/>
    </i>
    <i>
      <x v="2"/>
    </i>
  </colItems>
  <pageFields count="1">
    <pageField fld="0" hier="0" name="[판매].[제품코드].[All]" cap="All"/>
  </pageFields>
  <dataFields count="3">
    <dataField name="평균: 생산원가" fld="3" subtotal="average" baseField="1" baseItem="0" numFmtId="176"/>
    <dataField name="평균: 판매금액" fld="4" subtotal="average" baseField="1" baseItem="0" numFmtId="176"/>
    <dataField name="평균: 이익금" fld="5" subtotal="average" baseField="1" baseItem="0" numFmtId="176"/>
  </dataField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 caption="평균: 생산원가"/>
    <pivotHierarchy dragToData="1" caption="평균: 판매금액"/>
    <pivotHierarchy dragToData="1" caption="평균: 이익금"/>
  </pivotHierarchies>
  <pivotTableStyleInfo name="PivotStyleLight16" showRowHeaders="1" showColHeaders="1" showRowStripes="0" showColStripes="0" showLastColumn="1"/>
  <rowHierarchiesUsage count="2">
    <rowHierarchyUsage hierarchyUsage="1"/>
    <rowHierarchyUsage hierarchyUsage="-2"/>
  </rowHierarchiesUsage>
  <colHierarchiesUsage count="1">
    <colHierarchyUsage hierarchyUsage="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판매">
        <x15:activeTabTopLevelEntity name="[판매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S Access Database_Query_4" connectionId="3" xr16:uid="{00000000-0016-0000-0200-000000000000}" autoFormatId="16" applyNumberFormats="0" applyBorderFormats="0" applyFontFormats="1" applyPatternFormats="1" applyAlignmentFormats="0" applyWidthHeightFormats="0">
  <queryTableRefresh nextId="14" unboundColumnsRight="2">
    <queryTableFields count="8">
      <queryTableField id="1" name="대출번호"/>
      <queryTableField id="5" name="대출지점"/>
      <queryTableField id="6" name="대출일"/>
      <queryTableField id="7" name="대출종류"/>
      <queryTableField id="8" name="대출금액"/>
      <queryTableField id="9" name="기간"/>
      <queryTableField id="11" dataBound="0"/>
      <queryTableField id="10" dataBound="0"/>
    </queryTableFields>
    <queryTableDeletedFields count="3">
      <deletedField name="주민등록번호"/>
      <deletedField name="주소"/>
      <deletedField name="성명"/>
    </queryTableDeleted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32"/>
  <sheetViews>
    <sheetView tabSelected="1" workbookViewId="0"/>
  </sheetViews>
  <sheetFormatPr defaultRowHeight="16.5"/>
  <cols>
    <col min="1" max="1" width="15.75" customWidth="1"/>
    <col min="2" max="2" width="12.125" customWidth="1"/>
    <col min="3" max="3" width="15.375" bestFit="1" customWidth="1"/>
    <col min="4" max="4" width="21.625" bestFit="1" customWidth="1"/>
    <col min="5" max="5" width="9.125" bestFit="1" customWidth="1"/>
    <col min="6" max="6" width="10.75" bestFit="1" customWidth="1"/>
    <col min="7" max="7" width="16.25" bestFit="1" customWidth="1"/>
    <col min="8" max="8" width="9.125" bestFit="1" customWidth="1"/>
    <col min="9" max="9" width="4.87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44762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45794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45885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45890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45373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45430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45467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45521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45574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45644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44946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45047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45072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45089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45171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45223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45263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45275</v>
      </c>
      <c r="G19" s="1" t="s">
        <v>20</v>
      </c>
      <c r="H19" s="3">
        <v>5000000</v>
      </c>
      <c r="I19" s="3">
        <v>18</v>
      </c>
    </row>
    <row r="21" spans="1:9">
      <c r="A21" s="36" t="s">
        <v>227</v>
      </c>
    </row>
    <row r="22" spans="1:9">
      <c r="A22" t="b">
        <f>AND(I2&lt;=30,OR(YEAR(F2)=2023,YEAR(F2)=2025))</f>
        <v>0</v>
      </c>
    </row>
    <row r="26" spans="1:9">
      <c r="A26" s="4" t="s">
        <v>0</v>
      </c>
      <c r="B26" s="4" t="s">
        <v>1</v>
      </c>
      <c r="C26" s="4" t="s">
        <v>2</v>
      </c>
      <c r="D26" s="4" t="s">
        <v>6</v>
      </c>
      <c r="E26" s="4" t="s">
        <v>7</v>
      </c>
      <c r="F26" s="4" t="s">
        <v>8</v>
      </c>
    </row>
    <row r="27" spans="1:9">
      <c r="A27" s="1" t="s">
        <v>61</v>
      </c>
      <c r="B27" s="1" t="s">
        <v>62</v>
      </c>
      <c r="C27" s="1" t="s">
        <v>63</v>
      </c>
      <c r="D27" s="1" t="s">
        <v>52</v>
      </c>
      <c r="E27" s="3">
        <v>5000000</v>
      </c>
      <c r="F27" s="3">
        <v>24</v>
      </c>
    </row>
    <row r="28" spans="1:9">
      <c r="A28" s="1" t="s">
        <v>69</v>
      </c>
      <c r="B28" s="1" t="s">
        <v>70</v>
      </c>
      <c r="C28" s="1" t="s">
        <v>71</v>
      </c>
      <c r="D28" s="1" t="s">
        <v>20</v>
      </c>
      <c r="E28" s="3">
        <v>5000000</v>
      </c>
      <c r="F28" s="3">
        <v>30</v>
      </c>
    </row>
    <row r="29" spans="1:9">
      <c r="A29" s="1" t="s">
        <v>73</v>
      </c>
      <c r="B29" s="1" t="s">
        <v>74</v>
      </c>
      <c r="C29" s="1" t="s">
        <v>75</v>
      </c>
      <c r="D29" s="1" t="s">
        <v>52</v>
      </c>
      <c r="E29" s="3">
        <v>7000000</v>
      </c>
      <c r="F29" s="3">
        <v>24</v>
      </c>
    </row>
    <row r="30" spans="1:9">
      <c r="A30" s="1" t="s">
        <v>77</v>
      </c>
      <c r="B30" s="1" t="s">
        <v>78</v>
      </c>
      <c r="C30" s="1" t="s">
        <v>79</v>
      </c>
      <c r="D30" s="1" t="s">
        <v>30</v>
      </c>
      <c r="E30" s="3">
        <v>2500000</v>
      </c>
      <c r="F30" s="3">
        <v>12</v>
      </c>
    </row>
    <row r="31" spans="1:9">
      <c r="A31" s="1" t="s">
        <v>81</v>
      </c>
      <c r="B31" s="1" t="s">
        <v>82</v>
      </c>
      <c r="C31" s="1" t="s">
        <v>83</v>
      </c>
      <c r="D31" s="1" t="s">
        <v>14</v>
      </c>
      <c r="E31" s="3">
        <v>35000000</v>
      </c>
      <c r="F31" s="3">
        <v>24</v>
      </c>
    </row>
    <row r="32" spans="1:9">
      <c r="A32" s="1" t="s">
        <v>85</v>
      </c>
      <c r="B32" s="1" t="s">
        <v>86</v>
      </c>
      <c r="C32" s="1" t="s">
        <v>87</v>
      </c>
      <c r="D32" s="1" t="s">
        <v>20</v>
      </c>
      <c r="E32" s="3">
        <v>5000000</v>
      </c>
      <c r="F32" s="3">
        <v>18</v>
      </c>
    </row>
  </sheetData>
  <phoneticPr fontId="1" type="noConversion"/>
  <conditionalFormatting sqref="A2:I19 A21">
    <cfRule type="expression" dxfId="0" priority="1">
      <formula>OR(LEFT($D2,3)="부산시",MONTH($F2)=5)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19"/>
  <sheetViews>
    <sheetView workbookViewId="0"/>
  </sheetViews>
  <sheetFormatPr defaultRowHeight="16.5"/>
  <cols>
    <col min="1" max="1" width="15.75" customWidth="1"/>
    <col min="2" max="2" width="12.125" customWidth="1"/>
    <col min="3" max="3" width="15.375" bestFit="1" customWidth="1"/>
    <col min="4" max="4" width="21.625" bestFit="1" customWidth="1"/>
    <col min="5" max="5" width="9.125" bestFit="1" customWidth="1"/>
    <col min="6" max="6" width="10.75" bestFit="1" customWidth="1"/>
    <col min="7" max="7" width="16.25" bestFit="1" customWidth="1"/>
    <col min="8" max="8" width="9.125" bestFit="1" customWidth="1"/>
    <col min="9" max="9" width="4.875" bestFit="1" customWidth="1"/>
  </cols>
  <sheetData>
    <row r="1" spans="1:9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>
      <c r="A2" s="1" t="s">
        <v>9</v>
      </c>
      <c r="B2" s="1" t="s">
        <v>10</v>
      </c>
      <c r="C2" s="1" t="s">
        <v>11</v>
      </c>
      <c r="D2" s="1" t="s">
        <v>12</v>
      </c>
      <c r="E2" s="1" t="s">
        <v>13</v>
      </c>
      <c r="F2" s="2">
        <v>44762</v>
      </c>
      <c r="G2" s="1" t="s">
        <v>14</v>
      </c>
      <c r="H2" s="3">
        <v>15000000</v>
      </c>
      <c r="I2" s="3">
        <v>60</v>
      </c>
    </row>
    <row r="3" spans="1:9">
      <c r="A3" s="1" t="s">
        <v>15</v>
      </c>
      <c r="B3" s="1" t="s">
        <v>16</v>
      </c>
      <c r="C3" s="1" t="s">
        <v>17</v>
      </c>
      <c r="D3" s="1" t="s">
        <v>18</v>
      </c>
      <c r="E3" s="1" t="s">
        <v>19</v>
      </c>
      <c r="F3" s="2">
        <v>45794</v>
      </c>
      <c r="G3" s="1" t="s">
        <v>20</v>
      </c>
      <c r="H3" s="3">
        <v>5000000</v>
      </c>
      <c r="I3" s="3">
        <v>36</v>
      </c>
    </row>
    <row r="4" spans="1:9">
      <c r="A4" s="1" t="s">
        <v>21</v>
      </c>
      <c r="B4" s="1" t="s">
        <v>22</v>
      </c>
      <c r="C4" s="1" t="s">
        <v>23</v>
      </c>
      <c r="D4" s="1" t="s">
        <v>24</v>
      </c>
      <c r="E4" s="1" t="s">
        <v>25</v>
      </c>
      <c r="F4" s="2">
        <v>45885</v>
      </c>
      <c r="G4" s="1" t="s">
        <v>20</v>
      </c>
      <c r="H4" s="3">
        <v>2000000</v>
      </c>
      <c r="I4" s="3">
        <v>36</v>
      </c>
    </row>
    <row r="5" spans="1:9">
      <c r="A5" s="1" t="s">
        <v>26</v>
      </c>
      <c r="B5" s="1" t="s">
        <v>27</v>
      </c>
      <c r="C5" s="1" t="s">
        <v>28</v>
      </c>
      <c r="D5" s="1" t="s">
        <v>29</v>
      </c>
      <c r="E5" s="1" t="s">
        <v>25</v>
      </c>
      <c r="F5" s="2">
        <v>45890</v>
      </c>
      <c r="G5" s="1" t="s">
        <v>30</v>
      </c>
      <c r="H5" s="3">
        <v>1000000</v>
      </c>
      <c r="I5" s="3">
        <v>48</v>
      </c>
    </row>
    <row r="6" spans="1:9">
      <c r="A6" s="1" t="s">
        <v>31</v>
      </c>
      <c r="B6" s="1" t="s">
        <v>32</v>
      </c>
      <c r="C6" s="1" t="s">
        <v>33</v>
      </c>
      <c r="D6" s="1" t="s">
        <v>34</v>
      </c>
      <c r="E6" s="1" t="s">
        <v>25</v>
      </c>
      <c r="F6" s="2">
        <v>45373</v>
      </c>
      <c r="G6" s="1" t="s">
        <v>14</v>
      </c>
      <c r="H6" s="3">
        <v>15000000</v>
      </c>
      <c r="I6" s="3">
        <v>60</v>
      </c>
    </row>
    <row r="7" spans="1:9">
      <c r="A7" s="1" t="s">
        <v>35</v>
      </c>
      <c r="B7" s="1" t="s">
        <v>36</v>
      </c>
      <c r="C7" s="1" t="s">
        <v>37</v>
      </c>
      <c r="D7" s="1" t="s">
        <v>38</v>
      </c>
      <c r="E7" s="1" t="s">
        <v>13</v>
      </c>
      <c r="F7" s="2">
        <v>45430</v>
      </c>
      <c r="G7" s="1" t="s">
        <v>30</v>
      </c>
      <c r="H7" s="3">
        <v>3000000</v>
      </c>
      <c r="I7" s="3">
        <v>36</v>
      </c>
    </row>
    <row r="8" spans="1:9">
      <c r="A8" s="1" t="s">
        <v>39</v>
      </c>
      <c r="B8" s="1" t="s">
        <v>40</v>
      </c>
      <c r="C8" s="1" t="s">
        <v>41</v>
      </c>
      <c r="D8" s="1" t="s">
        <v>42</v>
      </c>
      <c r="E8" s="1" t="s">
        <v>19</v>
      </c>
      <c r="F8" s="2">
        <v>45467</v>
      </c>
      <c r="G8" s="1" t="s">
        <v>30</v>
      </c>
      <c r="H8" s="3">
        <v>3000000</v>
      </c>
      <c r="I8" s="3">
        <v>36</v>
      </c>
    </row>
    <row r="9" spans="1:9">
      <c r="A9" s="1" t="s">
        <v>43</v>
      </c>
      <c r="B9" s="1" t="s">
        <v>44</v>
      </c>
      <c r="C9" s="1" t="s">
        <v>45</v>
      </c>
      <c r="D9" s="1" t="s">
        <v>46</v>
      </c>
      <c r="E9" s="1" t="s">
        <v>19</v>
      </c>
      <c r="F9" s="2">
        <v>45521</v>
      </c>
      <c r="G9" s="1" t="s">
        <v>20</v>
      </c>
      <c r="H9" s="3">
        <v>8000000</v>
      </c>
      <c r="I9" s="3">
        <v>30</v>
      </c>
    </row>
    <row r="10" spans="1:9">
      <c r="A10" s="1" t="s">
        <v>47</v>
      </c>
      <c r="B10" s="1" t="s">
        <v>48</v>
      </c>
      <c r="C10" s="1" t="s">
        <v>49</v>
      </c>
      <c r="D10" s="1" t="s">
        <v>50</v>
      </c>
      <c r="E10" s="1" t="s">
        <v>51</v>
      </c>
      <c r="F10" s="2">
        <v>45574</v>
      </c>
      <c r="G10" s="1" t="s">
        <v>52</v>
      </c>
      <c r="H10" s="3">
        <v>15000000</v>
      </c>
      <c r="I10" s="3">
        <v>60</v>
      </c>
    </row>
    <row r="11" spans="1:9">
      <c r="A11" s="1" t="s">
        <v>53</v>
      </c>
      <c r="B11" s="1" t="s">
        <v>54</v>
      </c>
      <c r="C11" s="1" t="s">
        <v>55</v>
      </c>
      <c r="D11" s="1" t="s">
        <v>56</v>
      </c>
      <c r="E11" s="1" t="s">
        <v>51</v>
      </c>
      <c r="F11" s="2">
        <v>45644</v>
      </c>
      <c r="G11" s="1" t="s">
        <v>14</v>
      </c>
      <c r="H11" s="3">
        <v>12000000</v>
      </c>
      <c r="I11" s="3">
        <v>60</v>
      </c>
    </row>
    <row r="12" spans="1:9">
      <c r="A12" s="1" t="s">
        <v>57</v>
      </c>
      <c r="B12" s="1" t="s">
        <v>58</v>
      </c>
      <c r="C12" s="1" t="s">
        <v>59</v>
      </c>
      <c r="D12" s="1" t="s">
        <v>60</v>
      </c>
      <c r="E12" s="1" t="s">
        <v>25</v>
      </c>
      <c r="F12" s="2">
        <v>44946</v>
      </c>
      <c r="G12" s="1" t="s">
        <v>14</v>
      </c>
      <c r="H12" s="3">
        <v>27000000</v>
      </c>
      <c r="I12" s="3">
        <v>48</v>
      </c>
    </row>
    <row r="13" spans="1:9">
      <c r="A13" s="1" t="s">
        <v>61</v>
      </c>
      <c r="B13" s="1" t="s">
        <v>62</v>
      </c>
      <c r="C13" s="1" t="s">
        <v>63</v>
      </c>
      <c r="D13" s="1" t="s">
        <v>64</v>
      </c>
      <c r="E13" s="1" t="s">
        <v>13</v>
      </c>
      <c r="F13" s="2">
        <v>45047</v>
      </c>
      <c r="G13" s="1" t="s">
        <v>52</v>
      </c>
      <c r="H13" s="3">
        <v>5000000</v>
      </c>
      <c r="I13" s="3">
        <v>24</v>
      </c>
    </row>
    <row r="14" spans="1:9">
      <c r="A14" s="1" t="s">
        <v>65</v>
      </c>
      <c r="B14" s="1" t="s">
        <v>66</v>
      </c>
      <c r="C14" s="1" t="s">
        <v>67</v>
      </c>
      <c r="D14" s="1" t="s">
        <v>68</v>
      </c>
      <c r="E14" s="1" t="s">
        <v>51</v>
      </c>
      <c r="F14" s="2">
        <v>45072</v>
      </c>
      <c r="G14" s="1" t="s">
        <v>30</v>
      </c>
      <c r="H14" s="3">
        <v>4000000</v>
      </c>
      <c r="I14" s="3">
        <v>48</v>
      </c>
    </row>
    <row r="15" spans="1:9">
      <c r="A15" s="1" t="s">
        <v>69</v>
      </c>
      <c r="B15" s="1" t="s">
        <v>70</v>
      </c>
      <c r="C15" s="1" t="s">
        <v>71</v>
      </c>
      <c r="D15" s="1" t="s">
        <v>72</v>
      </c>
      <c r="E15" s="1" t="s">
        <v>19</v>
      </c>
      <c r="F15" s="2">
        <v>45089</v>
      </c>
      <c r="G15" s="1" t="s">
        <v>20</v>
      </c>
      <c r="H15" s="3">
        <v>5000000</v>
      </c>
      <c r="I15" s="3">
        <v>30</v>
      </c>
    </row>
    <row r="16" spans="1:9">
      <c r="A16" s="1" t="s">
        <v>73</v>
      </c>
      <c r="B16" s="1" t="s">
        <v>74</v>
      </c>
      <c r="C16" s="1" t="s">
        <v>75</v>
      </c>
      <c r="D16" s="1" t="s">
        <v>76</v>
      </c>
      <c r="E16" s="1" t="s">
        <v>19</v>
      </c>
      <c r="F16" s="2">
        <v>45171</v>
      </c>
      <c r="G16" s="1" t="s">
        <v>52</v>
      </c>
      <c r="H16" s="3">
        <v>7000000</v>
      </c>
      <c r="I16" s="3">
        <v>24</v>
      </c>
    </row>
    <row r="17" spans="1:9">
      <c r="A17" s="1" t="s">
        <v>77</v>
      </c>
      <c r="B17" s="1" t="s">
        <v>78</v>
      </c>
      <c r="C17" s="1" t="s">
        <v>79</v>
      </c>
      <c r="D17" s="1" t="s">
        <v>80</v>
      </c>
      <c r="E17" s="1" t="s">
        <v>25</v>
      </c>
      <c r="F17" s="2">
        <v>45223</v>
      </c>
      <c r="G17" s="1" t="s">
        <v>30</v>
      </c>
      <c r="H17" s="3">
        <v>2500000</v>
      </c>
      <c r="I17" s="3">
        <v>12</v>
      </c>
    </row>
    <row r="18" spans="1:9">
      <c r="A18" s="1" t="s">
        <v>81</v>
      </c>
      <c r="B18" s="1" t="s">
        <v>82</v>
      </c>
      <c r="C18" s="1" t="s">
        <v>83</v>
      </c>
      <c r="D18" s="1" t="s">
        <v>84</v>
      </c>
      <c r="E18" s="1" t="s">
        <v>13</v>
      </c>
      <c r="F18" s="2">
        <v>45263</v>
      </c>
      <c r="G18" s="1" t="s">
        <v>14</v>
      </c>
      <c r="H18" s="3">
        <v>35000000</v>
      </c>
      <c r="I18" s="3">
        <v>24</v>
      </c>
    </row>
    <row r="19" spans="1:9">
      <c r="A19" s="1" t="s">
        <v>85</v>
      </c>
      <c r="B19" s="1" t="s">
        <v>86</v>
      </c>
      <c r="C19" s="1" t="s">
        <v>87</v>
      </c>
      <c r="D19" s="1" t="s">
        <v>88</v>
      </c>
      <c r="E19" s="1" t="s">
        <v>13</v>
      </c>
      <c r="F19" s="2">
        <v>45275</v>
      </c>
      <c r="G19" s="1" t="s">
        <v>20</v>
      </c>
      <c r="H19" s="3">
        <v>5000000</v>
      </c>
      <c r="I19" s="3">
        <v>18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&amp;R출력일 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K44"/>
  <sheetViews>
    <sheetView workbookViewId="0">
      <selection activeCell="I10" sqref="I10"/>
    </sheetView>
  </sheetViews>
  <sheetFormatPr defaultRowHeight="16.5"/>
  <cols>
    <col min="1" max="1" width="2.625" customWidth="1"/>
    <col min="3" max="3" width="12.25" customWidth="1"/>
    <col min="4" max="4" width="12.375" customWidth="1"/>
    <col min="5" max="5" width="14.625" customWidth="1"/>
    <col min="6" max="6" width="12.25" customWidth="1"/>
    <col min="8" max="8" width="12" customWidth="1"/>
    <col min="9" max="9" width="20" customWidth="1"/>
    <col min="10" max="10" width="12.875" customWidth="1"/>
  </cols>
  <sheetData>
    <row r="1" spans="2:11">
      <c r="B1" t="s">
        <v>226</v>
      </c>
      <c r="C1" t="s">
        <v>249</v>
      </c>
      <c r="F1" s="5"/>
      <c r="H1" s="5" t="s">
        <v>236</v>
      </c>
      <c r="I1" s="6"/>
      <c r="J1" s="6"/>
    </row>
    <row r="2" spans="2:11">
      <c r="B2" s="45" t="s">
        <v>248</v>
      </c>
      <c r="C2" s="45" t="s">
        <v>244</v>
      </c>
      <c r="D2" s="45" t="s">
        <v>245</v>
      </c>
      <c r="E2" s="45" t="s">
        <v>246</v>
      </c>
      <c r="F2" s="7" t="s">
        <v>247</v>
      </c>
      <c r="H2" s="7" t="s">
        <v>89</v>
      </c>
      <c r="I2" s="7" t="s">
        <v>90</v>
      </c>
      <c r="J2" s="7" t="s">
        <v>91</v>
      </c>
      <c r="K2" s="7" t="s">
        <v>92</v>
      </c>
    </row>
    <row r="3" spans="2:11">
      <c r="B3" s="52" t="s">
        <v>202</v>
      </c>
      <c r="C3" s="17" t="s">
        <v>98</v>
      </c>
      <c r="D3" s="17" t="s">
        <v>99</v>
      </c>
      <c r="E3" s="17" t="s">
        <v>100</v>
      </c>
      <c r="F3" s="17" t="s">
        <v>101</v>
      </c>
      <c r="H3" s="7" t="s">
        <v>93</v>
      </c>
      <c r="I3" s="7">
        <v>500</v>
      </c>
      <c r="J3" s="7">
        <v>300</v>
      </c>
      <c r="K3" s="7">
        <v>200</v>
      </c>
    </row>
    <row r="4" spans="2:11">
      <c r="B4" s="45" t="s">
        <v>203</v>
      </c>
      <c r="C4" s="45" t="str">
        <f t="array" ref="C4">TEXT(COUNT(IF(($C$18:$C$44=$B4)*(LEFT($B$18:$B$44,1)=C$2),1))/COUNTA($C$18:$C$44),"0.0%")</f>
        <v>3.7%</v>
      </c>
      <c r="D4" s="45" t="str">
        <f t="array" ref="D4">TEXT(COUNT(IF(($C$18:$C$44=$B4)*(LEFT($B$18:$B$44,1)=D$2),1))/COUNTA($C$18:$C$44),"0.0%")</f>
        <v>3.7%</v>
      </c>
      <c r="E4" s="45" t="str">
        <f t="array" ref="E4">TEXT(COUNT(IF(($C$18:$C$44=$B4)*(LEFT($B$18:$B$44,1)=E$2),1))/COUNTA($C$18:$C$44),"0.0%")</f>
        <v>0.0%</v>
      </c>
      <c r="F4" s="45" t="str">
        <f t="array" ref="F4">TEXT(COUNT(IF(($C$18:$C$44=$B4)*(LEFT($B$18:$B$44,1)=F$2),1))/COUNTA($C$18:$C$44),"0.0%")</f>
        <v>7.4%</v>
      </c>
      <c r="J4" s="6"/>
    </row>
    <row r="5" spans="2:11">
      <c r="B5" s="18" t="s">
        <v>241</v>
      </c>
      <c r="C5" s="45" t="str">
        <f t="array" ref="C5">TEXT(COUNT(IF(($C$18:$C$44=$B5)*(LEFT($B$18:$B$44,1)=C$2),1))/COUNTA($C$18:$C$44),"0.0%")</f>
        <v>11.1%</v>
      </c>
      <c r="D5" s="45" t="str">
        <f t="array" ref="D5">TEXT(COUNT(IF(($C$18:$C$44=$B5)*(LEFT($B$18:$B$44,1)=D$2),1))/COUNTA($C$18:$C$44),"0.0%")</f>
        <v>3.7%</v>
      </c>
      <c r="E5" s="45" t="str">
        <f t="array" ref="E5">TEXT(COUNT(IF(($C$18:$C$44=$B5)*(LEFT($B$18:$B$44,1)=E$2),1))/COUNTA($C$18:$C$44),"0.0%")</f>
        <v>0.0%</v>
      </c>
      <c r="F5" s="45" t="str">
        <f t="array" ref="F5">TEXT(COUNT(IF(($C$18:$C$44=$B5)*(LEFT($B$18:$B$44,1)=F$2),1))/COUNTA($C$18:$C$44),"0.0%")</f>
        <v>3.7%</v>
      </c>
      <c r="J5" s="6"/>
    </row>
    <row r="6" spans="2:11">
      <c r="B6" s="18" t="s">
        <v>243</v>
      </c>
      <c r="C6" s="45" t="str">
        <f t="array" ref="C6">TEXT(COUNT(IF(($C$18:$C$44=$B6)*(LEFT($B$18:$B$44,1)=C$2),1))/COUNTA($C$18:$C$44),"0.0%")</f>
        <v>11.1%</v>
      </c>
      <c r="D6" s="45" t="str">
        <f t="array" ref="D6">TEXT(COUNT(IF(($C$18:$C$44=$B6)*(LEFT($B$18:$B$44,1)=D$2),1))/COUNTA($C$18:$C$44),"0.0%")</f>
        <v>18.5%</v>
      </c>
      <c r="E6" s="45" t="str">
        <f t="array" ref="E6">TEXT(COUNT(IF(($C$18:$C$44=$B6)*(LEFT($B$18:$B$44,1)=E$2),1))/COUNTA($C$18:$C$44),"0.0%")</f>
        <v>18.5%</v>
      </c>
      <c r="F6" s="45" t="str">
        <f t="array" ref="F6">TEXT(COUNT(IF(($C$18:$C$44=$B6)*(LEFT($B$18:$B$44,1)=F$2),1))/COUNTA($C$18:$C$44),"0.0%")</f>
        <v>18.5%</v>
      </c>
      <c r="G6" s="6"/>
      <c r="H6" s="6"/>
      <c r="I6" s="6"/>
      <c r="J6" s="6"/>
    </row>
    <row r="7" spans="2:11">
      <c r="B7" s="5"/>
      <c r="C7" s="5"/>
      <c r="D7" s="5"/>
      <c r="E7" s="5"/>
      <c r="F7" s="5"/>
      <c r="G7" s="8"/>
      <c r="H7" s="8"/>
      <c r="I7" s="8"/>
      <c r="J7" s="8"/>
    </row>
    <row r="8" spans="2:11">
      <c r="B8" s="9" t="s">
        <v>94</v>
      </c>
      <c r="C8" s="5"/>
      <c r="D8" s="5"/>
      <c r="E8" s="5"/>
      <c r="F8" s="5"/>
      <c r="G8" s="10"/>
      <c r="H8" s="10" t="s">
        <v>242</v>
      </c>
      <c r="I8" s="8"/>
      <c r="J8" s="8"/>
    </row>
    <row r="9" spans="2:11">
      <c r="B9" s="7" t="s">
        <v>95</v>
      </c>
      <c r="C9" s="7" t="s">
        <v>237</v>
      </c>
      <c r="D9" s="7" t="s">
        <v>238</v>
      </c>
      <c r="E9" s="7" t="s">
        <v>239</v>
      </c>
      <c r="F9" s="7" t="s">
        <v>240</v>
      </c>
      <c r="G9" s="8"/>
      <c r="H9" s="11" t="s">
        <v>202</v>
      </c>
      <c r="I9" s="45" t="s">
        <v>227</v>
      </c>
      <c r="J9" s="50" t="s">
        <v>96</v>
      </c>
    </row>
    <row r="10" spans="2:11">
      <c r="B10" s="11" t="s">
        <v>97</v>
      </c>
      <c r="C10" s="17" t="s">
        <v>98</v>
      </c>
      <c r="D10" s="17" t="s">
        <v>99</v>
      </c>
      <c r="E10" s="17" t="s">
        <v>100</v>
      </c>
      <c r="F10" s="17" t="s">
        <v>101</v>
      </c>
      <c r="G10" s="8"/>
      <c r="H10" s="49" t="s">
        <v>203</v>
      </c>
      <c r="I10" s="45" t="b">
        <f>F18&lt;=_xlfn.MODE.SNGL($F$18:$F$44)</f>
        <v>1</v>
      </c>
      <c r="J10" s="51" t="str">
        <f>TEXT(DAVERAGE(B17:I44,F17,H9:I11),"#,##0만원")</f>
        <v>7,857만원</v>
      </c>
    </row>
    <row r="11" spans="2:11">
      <c r="B11" s="7">
        <v>2023</v>
      </c>
      <c r="C11" s="12">
        <f t="array" ref="C11">MAX((YEAR($D$18:$D$44)=$B11)*(LEFT($B$18:$B$44,1)&amp;"지역"=C$9)*$F$18:$F$44)</f>
        <v>15000</v>
      </c>
      <c r="D11" s="12">
        <f t="array" ref="D11">MAX((YEAR($D$18:$D$44)=$B11)*(LEFT($B$18:$B$44,1)&amp;"지역"=D$9)*$F$18:$F$44)</f>
        <v>2000</v>
      </c>
      <c r="E11" s="12">
        <f t="array" ref="E11">MAX((YEAR($D$18:$D$44)=$B11)*(LEFT($B$18:$B$44,1)&amp;"지역"=E$9)*$F$18:$F$44)</f>
        <v>12000</v>
      </c>
      <c r="F11" s="12">
        <f t="array" ref="F11">MAX((YEAR($D$18:$D$44)=$B11)*(LEFT($B$18:$B$44,1)&amp;"지역"=F$9)*$F$18:$F$44)</f>
        <v>5000</v>
      </c>
      <c r="G11" s="8"/>
      <c r="H11" s="18" t="s">
        <v>241</v>
      </c>
      <c r="I11" s="18" t="b">
        <f>F18&lt;=_xlfn.MODE.SNGL($F$18:$F$44)</f>
        <v>1</v>
      </c>
      <c r="J11" s="6"/>
    </row>
    <row r="12" spans="2:11">
      <c r="B12" s="7">
        <v>2024</v>
      </c>
      <c r="C12" s="12">
        <f t="array" ref="C12">MAX((YEAR($D$18:$D$44)=$B12)*(LEFT($B$18:$B$44,1)&amp;"지역"=C$9)*$F$18:$F$44)</f>
        <v>3000</v>
      </c>
      <c r="D12" s="12">
        <f t="array" ref="D12">MAX((YEAR($D$18:$D$44)=$B12)*(LEFT($B$18:$B$44,1)&amp;"지역"=D$9)*$F$18:$F$44)</f>
        <v>15000</v>
      </c>
      <c r="E12" s="12">
        <f t="array" ref="E12">MAX((YEAR($D$18:$D$44)=$B12)*(LEFT($B$18:$B$44,1)&amp;"지역"=E$9)*$F$18:$F$44)</f>
        <v>15000</v>
      </c>
      <c r="F12" s="12">
        <f t="array" ref="F12">MAX((YEAR($D$18:$D$44)=$B12)*(LEFT($B$18:$B$44,1)&amp;"지역"=F$9)*$F$18:$F$44)</f>
        <v>15000</v>
      </c>
      <c r="G12" s="8"/>
      <c r="H12" s="6"/>
      <c r="I12" s="6"/>
      <c r="J12" s="6"/>
    </row>
    <row r="13" spans="2:11">
      <c r="B13" s="7">
        <v>2025</v>
      </c>
      <c r="C13" s="12">
        <f t="array" ref="C13">MAX((YEAR($D$18:$D$44)=$B13)*(LEFT($B$18:$B$44,1)&amp;"지역"=C$9)*$F$18:$F$44)</f>
        <v>35000</v>
      </c>
      <c r="D13" s="12">
        <f t="array" ref="D13">MAX((YEAR($D$18:$D$44)=$B13)*(LEFT($B$18:$B$44,1)&amp;"지역"=D$9)*$F$18:$F$44)</f>
        <v>27000</v>
      </c>
      <c r="E13" s="12">
        <f t="array" ref="E13">MAX((YEAR($D$18:$D$44)=$B13)*(LEFT($B$18:$B$44,1)&amp;"지역"=E$9)*$F$18:$F$44)</f>
        <v>10000</v>
      </c>
      <c r="F13" s="12">
        <f t="array" ref="F13">MAX((YEAR($D$18:$D$44)=$B13)*(LEFT($B$18:$B$44,1)&amp;"지역"=F$9)*$F$18:$F$44)</f>
        <v>7000</v>
      </c>
      <c r="G13" s="8"/>
      <c r="H13" s="8"/>
      <c r="I13" s="8"/>
      <c r="J13" s="8"/>
    </row>
    <row r="14" spans="2:11">
      <c r="B14" s="5"/>
      <c r="C14" s="5"/>
      <c r="D14" s="5"/>
      <c r="E14" s="5"/>
      <c r="F14" s="5"/>
      <c r="G14" s="8"/>
      <c r="H14" s="8"/>
      <c r="I14" s="8"/>
      <c r="J14" s="8"/>
    </row>
    <row r="15" spans="2:11">
      <c r="B15" s="5"/>
      <c r="C15" s="5"/>
      <c r="D15" s="5"/>
      <c r="E15" s="5"/>
      <c r="F15" s="5"/>
      <c r="G15" s="8"/>
      <c r="H15" s="8"/>
      <c r="I15" s="8"/>
      <c r="J15" s="8"/>
    </row>
    <row r="16" spans="2:11">
      <c r="B16" s="5" t="s">
        <v>102</v>
      </c>
      <c r="C16" s="5"/>
      <c r="D16" s="5"/>
      <c r="E16" s="5"/>
      <c r="F16" s="13"/>
      <c r="G16" s="13"/>
      <c r="H16" s="5"/>
      <c r="I16" s="13" t="s">
        <v>103</v>
      </c>
      <c r="J16" s="5"/>
    </row>
    <row r="17" spans="2:10">
      <c r="B17" s="14" t="s">
        <v>0</v>
      </c>
      <c r="C17" s="14" t="s">
        <v>104</v>
      </c>
      <c r="D17" s="14" t="s">
        <v>5</v>
      </c>
      <c r="E17" s="14" t="s">
        <v>6</v>
      </c>
      <c r="F17" s="14" t="s">
        <v>105</v>
      </c>
      <c r="G17" s="14" t="s">
        <v>8</v>
      </c>
      <c r="H17" s="17" t="s">
        <v>106</v>
      </c>
      <c r="I17" s="17" t="s">
        <v>107</v>
      </c>
      <c r="J17" s="8"/>
    </row>
    <row r="18" spans="2:10">
      <c r="B18" s="7" t="s">
        <v>108</v>
      </c>
      <c r="C18" s="7" t="s">
        <v>109</v>
      </c>
      <c r="D18" s="53">
        <v>46006</v>
      </c>
      <c r="E18" s="15" t="s">
        <v>110</v>
      </c>
      <c r="F18" s="12">
        <v>15000</v>
      </c>
      <c r="G18" s="7">
        <v>18</v>
      </c>
      <c r="H18" s="7">
        <f>HLOOKUP(C18,$H$2:$K$3,2,0)+IF(G18&gt;=30,50)</f>
        <v>300</v>
      </c>
      <c r="I18" s="16" cm="1">
        <f t="array" ref="I18">fn연이자(F18,G18)</f>
        <v>1050</v>
      </c>
      <c r="J18" s="5"/>
    </row>
    <row r="19" spans="2:10">
      <c r="B19" s="7" t="s">
        <v>111</v>
      </c>
      <c r="C19" s="7" t="s">
        <v>112</v>
      </c>
      <c r="D19" s="53">
        <v>45820</v>
      </c>
      <c r="E19" s="15" t="s">
        <v>110</v>
      </c>
      <c r="F19" s="12">
        <v>5000</v>
      </c>
      <c r="G19" s="7">
        <v>30</v>
      </c>
      <c r="H19" s="7">
        <f t="shared" ref="H19:H44" si="0">HLOOKUP(C19,$H$2:$K$3,2,0)+IF(G19&gt;=30,50)</f>
        <v>250</v>
      </c>
      <c r="I19" s="16" cm="1">
        <f t="array" ref="I19">fn연이자(F19,G19)</f>
        <v>300</v>
      </c>
      <c r="J19" s="5"/>
    </row>
    <row r="20" spans="2:10">
      <c r="B20" s="7" t="s">
        <v>113</v>
      </c>
      <c r="C20" s="7" t="s">
        <v>114</v>
      </c>
      <c r="D20" s="53">
        <v>45954</v>
      </c>
      <c r="E20" s="15" t="s">
        <v>115</v>
      </c>
      <c r="F20" s="12">
        <v>2500</v>
      </c>
      <c r="G20" s="7">
        <v>12</v>
      </c>
      <c r="H20" s="7">
        <f t="shared" si="0"/>
        <v>500</v>
      </c>
      <c r="I20" s="16" cm="1">
        <f t="array" ref="I20">fn연이자(F20,G20)</f>
        <v>175.00000000000003</v>
      </c>
      <c r="J20" s="5"/>
    </row>
    <row r="21" spans="2:10">
      <c r="B21" s="7" t="s">
        <v>116</v>
      </c>
      <c r="C21" s="7" t="s">
        <v>114</v>
      </c>
      <c r="D21" s="53">
        <v>45521</v>
      </c>
      <c r="E21" s="15" t="s">
        <v>110</v>
      </c>
      <c r="F21" s="12">
        <v>8000</v>
      </c>
      <c r="G21" s="7">
        <v>30</v>
      </c>
      <c r="H21" s="7">
        <f t="shared" si="0"/>
        <v>550</v>
      </c>
      <c r="I21" s="16" cm="1">
        <f t="array" ref="I21">fn연이자(F21,G21)</f>
        <v>480</v>
      </c>
      <c r="J21" s="5"/>
    </row>
    <row r="22" spans="2:10">
      <c r="B22" s="7" t="s">
        <v>117</v>
      </c>
      <c r="C22" s="7" t="s">
        <v>114</v>
      </c>
      <c r="D22" s="53">
        <v>46000</v>
      </c>
      <c r="E22" s="15" t="s">
        <v>110</v>
      </c>
      <c r="F22" s="12">
        <v>10000</v>
      </c>
      <c r="G22" s="7">
        <v>36</v>
      </c>
      <c r="H22" s="7">
        <f t="shared" si="0"/>
        <v>550</v>
      </c>
      <c r="I22" s="16" cm="1">
        <f t="array" ref="I22">fn연이자(F22,G22)</f>
        <v>600</v>
      </c>
      <c r="J22" s="5"/>
    </row>
    <row r="23" spans="2:10">
      <c r="B23" s="7" t="s">
        <v>118</v>
      </c>
      <c r="C23" s="7" t="s">
        <v>112</v>
      </c>
      <c r="D23" s="53">
        <v>45701</v>
      </c>
      <c r="E23" s="15" t="s">
        <v>119</v>
      </c>
      <c r="F23" s="12">
        <v>7000</v>
      </c>
      <c r="G23" s="7">
        <v>30</v>
      </c>
      <c r="H23" s="7">
        <f t="shared" si="0"/>
        <v>250</v>
      </c>
      <c r="I23" s="16" cm="1">
        <f t="array" ref="I23">fn연이자(F23,G23)</f>
        <v>420</v>
      </c>
      <c r="J23" s="5"/>
    </row>
    <row r="24" spans="2:10">
      <c r="B24" s="7" t="s">
        <v>120</v>
      </c>
      <c r="C24" s="7" t="s">
        <v>90</v>
      </c>
      <c r="D24" s="53">
        <v>45455</v>
      </c>
      <c r="E24" s="15" t="s">
        <v>115</v>
      </c>
      <c r="F24" s="12">
        <v>2000</v>
      </c>
      <c r="G24" s="7">
        <v>60</v>
      </c>
      <c r="H24" s="7">
        <f t="shared" si="0"/>
        <v>550</v>
      </c>
      <c r="I24" s="16" cm="1">
        <f t="array" ref="I24">fn연이자(F24,G24)</f>
        <v>120</v>
      </c>
      <c r="J24" s="5"/>
    </row>
    <row r="25" spans="2:10">
      <c r="B25" s="7" t="s">
        <v>121</v>
      </c>
      <c r="C25" s="7" t="s">
        <v>114</v>
      </c>
      <c r="D25" s="53">
        <v>45467</v>
      </c>
      <c r="E25" s="15" t="s">
        <v>122</v>
      </c>
      <c r="F25" s="12">
        <v>3000</v>
      </c>
      <c r="G25" s="7">
        <v>36</v>
      </c>
      <c r="H25" s="7">
        <f t="shared" si="0"/>
        <v>550</v>
      </c>
      <c r="I25" s="16" cm="1">
        <f t="array" ref="I25">fn연이자(F25,G25)</f>
        <v>180</v>
      </c>
      <c r="J25" s="5"/>
    </row>
    <row r="26" spans="2:10">
      <c r="B26" s="7" t="s">
        <v>123</v>
      </c>
      <c r="C26" s="7" t="s">
        <v>109</v>
      </c>
      <c r="D26" s="53">
        <v>45815</v>
      </c>
      <c r="E26" s="15" t="s">
        <v>119</v>
      </c>
      <c r="F26" s="12">
        <v>5000</v>
      </c>
      <c r="G26" s="7">
        <v>30</v>
      </c>
      <c r="H26" s="7">
        <f t="shared" si="0"/>
        <v>350</v>
      </c>
      <c r="I26" s="16" cm="1">
        <f t="array" ref="I26">fn연이자(F26,G26)</f>
        <v>300</v>
      </c>
      <c r="J26" s="5"/>
    </row>
    <row r="27" spans="2:10">
      <c r="B27" s="7" t="s">
        <v>124</v>
      </c>
      <c r="C27" s="7" t="s">
        <v>114</v>
      </c>
      <c r="D27" s="53">
        <v>45278</v>
      </c>
      <c r="E27" s="15" t="s">
        <v>125</v>
      </c>
      <c r="F27" s="12">
        <v>12000</v>
      </c>
      <c r="G27" s="7">
        <v>60</v>
      </c>
      <c r="H27" s="7">
        <f t="shared" si="0"/>
        <v>550</v>
      </c>
      <c r="I27" s="16" cm="1">
        <f t="array" ref="I27">fn연이자(F27,G27)</f>
        <v>720</v>
      </c>
      <c r="J27" s="5"/>
    </row>
    <row r="28" spans="2:10">
      <c r="B28" s="7" t="s">
        <v>126</v>
      </c>
      <c r="C28" s="7" t="s">
        <v>114</v>
      </c>
      <c r="D28" s="53">
        <v>45574</v>
      </c>
      <c r="E28" s="15" t="s">
        <v>119</v>
      </c>
      <c r="F28" s="12">
        <v>15000</v>
      </c>
      <c r="G28" s="7">
        <v>60</v>
      </c>
      <c r="H28" s="7">
        <f t="shared" si="0"/>
        <v>550</v>
      </c>
      <c r="I28" s="16" cm="1">
        <f t="array" ref="I28">fn연이자(F28,G28)</f>
        <v>900</v>
      </c>
      <c r="J28" s="5"/>
    </row>
    <row r="29" spans="2:10">
      <c r="B29" s="7" t="s">
        <v>127</v>
      </c>
      <c r="C29" s="7" t="s">
        <v>112</v>
      </c>
      <c r="D29" s="53">
        <v>45063</v>
      </c>
      <c r="E29" s="15" t="s">
        <v>110</v>
      </c>
      <c r="F29" s="12">
        <v>5000</v>
      </c>
      <c r="G29" s="7">
        <v>36</v>
      </c>
      <c r="H29" s="7">
        <f t="shared" si="0"/>
        <v>250</v>
      </c>
      <c r="I29" s="16" cm="1">
        <f t="array" ref="I29">fn연이자(F29,G29)</f>
        <v>300</v>
      </c>
      <c r="J29" s="5"/>
    </row>
    <row r="30" spans="2:10">
      <c r="B30" s="7" t="s">
        <v>128</v>
      </c>
      <c r="C30" s="7" t="s">
        <v>114</v>
      </c>
      <c r="D30" s="53">
        <v>45902</v>
      </c>
      <c r="E30" s="15" t="s">
        <v>119</v>
      </c>
      <c r="F30" s="12">
        <v>7000</v>
      </c>
      <c r="G30" s="7">
        <v>24</v>
      </c>
      <c r="H30" s="7">
        <f t="shared" si="0"/>
        <v>500</v>
      </c>
      <c r="I30" s="16" cm="1">
        <f t="array" ref="I30">fn연이자(F30,G30)</f>
        <v>420</v>
      </c>
      <c r="J30" s="5"/>
    </row>
    <row r="31" spans="2:10">
      <c r="B31" s="7" t="s">
        <v>129</v>
      </c>
      <c r="C31" s="7" t="s">
        <v>90</v>
      </c>
      <c r="D31" s="53">
        <v>45535</v>
      </c>
      <c r="E31" s="15" t="s">
        <v>115</v>
      </c>
      <c r="F31" s="12">
        <v>3000</v>
      </c>
      <c r="G31" s="7">
        <v>36</v>
      </c>
      <c r="H31" s="7">
        <f t="shared" si="0"/>
        <v>550</v>
      </c>
      <c r="I31" s="16" cm="1">
        <f t="array" ref="I31">fn연이자(F31,G31)</f>
        <v>180</v>
      </c>
      <c r="J31" s="5"/>
    </row>
    <row r="32" spans="2:10">
      <c r="B32" s="7" t="s">
        <v>130</v>
      </c>
      <c r="C32" s="7" t="s">
        <v>114</v>
      </c>
      <c r="D32" s="53">
        <v>45159</v>
      </c>
      <c r="E32" s="15" t="s">
        <v>115</v>
      </c>
      <c r="F32" s="12">
        <v>1000</v>
      </c>
      <c r="G32" s="7">
        <v>48</v>
      </c>
      <c r="H32" s="7">
        <f t="shared" si="0"/>
        <v>550</v>
      </c>
      <c r="I32" s="16" cm="1">
        <f t="array" ref="I32">fn연이자(F32,G32)</f>
        <v>60</v>
      </c>
      <c r="J32" s="5"/>
    </row>
    <row r="33" spans="2:10">
      <c r="B33" s="7" t="s">
        <v>131</v>
      </c>
      <c r="C33" s="7" t="s">
        <v>109</v>
      </c>
      <c r="D33" s="53">
        <v>45677</v>
      </c>
      <c r="E33" s="15" t="s">
        <v>125</v>
      </c>
      <c r="F33" s="12">
        <v>27000</v>
      </c>
      <c r="G33" s="7">
        <v>48</v>
      </c>
      <c r="H33" s="7">
        <f t="shared" si="0"/>
        <v>350</v>
      </c>
      <c r="I33" s="16" cm="1">
        <f t="array" ref="I33">fn연이자(F33,G33)</f>
        <v>1620</v>
      </c>
      <c r="J33" s="5"/>
    </row>
    <row r="34" spans="2:10">
      <c r="B34" s="7" t="s">
        <v>132</v>
      </c>
      <c r="C34" s="7" t="s">
        <v>90</v>
      </c>
      <c r="D34" s="53">
        <v>45791</v>
      </c>
      <c r="E34" s="15" t="s">
        <v>119</v>
      </c>
      <c r="F34" s="12">
        <v>5000</v>
      </c>
      <c r="G34" s="7">
        <v>18</v>
      </c>
      <c r="H34" s="7">
        <f t="shared" si="0"/>
        <v>500</v>
      </c>
      <c r="I34" s="16" cm="1">
        <f t="array" ref="I34">fn연이자(F34,G34)</f>
        <v>350.00000000000006</v>
      </c>
      <c r="J34" s="5"/>
    </row>
    <row r="35" spans="2:10">
      <c r="B35" s="7" t="s">
        <v>133</v>
      </c>
      <c r="C35" s="7" t="s">
        <v>114</v>
      </c>
      <c r="D35" s="53">
        <v>45373</v>
      </c>
      <c r="E35" s="15" t="s">
        <v>125</v>
      </c>
      <c r="F35" s="12">
        <v>15000</v>
      </c>
      <c r="G35" s="7">
        <v>60</v>
      </c>
      <c r="H35" s="7">
        <f t="shared" si="0"/>
        <v>550</v>
      </c>
      <c r="I35" s="16" cm="1">
        <f t="array" ref="I35">fn연이자(F35,G35)</f>
        <v>900</v>
      </c>
      <c r="J35" s="5"/>
    </row>
    <row r="36" spans="2:10">
      <c r="B36" s="7" t="s">
        <v>134</v>
      </c>
      <c r="C36" s="7" t="s">
        <v>114</v>
      </c>
      <c r="D36" s="53">
        <v>45912</v>
      </c>
      <c r="E36" s="15" t="s">
        <v>135</v>
      </c>
      <c r="F36" s="12">
        <v>3000</v>
      </c>
      <c r="G36" s="7">
        <v>24</v>
      </c>
      <c r="H36" s="7">
        <f t="shared" si="0"/>
        <v>500</v>
      </c>
      <c r="I36" s="16" cm="1">
        <f t="array" ref="I36">fn연이자(F36,G36)</f>
        <v>180</v>
      </c>
      <c r="J36" s="5"/>
    </row>
    <row r="37" spans="2:10">
      <c r="B37" s="7" t="s">
        <v>136</v>
      </c>
      <c r="C37" s="7" t="s">
        <v>112</v>
      </c>
      <c r="D37" s="53">
        <v>45430</v>
      </c>
      <c r="E37" s="15" t="s">
        <v>115</v>
      </c>
      <c r="F37" s="12">
        <v>3000</v>
      </c>
      <c r="G37" s="7">
        <v>36</v>
      </c>
      <c r="H37" s="7">
        <f t="shared" si="0"/>
        <v>250</v>
      </c>
      <c r="I37" s="16" cm="1">
        <f t="array" ref="I37">fn연이자(F37,G37)</f>
        <v>180</v>
      </c>
      <c r="J37" s="5"/>
    </row>
    <row r="38" spans="2:10">
      <c r="B38" s="7" t="s">
        <v>137</v>
      </c>
      <c r="C38" s="7" t="s">
        <v>114</v>
      </c>
      <c r="D38" s="53">
        <v>45832</v>
      </c>
      <c r="E38" s="15" t="s">
        <v>119</v>
      </c>
      <c r="F38" s="12">
        <v>10000</v>
      </c>
      <c r="G38" s="7">
        <v>30</v>
      </c>
      <c r="H38" s="7">
        <f t="shared" si="0"/>
        <v>550</v>
      </c>
      <c r="I38" s="16" cm="1">
        <f t="array" ref="I38">fn연이자(F38,G38)</f>
        <v>600</v>
      </c>
      <c r="J38" s="5"/>
    </row>
    <row r="39" spans="2:10">
      <c r="B39" s="7" t="s">
        <v>138</v>
      </c>
      <c r="C39" s="7" t="s">
        <v>114</v>
      </c>
      <c r="D39" s="53">
        <v>45127</v>
      </c>
      <c r="E39" s="15" t="s">
        <v>125</v>
      </c>
      <c r="F39" s="12">
        <v>15000</v>
      </c>
      <c r="G39" s="7">
        <v>60</v>
      </c>
      <c r="H39" s="7">
        <f t="shared" si="0"/>
        <v>550</v>
      </c>
      <c r="I39" s="16" cm="1">
        <f t="array" ref="I39">fn연이자(F39,G39)</f>
        <v>900</v>
      </c>
      <c r="J39" s="5"/>
    </row>
    <row r="40" spans="2:10">
      <c r="B40" s="7" t="s">
        <v>139</v>
      </c>
      <c r="C40" s="7" t="s">
        <v>114</v>
      </c>
      <c r="D40" s="53">
        <v>45507</v>
      </c>
      <c r="E40" s="15" t="s">
        <v>119</v>
      </c>
      <c r="F40" s="12">
        <v>6000</v>
      </c>
      <c r="G40" s="7">
        <v>24</v>
      </c>
      <c r="H40" s="7">
        <f t="shared" si="0"/>
        <v>500</v>
      </c>
      <c r="I40" s="16" cm="1">
        <f t="array" ref="I40">fn연이자(F40,G40)</f>
        <v>360</v>
      </c>
      <c r="J40" s="5"/>
    </row>
    <row r="41" spans="2:10">
      <c r="B41" s="7" t="s">
        <v>140</v>
      </c>
      <c r="C41" s="7" t="s">
        <v>109</v>
      </c>
      <c r="D41" s="53">
        <v>45994</v>
      </c>
      <c r="E41" s="15" t="s">
        <v>125</v>
      </c>
      <c r="F41" s="12">
        <v>35000</v>
      </c>
      <c r="G41" s="7">
        <v>24</v>
      </c>
      <c r="H41" s="7">
        <f t="shared" si="0"/>
        <v>300</v>
      </c>
      <c r="I41" s="16" cm="1">
        <f t="array" ref="I41">fn연이자(F41,G41)</f>
        <v>2100</v>
      </c>
      <c r="J41" s="5"/>
    </row>
    <row r="42" spans="2:10">
      <c r="B42" s="7" t="s">
        <v>141</v>
      </c>
      <c r="C42" s="7" t="s">
        <v>114</v>
      </c>
      <c r="D42" s="53">
        <v>45154</v>
      </c>
      <c r="E42" s="15" t="s">
        <v>110</v>
      </c>
      <c r="F42" s="12">
        <v>2000</v>
      </c>
      <c r="G42" s="7">
        <v>36</v>
      </c>
      <c r="H42" s="7">
        <f t="shared" si="0"/>
        <v>550</v>
      </c>
      <c r="I42" s="16" cm="1">
        <f t="array" ref="I42">fn연이자(F42,G42)</f>
        <v>120</v>
      </c>
      <c r="J42" s="5"/>
    </row>
    <row r="43" spans="2:10">
      <c r="B43" s="7" t="s">
        <v>142</v>
      </c>
      <c r="C43" s="7" t="s">
        <v>114</v>
      </c>
      <c r="D43" s="53">
        <v>45778</v>
      </c>
      <c r="E43" s="15" t="s">
        <v>143</v>
      </c>
      <c r="F43" s="12">
        <v>24000</v>
      </c>
      <c r="G43" s="7">
        <v>24</v>
      </c>
      <c r="H43" s="7">
        <f t="shared" si="0"/>
        <v>500</v>
      </c>
      <c r="I43" s="16" cm="1">
        <f t="array" ref="I43">fn연이자(F43,G43)</f>
        <v>1440</v>
      </c>
      <c r="J43" s="5"/>
    </row>
    <row r="44" spans="2:10">
      <c r="B44" s="7" t="s">
        <v>144</v>
      </c>
      <c r="C44" s="7" t="s">
        <v>109</v>
      </c>
      <c r="D44" s="53">
        <v>45635</v>
      </c>
      <c r="E44" s="15" t="s">
        <v>125</v>
      </c>
      <c r="F44" s="12">
        <v>15000</v>
      </c>
      <c r="G44" s="7">
        <v>30</v>
      </c>
      <c r="H44" s="7">
        <f t="shared" si="0"/>
        <v>350</v>
      </c>
      <c r="I44" s="16" cm="1">
        <f t="array" ref="I44">fn연이자(F44,G44)</f>
        <v>900</v>
      </c>
      <c r="J44" s="5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E20"/>
  <sheetViews>
    <sheetView workbookViewId="0"/>
  </sheetViews>
  <sheetFormatPr defaultRowHeight="16.5"/>
  <cols>
    <col min="1" max="1" width="18.375" bestFit="1" customWidth="1"/>
    <col min="2" max="2" width="13.5" bestFit="1" customWidth="1"/>
    <col min="3" max="3" width="11" customWidth="1"/>
    <col min="4" max="4" width="10.625" customWidth="1"/>
    <col min="5" max="5" width="12.5" bestFit="1" customWidth="1"/>
    <col min="6" max="6" width="9.625" customWidth="1"/>
    <col min="7" max="7" width="11.875" customWidth="1"/>
    <col min="8" max="9" width="13.75" customWidth="1"/>
    <col min="10" max="10" width="11.875" bestFit="1" customWidth="1"/>
    <col min="11" max="12" width="18.375" bestFit="1" customWidth="1"/>
    <col min="13" max="13" width="16.375" bestFit="1" customWidth="1"/>
  </cols>
  <sheetData>
    <row r="2" spans="1:5">
      <c r="A2" s="37" t="s">
        <v>204</v>
      </c>
      <c r="B2" t="s" vm="1">
        <v>228</v>
      </c>
    </row>
    <row r="4" spans="1:5">
      <c r="A4" s="46"/>
      <c r="B4" s="46"/>
      <c r="C4" s="47" t="s">
        <v>211</v>
      </c>
      <c r="D4" s="46"/>
      <c r="E4" s="46"/>
    </row>
    <row r="5" spans="1:5">
      <c r="A5" s="47" t="s">
        <v>212</v>
      </c>
      <c r="B5" s="47" t="s">
        <v>213</v>
      </c>
      <c r="C5" s="48" t="s">
        <v>205</v>
      </c>
      <c r="D5" s="48" t="s">
        <v>206</v>
      </c>
      <c r="E5" s="48" t="s">
        <v>207</v>
      </c>
    </row>
    <row r="6" spans="1:5">
      <c r="A6" s="62" t="s">
        <v>208</v>
      </c>
      <c r="B6" s="48" t="s">
        <v>229</v>
      </c>
      <c r="C6" s="38">
        <v>1890000</v>
      </c>
      <c r="D6" s="38">
        <v>650000</v>
      </c>
      <c r="E6" s="38" t="s">
        <v>214</v>
      </c>
    </row>
    <row r="7" spans="1:5">
      <c r="A7" s="63"/>
      <c r="B7" s="48" t="s">
        <v>230</v>
      </c>
      <c r="C7" s="38">
        <v>2300000</v>
      </c>
      <c r="D7" s="38">
        <v>850000</v>
      </c>
      <c r="E7" s="38" t="s">
        <v>214</v>
      </c>
    </row>
    <row r="8" spans="1:5">
      <c r="A8" s="63"/>
      <c r="B8" s="48" t="s">
        <v>231</v>
      </c>
      <c r="C8" s="38">
        <v>410000</v>
      </c>
      <c r="D8" s="38">
        <v>200000</v>
      </c>
      <c r="E8" s="38" t="s">
        <v>214</v>
      </c>
    </row>
    <row r="9" spans="1:5">
      <c r="A9" s="62" t="s">
        <v>19</v>
      </c>
      <c r="B9" s="48" t="s">
        <v>229</v>
      </c>
      <c r="C9" s="38" t="s">
        <v>214</v>
      </c>
      <c r="D9" s="38">
        <v>1570000</v>
      </c>
      <c r="E9" s="38">
        <v>255000</v>
      </c>
    </row>
    <row r="10" spans="1:5">
      <c r="A10" s="63"/>
      <c r="B10" s="48" t="s">
        <v>230</v>
      </c>
      <c r="C10" s="38" t="s">
        <v>214</v>
      </c>
      <c r="D10" s="38">
        <v>1840000</v>
      </c>
      <c r="E10" s="38">
        <v>350000</v>
      </c>
    </row>
    <row r="11" spans="1:5">
      <c r="A11" s="63"/>
      <c r="B11" s="48" t="s">
        <v>231</v>
      </c>
      <c r="C11" s="38" t="s">
        <v>214</v>
      </c>
      <c r="D11" s="38">
        <v>270000</v>
      </c>
      <c r="E11" s="38">
        <v>95000</v>
      </c>
    </row>
    <row r="12" spans="1:5">
      <c r="A12" s="62" t="s">
        <v>209</v>
      </c>
      <c r="B12" s="48" t="s">
        <v>229</v>
      </c>
      <c r="C12" s="38">
        <v>1250000</v>
      </c>
      <c r="D12" s="38" t="s">
        <v>214</v>
      </c>
      <c r="E12" s="38">
        <v>489000</v>
      </c>
    </row>
    <row r="13" spans="1:5">
      <c r="A13" s="63"/>
      <c r="B13" s="48" t="s">
        <v>230</v>
      </c>
      <c r="C13" s="38">
        <v>1550000</v>
      </c>
      <c r="D13" s="38" t="s">
        <v>214</v>
      </c>
      <c r="E13" s="38">
        <v>650000</v>
      </c>
    </row>
    <row r="14" spans="1:5">
      <c r="A14" s="63"/>
      <c r="B14" s="48" t="s">
        <v>231</v>
      </c>
      <c r="C14" s="38">
        <v>300000</v>
      </c>
      <c r="D14" s="38" t="s">
        <v>214</v>
      </c>
      <c r="E14" s="38">
        <v>161000</v>
      </c>
    </row>
    <row r="15" spans="1:5">
      <c r="A15" s="62" t="s">
        <v>51</v>
      </c>
      <c r="B15" s="48" t="s">
        <v>229</v>
      </c>
      <c r="C15" s="38" t="s">
        <v>214</v>
      </c>
      <c r="D15" s="38">
        <v>780000</v>
      </c>
      <c r="E15" s="38">
        <v>88400</v>
      </c>
    </row>
    <row r="16" spans="1:5">
      <c r="A16" s="63"/>
      <c r="B16" s="48" t="s">
        <v>230</v>
      </c>
      <c r="C16" s="38" t="s">
        <v>214</v>
      </c>
      <c r="D16" s="38">
        <v>820000</v>
      </c>
      <c r="E16" s="38">
        <v>120000</v>
      </c>
    </row>
    <row r="17" spans="1:5">
      <c r="A17" s="63"/>
      <c r="B17" s="48" t="s">
        <v>231</v>
      </c>
      <c r="C17" s="38" t="s">
        <v>214</v>
      </c>
      <c r="D17" s="38">
        <v>40000</v>
      </c>
      <c r="E17" s="38">
        <v>31600</v>
      </c>
    </row>
    <row r="18" spans="1:5">
      <c r="A18" s="62" t="s">
        <v>210</v>
      </c>
      <c r="B18" s="48" t="s">
        <v>229</v>
      </c>
      <c r="C18" s="38">
        <v>567700</v>
      </c>
      <c r="D18" s="38" t="s">
        <v>214</v>
      </c>
      <c r="E18" s="38">
        <v>90000</v>
      </c>
    </row>
    <row r="19" spans="1:5">
      <c r="A19" s="63"/>
      <c r="B19" s="48" t="s">
        <v>230</v>
      </c>
      <c r="C19" s="38">
        <v>730000</v>
      </c>
      <c r="D19" s="38" t="s">
        <v>214</v>
      </c>
      <c r="E19" s="38">
        <v>110000</v>
      </c>
    </row>
    <row r="20" spans="1:5">
      <c r="A20" s="63"/>
      <c r="B20" s="48" t="s">
        <v>231</v>
      </c>
      <c r="C20" s="38">
        <v>162300</v>
      </c>
      <c r="D20" s="38" t="s">
        <v>214</v>
      </c>
      <c r="E20" s="38">
        <v>20000</v>
      </c>
    </row>
  </sheetData>
  <mergeCells count="5">
    <mergeCell ref="A6:A8"/>
    <mergeCell ref="A9:A11"/>
    <mergeCell ref="A12:A14"/>
    <mergeCell ref="A15:A17"/>
    <mergeCell ref="A18:A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N8"/>
  <sheetViews>
    <sheetView workbookViewId="0"/>
  </sheetViews>
  <sheetFormatPr defaultRowHeight="16.5"/>
  <cols>
    <col min="1" max="1" width="15.375" customWidth="1"/>
    <col min="2" max="4" width="10.125" bestFit="1" customWidth="1"/>
    <col min="5" max="5" width="1.625" customWidth="1"/>
    <col min="6" max="6" width="12.375" bestFit="1" customWidth="1"/>
    <col min="7" max="9" width="10.125" bestFit="1" customWidth="1"/>
    <col min="10" max="10" width="1.625" customWidth="1"/>
    <col min="11" max="11" width="12.375" bestFit="1" customWidth="1"/>
    <col min="12" max="14" width="10.125" bestFit="1" customWidth="1"/>
  </cols>
  <sheetData>
    <row r="1" spans="1:14" ht="26.25">
      <c r="A1" s="64" t="s">
        <v>250</v>
      </c>
      <c r="B1" s="64"/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</row>
    <row r="2" spans="1:14">
      <c r="A2" s="54"/>
      <c r="B2" s="55"/>
      <c r="C2" s="55"/>
      <c r="D2" s="55"/>
      <c r="E2" s="54"/>
      <c r="F2" s="56"/>
      <c r="G2" s="57"/>
      <c r="H2" s="57"/>
      <c r="I2" s="57"/>
    </row>
    <row r="3" spans="1:14">
      <c r="A3" t="s">
        <v>259</v>
      </c>
      <c r="B3" s="57"/>
      <c r="C3" s="57"/>
      <c r="D3" s="57"/>
      <c r="F3" t="s">
        <v>260</v>
      </c>
      <c r="G3" s="57"/>
      <c r="H3" s="57"/>
      <c r="I3" s="57"/>
      <c r="K3" t="s">
        <v>261</v>
      </c>
      <c r="L3" s="57"/>
      <c r="M3" s="57"/>
      <c r="N3" s="57"/>
    </row>
    <row r="4" spans="1:14">
      <c r="A4" s="58" t="s">
        <v>251</v>
      </c>
      <c r="B4" s="59" t="s">
        <v>253</v>
      </c>
      <c r="C4" s="59" t="s">
        <v>254</v>
      </c>
      <c r="D4" s="59" t="s">
        <v>252</v>
      </c>
      <c r="F4" s="58" t="s">
        <v>251</v>
      </c>
      <c r="G4" s="59" t="s">
        <v>253</v>
      </c>
      <c r="H4" s="59" t="s">
        <v>254</v>
      </c>
      <c r="I4" s="59" t="s">
        <v>252</v>
      </c>
      <c r="K4" s="58" t="s">
        <v>251</v>
      </c>
      <c r="L4" s="59" t="s">
        <v>253</v>
      </c>
      <c r="M4" s="59" t="s">
        <v>254</v>
      </c>
      <c r="N4" s="59" t="s">
        <v>252</v>
      </c>
    </row>
    <row r="5" spans="1:14">
      <c r="A5" s="52" t="s">
        <v>255</v>
      </c>
      <c r="B5" s="60">
        <v>9000</v>
      </c>
      <c r="C5" s="60">
        <v>9140</v>
      </c>
      <c r="D5" s="60">
        <v>10800</v>
      </c>
      <c r="F5" s="52" t="s">
        <v>255</v>
      </c>
      <c r="G5" s="60">
        <v>5780</v>
      </c>
      <c r="H5" s="60">
        <v>17940</v>
      </c>
      <c r="I5" s="60">
        <v>11360</v>
      </c>
      <c r="K5" s="52" t="s">
        <v>255</v>
      </c>
      <c r="L5" s="61">
        <v>7390</v>
      </c>
      <c r="M5" s="61">
        <v>13540</v>
      </c>
      <c r="N5" s="61">
        <v>11080</v>
      </c>
    </row>
    <row r="6" spans="1:14">
      <c r="A6" s="52" t="s">
        <v>256</v>
      </c>
      <c r="B6" s="60">
        <v>13780</v>
      </c>
      <c r="C6" s="60">
        <v>13080</v>
      </c>
      <c r="D6" s="60">
        <v>9200</v>
      </c>
      <c r="F6" s="52" t="s">
        <v>257</v>
      </c>
      <c r="G6" s="60">
        <v>13960</v>
      </c>
      <c r="H6" s="60">
        <v>11560</v>
      </c>
      <c r="I6" s="60">
        <v>9560</v>
      </c>
      <c r="K6" s="52" t="s">
        <v>257</v>
      </c>
      <c r="L6" s="61">
        <v>11560</v>
      </c>
      <c r="M6" s="61">
        <v>10350</v>
      </c>
      <c r="N6" s="61">
        <v>9310</v>
      </c>
    </row>
    <row r="7" spans="1:14">
      <c r="A7" s="52" t="s">
        <v>257</v>
      </c>
      <c r="B7" s="60">
        <v>9160</v>
      </c>
      <c r="C7" s="60">
        <v>9140</v>
      </c>
      <c r="D7" s="60">
        <v>9060</v>
      </c>
      <c r="F7" s="52" t="s">
        <v>258</v>
      </c>
      <c r="G7" s="60">
        <v>9140</v>
      </c>
      <c r="H7" s="60">
        <v>19700</v>
      </c>
      <c r="I7" s="60">
        <v>3960</v>
      </c>
      <c r="K7" s="52" t="s">
        <v>256</v>
      </c>
      <c r="L7" s="61">
        <v>8540</v>
      </c>
      <c r="M7" s="61">
        <v>7960</v>
      </c>
      <c r="N7" s="61">
        <v>6470</v>
      </c>
    </row>
    <row r="8" spans="1:14">
      <c r="A8" s="52" t="s">
        <v>258</v>
      </c>
      <c r="B8" s="60">
        <v>3680</v>
      </c>
      <c r="C8" s="60">
        <v>2840</v>
      </c>
      <c r="D8" s="60">
        <v>3780</v>
      </c>
      <c r="F8" s="52" t="s">
        <v>256</v>
      </c>
      <c r="G8" s="60">
        <v>3300</v>
      </c>
      <c r="H8" s="60">
        <v>2840</v>
      </c>
      <c r="I8" s="60">
        <v>3740</v>
      </c>
      <c r="K8" s="52" t="s">
        <v>258</v>
      </c>
      <c r="L8" s="61">
        <v>6410</v>
      </c>
      <c r="M8" s="61">
        <v>11270</v>
      </c>
      <c r="N8" s="61">
        <v>3870</v>
      </c>
    </row>
  </sheetData>
  <sortState xmlns:xlrd2="http://schemas.microsoft.com/office/spreadsheetml/2017/richdata2" columnSort="1" ref="B4:D8">
    <sortCondition ref="B4:D4" customList="국제인증,전공인증,정보인증"/>
  </sortState>
  <dataConsolidate function="average" topLabels="1">
    <dataRefs count="2">
      <dataRef ref="A4:D8" sheet="분석작업-2"/>
      <dataRef ref="F4:I8" sheet="분석작업-2"/>
    </dataRefs>
  </dataConsolidate>
  <mergeCells count="1">
    <mergeCell ref="A1:N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7"/>
  <sheetViews>
    <sheetView workbookViewId="0"/>
  </sheetViews>
  <sheetFormatPr defaultRowHeight="16.5"/>
  <cols>
    <col min="2" max="2" width="14.625" customWidth="1"/>
    <col min="3" max="7" width="11.5" customWidth="1"/>
  </cols>
  <sheetData>
    <row r="1" spans="1:7">
      <c r="A1" s="6"/>
      <c r="B1" s="6"/>
      <c r="C1" s="6"/>
      <c r="D1" s="6"/>
      <c r="E1" s="6"/>
      <c r="F1" s="6"/>
      <c r="G1" s="6"/>
    </row>
    <row r="2" spans="1:7" ht="20.25">
      <c r="A2" s="6"/>
      <c r="B2" s="6"/>
      <c r="C2" s="65" t="s">
        <v>163</v>
      </c>
      <c r="D2" s="65"/>
      <c r="E2" s="65"/>
      <c r="F2" s="65"/>
      <c r="G2" s="6"/>
    </row>
    <row r="3" spans="1:7">
      <c r="A3" s="6"/>
      <c r="B3" s="6"/>
      <c r="C3" s="6"/>
      <c r="D3" s="6"/>
      <c r="E3" s="6"/>
      <c r="F3" s="6"/>
      <c r="G3" s="28" t="s">
        <v>164</v>
      </c>
    </row>
    <row r="4" spans="1:7">
      <c r="A4" s="6"/>
      <c r="B4" s="31" t="s">
        <v>165</v>
      </c>
      <c r="C4" s="31" t="s">
        <v>232</v>
      </c>
      <c r="D4" s="31" t="s">
        <v>233</v>
      </c>
      <c r="E4" s="31" t="s">
        <v>234</v>
      </c>
      <c r="F4" s="31" t="s">
        <v>235</v>
      </c>
      <c r="G4" s="31" t="s">
        <v>166</v>
      </c>
    </row>
    <row r="5" spans="1:7">
      <c r="A5" s="6"/>
      <c r="B5" s="18" t="s">
        <v>167</v>
      </c>
      <c r="C5" s="29">
        <v>15000</v>
      </c>
      <c r="D5" s="30">
        <v>12000</v>
      </c>
      <c r="E5" s="30">
        <v>21000</v>
      </c>
      <c r="F5" s="30">
        <v>29000</v>
      </c>
      <c r="G5" s="30">
        <v>19250</v>
      </c>
    </row>
    <row r="6" spans="1:7">
      <c r="A6" s="6"/>
      <c r="B6" s="18" t="s">
        <v>168</v>
      </c>
      <c r="C6" s="29">
        <v>16500</v>
      </c>
      <c r="D6" s="30">
        <v>17000</v>
      </c>
      <c r="E6" s="30">
        <v>13000</v>
      </c>
      <c r="F6" s="30">
        <v>26000</v>
      </c>
      <c r="G6" s="30">
        <v>18125</v>
      </c>
    </row>
    <row r="7" spans="1:7">
      <c r="A7" s="6"/>
      <c r="B7" s="18" t="s">
        <v>169</v>
      </c>
      <c r="C7" s="29">
        <v>13500</v>
      </c>
      <c r="D7" s="30">
        <v>12500</v>
      </c>
      <c r="E7" s="30">
        <v>14000</v>
      </c>
      <c r="F7" s="30">
        <v>22000</v>
      </c>
      <c r="G7" s="30">
        <v>15500</v>
      </c>
    </row>
  </sheetData>
  <mergeCells count="1">
    <mergeCell ref="C2:F2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5:F33"/>
  <sheetViews>
    <sheetView workbookViewId="0"/>
  </sheetViews>
  <sheetFormatPr defaultRowHeight="16.5" outlineLevelRow="3"/>
  <cols>
    <col min="1" max="1" width="21.125" bestFit="1" customWidth="1"/>
    <col min="2" max="2" width="11.125" customWidth="1"/>
    <col min="3" max="3" width="9.625" customWidth="1"/>
    <col min="4" max="4" width="13" customWidth="1"/>
    <col min="5" max="5" width="13.375" customWidth="1"/>
    <col min="6" max="6" width="9.625" customWidth="1"/>
  </cols>
  <sheetData>
    <row r="5" spans="1:6">
      <c r="A5" s="27" t="s">
        <v>146</v>
      </c>
      <c r="B5" s="27" t="s">
        <v>147</v>
      </c>
      <c r="C5" s="27" t="s">
        <v>148</v>
      </c>
      <c r="D5" s="27" t="s">
        <v>149</v>
      </c>
      <c r="E5" s="27" t="s">
        <v>150</v>
      </c>
      <c r="F5" s="27" t="s">
        <v>151</v>
      </c>
    </row>
    <row r="6" spans="1:6" outlineLevel="3">
      <c r="A6" s="19" t="s">
        <v>52</v>
      </c>
      <c r="B6" s="20" t="s">
        <v>152</v>
      </c>
      <c r="C6" s="20" t="s">
        <v>153</v>
      </c>
      <c r="D6" s="21">
        <v>44776</v>
      </c>
      <c r="E6" s="22">
        <v>6000000</v>
      </c>
      <c r="F6" s="20">
        <v>24</v>
      </c>
    </row>
    <row r="7" spans="1:6" outlineLevel="3">
      <c r="A7" s="19" t="s">
        <v>52</v>
      </c>
      <c r="B7" s="20" t="s">
        <v>61</v>
      </c>
      <c r="C7" s="20" t="s">
        <v>62</v>
      </c>
      <c r="D7" s="21">
        <v>45047</v>
      </c>
      <c r="E7" s="22">
        <v>5000000</v>
      </c>
      <c r="F7" s="20">
        <v>24</v>
      </c>
    </row>
    <row r="8" spans="1:6" outlineLevel="3">
      <c r="A8" s="19" t="s">
        <v>52</v>
      </c>
      <c r="B8" s="20" t="s">
        <v>137</v>
      </c>
      <c r="C8" s="20" t="s">
        <v>160</v>
      </c>
      <c r="D8" s="21">
        <v>45101</v>
      </c>
      <c r="E8" s="22">
        <v>10000000</v>
      </c>
      <c r="F8" s="20">
        <v>30</v>
      </c>
    </row>
    <row r="9" spans="1:6" outlineLevel="3">
      <c r="A9" s="19" t="s">
        <v>52</v>
      </c>
      <c r="B9" s="20" t="s">
        <v>161</v>
      </c>
      <c r="C9" s="20" t="s">
        <v>162</v>
      </c>
      <c r="D9" s="21">
        <v>45060</v>
      </c>
      <c r="E9" s="22">
        <v>5000000</v>
      </c>
      <c r="F9" s="20">
        <v>18</v>
      </c>
    </row>
    <row r="10" spans="1:6" outlineLevel="2">
      <c r="A10" s="43" t="s">
        <v>220</v>
      </c>
      <c r="B10" s="20"/>
      <c r="C10" s="20">
        <f>SUBTOTAL(3,C6:C9)</f>
        <v>4</v>
      </c>
      <c r="D10" s="21"/>
      <c r="E10" s="22"/>
      <c r="F10" s="20"/>
    </row>
    <row r="11" spans="1:6" outlineLevel="1">
      <c r="A11" s="43" t="s">
        <v>215</v>
      </c>
      <c r="B11" s="20"/>
      <c r="C11" s="20"/>
      <c r="D11" s="21"/>
      <c r="E11" s="22">
        <f>SUBTOTAL(1,E6:E9)</f>
        <v>6500000</v>
      </c>
      <c r="F11" s="20">
        <f>SUBTOTAL(1,F6:F9)</f>
        <v>24</v>
      </c>
    </row>
    <row r="12" spans="1:6" outlineLevel="3">
      <c r="A12" s="19" t="s">
        <v>20</v>
      </c>
      <c r="B12" s="20" t="s">
        <v>69</v>
      </c>
      <c r="C12" s="20" t="s">
        <v>70</v>
      </c>
      <c r="D12" s="21">
        <v>45089</v>
      </c>
      <c r="E12" s="22">
        <v>5000000</v>
      </c>
      <c r="F12" s="20">
        <v>30</v>
      </c>
    </row>
    <row r="13" spans="1:6" outlineLevel="3">
      <c r="A13" s="19" t="s">
        <v>20</v>
      </c>
      <c r="B13" s="20" t="s">
        <v>85</v>
      </c>
      <c r="C13" s="20" t="s">
        <v>86</v>
      </c>
      <c r="D13" s="21">
        <v>45275</v>
      </c>
      <c r="E13" s="22">
        <v>5000000</v>
      </c>
      <c r="F13" s="20">
        <v>18</v>
      </c>
    </row>
    <row r="14" spans="1:6" outlineLevel="3">
      <c r="A14" s="19" t="s">
        <v>20</v>
      </c>
      <c r="B14" s="20" t="s">
        <v>43</v>
      </c>
      <c r="C14" s="20" t="s">
        <v>44</v>
      </c>
      <c r="D14" s="21">
        <v>44790</v>
      </c>
      <c r="E14" s="22">
        <v>8000000</v>
      </c>
      <c r="F14" s="20">
        <v>30</v>
      </c>
    </row>
    <row r="15" spans="1:6" outlineLevel="3">
      <c r="A15" s="19" t="s">
        <v>20</v>
      </c>
      <c r="B15" s="20" t="s">
        <v>156</v>
      </c>
      <c r="C15" s="20" t="s">
        <v>157</v>
      </c>
      <c r="D15" s="21">
        <v>45181</v>
      </c>
      <c r="E15" s="22">
        <v>3000000</v>
      </c>
      <c r="F15" s="20">
        <v>24</v>
      </c>
    </row>
    <row r="16" spans="1:6" outlineLevel="3">
      <c r="A16" s="19" t="s">
        <v>20</v>
      </c>
      <c r="B16" s="20" t="s">
        <v>158</v>
      </c>
      <c r="C16" s="20" t="s">
        <v>159</v>
      </c>
      <c r="D16" s="21">
        <v>45257</v>
      </c>
      <c r="E16" s="22">
        <v>3000000</v>
      </c>
      <c r="F16" s="20">
        <v>24</v>
      </c>
    </row>
    <row r="17" spans="1:6" outlineLevel="3">
      <c r="A17" s="39" t="s">
        <v>20</v>
      </c>
      <c r="B17" s="40" t="s">
        <v>21</v>
      </c>
      <c r="C17" s="40" t="s">
        <v>22</v>
      </c>
      <c r="D17" s="41">
        <v>44424</v>
      </c>
      <c r="E17" s="42">
        <v>2000000</v>
      </c>
      <c r="F17" s="40">
        <v>36</v>
      </c>
    </row>
    <row r="18" spans="1:6" outlineLevel="2">
      <c r="A18" s="44" t="s">
        <v>221</v>
      </c>
      <c r="B18" s="40"/>
      <c r="C18" s="40">
        <f>SUBTOTAL(3,C12:C17)</f>
        <v>6</v>
      </c>
      <c r="D18" s="41"/>
      <c r="E18" s="42"/>
      <c r="F18" s="40"/>
    </row>
    <row r="19" spans="1:6" outlineLevel="1">
      <c r="A19" s="44" t="s">
        <v>216</v>
      </c>
      <c r="B19" s="40"/>
      <c r="C19" s="40"/>
      <c r="D19" s="41"/>
      <c r="E19" s="42">
        <f>SUBTOTAL(1,E12:E17)</f>
        <v>4333333.333333333</v>
      </c>
      <c r="F19" s="40">
        <f>SUBTOTAL(1,F12:F17)</f>
        <v>27</v>
      </c>
    </row>
    <row r="20" spans="1:6" outlineLevel="3">
      <c r="A20" s="19" t="s">
        <v>30</v>
      </c>
      <c r="B20" s="20" t="s">
        <v>65</v>
      </c>
      <c r="C20" s="20" t="s">
        <v>66</v>
      </c>
      <c r="D20" s="21">
        <v>45072</v>
      </c>
      <c r="E20" s="22">
        <v>4000000</v>
      </c>
      <c r="F20" s="20">
        <v>48</v>
      </c>
    </row>
    <row r="21" spans="1:6" outlineLevel="3">
      <c r="A21" s="19" t="s">
        <v>30</v>
      </c>
      <c r="B21" s="20" t="s">
        <v>77</v>
      </c>
      <c r="C21" s="20" t="s">
        <v>78</v>
      </c>
      <c r="D21" s="21">
        <v>45223</v>
      </c>
      <c r="E21" s="22">
        <v>2500000</v>
      </c>
      <c r="F21" s="20">
        <v>12</v>
      </c>
    </row>
    <row r="22" spans="1:6" outlineLevel="3">
      <c r="A22" s="19" t="s">
        <v>30</v>
      </c>
      <c r="B22" s="20" t="s">
        <v>35</v>
      </c>
      <c r="C22" s="20" t="s">
        <v>36</v>
      </c>
      <c r="D22" s="21">
        <v>44699</v>
      </c>
      <c r="E22" s="22">
        <v>3000000</v>
      </c>
      <c r="F22" s="20">
        <v>36</v>
      </c>
    </row>
    <row r="23" spans="1:6" outlineLevel="2">
      <c r="A23" s="43" t="s">
        <v>222</v>
      </c>
      <c r="B23" s="20"/>
      <c r="C23" s="20">
        <f>SUBTOTAL(3,C20:C22)</f>
        <v>3</v>
      </c>
      <c r="D23" s="21"/>
      <c r="E23" s="22"/>
      <c r="F23" s="20"/>
    </row>
    <row r="24" spans="1:6" outlineLevel="1">
      <c r="A24" s="43" t="s">
        <v>217</v>
      </c>
      <c r="B24" s="20"/>
      <c r="C24" s="20"/>
      <c r="D24" s="21"/>
      <c r="E24" s="22">
        <f>SUBTOTAL(1,E20:E22)</f>
        <v>3166666.6666666665</v>
      </c>
      <c r="F24" s="20">
        <f>SUBTOTAL(1,F20:F22)</f>
        <v>32</v>
      </c>
    </row>
    <row r="25" spans="1:6" outlineLevel="3">
      <c r="A25" s="19" t="s">
        <v>14</v>
      </c>
      <c r="B25" s="20" t="s">
        <v>31</v>
      </c>
      <c r="C25" s="20" t="s">
        <v>32</v>
      </c>
      <c r="D25" s="21">
        <v>44642</v>
      </c>
      <c r="E25" s="22">
        <v>15000000</v>
      </c>
      <c r="F25" s="20">
        <v>60</v>
      </c>
    </row>
    <row r="26" spans="1:6" outlineLevel="3">
      <c r="A26" s="19" t="s">
        <v>14</v>
      </c>
      <c r="B26" s="20" t="s">
        <v>9</v>
      </c>
      <c r="C26" s="20" t="s">
        <v>10</v>
      </c>
      <c r="D26" s="21">
        <v>44032</v>
      </c>
      <c r="E26" s="22">
        <v>15000000</v>
      </c>
      <c r="F26" s="20">
        <v>60</v>
      </c>
    </row>
    <row r="27" spans="1:6" outlineLevel="3">
      <c r="A27" s="19" t="s">
        <v>14</v>
      </c>
      <c r="B27" s="20" t="s">
        <v>81</v>
      </c>
      <c r="C27" s="20" t="s">
        <v>82</v>
      </c>
      <c r="D27" s="21">
        <v>45263</v>
      </c>
      <c r="E27" s="22">
        <v>35000000</v>
      </c>
      <c r="F27" s="20">
        <v>24</v>
      </c>
    </row>
    <row r="28" spans="1:6" outlineLevel="3">
      <c r="A28" s="19" t="s">
        <v>14</v>
      </c>
      <c r="B28" s="20" t="s">
        <v>154</v>
      </c>
      <c r="C28" s="20" t="s">
        <v>155</v>
      </c>
      <c r="D28" s="21">
        <v>44904</v>
      </c>
      <c r="E28" s="22">
        <v>15000000</v>
      </c>
      <c r="F28" s="20">
        <v>30</v>
      </c>
    </row>
    <row r="29" spans="1:6" outlineLevel="3">
      <c r="A29" s="23" t="s">
        <v>14</v>
      </c>
      <c r="B29" s="24" t="s">
        <v>57</v>
      </c>
      <c r="C29" s="24" t="s">
        <v>58</v>
      </c>
      <c r="D29" s="25">
        <v>44946</v>
      </c>
      <c r="E29" s="26">
        <v>27000000</v>
      </c>
      <c r="F29" s="24">
        <v>48</v>
      </c>
    </row>
    <row r="30" spans="1:6" outlineLevel="2">
      <c r="A30" s="44" t="s">
        <v>223</v>
      </c>
      <c r="B30" s="40"/>
      <c r="C30" s="40">
        <f>SUBTOTAL(3,C25:C29)</f>
        <v>5</v>
      </c>
      <c r="D30" s="41"/>
      <c r="E30" s="42"/>
      <c r="F30" s="40"/>
    </row>
    <row r="31" spans="1:6" outlineLevel="1">
      <c r="A31" s="44" t="s">
        <v>218</v>
      </c>
      <c r="B31" s="40"/>
      <c r="C31" s="40"/>
      <c r="D31" s="41"/>
      <c r="E31" s="42">
        <f>SUBTOTAL(1,E25:E29)</f>
        <v>21400000</v>
      </c>
      <c r="F31" s="40">
        <f>SUBTOTAL(1,F25:F29)</f>
        <v>44.4</v>
      </c>
    </row>
    <row r="32" spans="1:6">
      <c r="A32" s="44" t="s">
        <v>224</v>
      </c>
      <c r="B32" s="40"/>
      <c r="C32" s="40">
        <f>SUBTOTAL(3,C6:C29)</f>
        <v>18</v>
      </c>
      <c r="D32" s="41"/>
      <c r="E32" s="42"/>
      <c r="F32" s="40"/>
    </row>
    <row r="33" spans="1:6">
      <c r="A33" s="44" t="s">
        <v>219</v>
      </c>
      <c r="B33" s="40"/>
      <c r="C33" s="40"/>
      <c r="D33" s="41"/>
      <c r="E33" s="42">
        <f>SUBTOTAL(1,E6:E29)</f>
        <v>9361111.1111111119</v>
      </c>
      <c r="F33" s="40">
        <f>SUBTOTAL(1,F6:F29)</f>
        <v>32</v>
      </c>
    </row>
  </sheetData>
  <sortState xmlns:xlrd2="http://schemas.microsoft.com/office/spreadsheetml/2017/richdata2" ref="A6:F23">
    <sortCondition ref="A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부분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부분합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1:G15"/>
  <sheetViews>
    <sheetView workbookViewId="0"/>
  </sheetViews>
  <sheetFormatPr defaultRowHeight="16.5"/>
  <cols>
    <col min="1" max="1" width="3.625" customWidth="1"/>
    <col min="2" max="4" width="12.75" customWidth="1"/>
    <col min="5" max="5" width="11.125" customWidth="1"/>
  </cols>
  <sheetData>
    <row r="1" spans="2:7">
      <c r="B1" s="5"/>
      <c r="C1" s="5"/>
      <c r="D1" s="5"/>
      <c r="E1" s="5"/>
    </row>
    <row r="2" spans="2:7" ht="17.25">
      <c r="B2" s="32" t="s">
        <v>170</v>
      </c>
      <c r="C2" s="32" t="s">
        <v>171</v>
      </c>
      <c r="D2" s="32" t="s">
        <v>172</v>
      </c>
      <c r="E2" s="32" t="s">
        <v>173</v>
      </c>
    </row>
    <row r="3" spans="2:7">
      <c r="B3" s="33" t="s">
        <v>174</v>
      </c>
      <c r="C3" s="34" t="s">
        <v>175</v>
      </c>
      <c r="D3" s="35">
        <v>1500000</v>
      </c>
      <c r="E3" s="33" t="s">
        <v>13</v>
      </c>
    </row>
    <row r="4" spans="2:7">
      <c r="B4" s="33" t="s">
        <v>176</v>
      </c>
      <c r="C4" s="34" t="s">
        <v>177</v>
      </c>
      <c r="D4" s="35">
        <v>25000000</v>
      </c>
      <c r="E4" s="33" t="s">
        <v>19</v>
      </c>
    </row>
    <row r="5" spans="2:7">
      <c r="B5" s="33" t="s">
        <v>178</v>
      </c>
      <c r="C5" s="34" t="s">
        <v>179</v>
      </c>
      <c r="D5" s="35">
        <v>2800000</v>
      </c>
      <c r="E5" s="33" t="s">
        <v>25</v>
      </c>
    </row>
    <row r="6" spans="2:7">
      <c r="B6" s="33" t="s">
        <v>180</v>
      </c>
      <c r="C6" s="34" t="s">
        <v>181</v>
      </c>
      <c r="D6" s="35">
        <v>2000000</v>
      </c>
      <c r="E6" s="33" t="s">
        <v>25</v>
      </c>
      <c r="G6" t="s">
        <v>225</v>
      </c>
    </row>
    <row r="7" spans="2:7">
      <c r="B7" s="33" t="s">
        <v>182</v>
      </c>
      <c r="C7" s="34" t="s">
        <v>183</v>
      </c>
      <c r="D7" s="35">
        <v>20000000</v>
      </c>
      <c r="E7" s="15" t="s">
        <v>184</v>
      </c>
    </row>
    <row r="8" spans="2:7">
      <c r="B8" s="33" t="s">
        <v>185</v>
      </c>
      <c r="C8" s="34" t="s">
        <v>186</v>
      </c>
      <c r="D8" s="35">
        <v>3500000</v>
      </c>
      <c r="E8" s="15" t="s">
        <v>187</v>
      </c>
    </row>
    <row r="9" spans="2:7">
      <c r="B9" s="33" t="s">
        <v>188</v>
      </c>
      <c r="C9" s="34" t="s">
        <v>189</v>
      </c>
      <c r="D9" s="35">
        <v>18000000</v>
      </c>
      <c r="E9" s="15" t="s">
        <v>190</v>
      </c>
    </row>
    <row r="10" spans="2:7">
      <c r="B10" s="33" t="s">
        <v>191</v>
      </c>
      <c r="C10" s="34" t="s">
        <v>181</v>
      </c>
      <c r="D10" s="35">
        <v>30000000</v>
      </c>
      <c r="E10" s="15" t="s">
        <v>145</v>
      </c>
    </row>
    <row r="11" spans="2:7">
      <c r="B11" s="33" t="s">
        <v>192</v>
      </c>
      <c r="C11" s="34" t="s">
        <v>181</v>
      </c>
      <c r="D11" s="35">
        <v>5000000</v>
      </c>
      <c r="E11" s="15" t="s">
        <v>193</v>
      </c>
    </row>
    <row r="12" spans="2:7">
      <c r="B12" s="33" t="s">
        <v>194</v>
      </c>
      <c r="C12" s="34" t="s">
        <v>179</v>
      </c>
      <c r="D12" s="35">
        <v>36000000</v>
      </c>
      <c r="E12" s="15" t="s">
        <v>195</v>
      </c>
    </row>
    <row r="13" spans="2:7">
      <c r="B13" s="33" t="s">
        <v>196</v>
      </c>
      <c r="C13" s="34" t="s">
        <v>183</v>
      </c>
      <c r="D13" s="35">
        <v>40000000</v>
      </c>
      <c r="E13" s="15" t="s">
        <v>197</v>
      </c>
    </row>
    <row r="14" spans="2:7">
      <c r="B14" s="33" t="s">
        <v>198</v>
      </c>
      <c r="C14" s="34" t="s">
        <v>183</v>
      </c>
      <c r="D14" s="35">
        <v>20000000</v>
      </c>
      <c r="E14" s="15" t="s">
        <v>199</v>
      </c>
    </row>
    <row r="15" spans="2:7">
      <c r="B15" s="33" t="s">
        <v>200</v>
      </c>
      <c r="C15" s="34" t="s">
        <v>186</v>
      </c>
      <c r="D15" s="35">
        <v>30000000</v>
      </c>
      <c r="E15" s="15" t="s">
        <v>201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대출신청">
          <controlPr defaultSize="0" autoLine="0" autoPict="0" r:id="rId4">
            <anchor moveWithCells="1">
              <from>
                <xdr:col>6</xdr:col>
                <xdr:colOff>0</xdr:colOff>
                <xdr:row>1</xdr:row>
                <xdr:rowOff>0</xdr:rowOff>
              </from>
              <to>
                <xdr:col>8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7169" r:id="rId3" name="대출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5</vt:i4>
      </vt:variant>
    </vt:vector>
  </HeadingPairs>
  <TitlesOfParts>
    <vt:vector size="13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계산작업!MS_Access_Database_Query_4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2020-07-29T01:31:54Z</cp:lastPrinted>
  <dcterms:created xsi:type="dcterms:W3CDTF">2020-04-07T06:00:22Z</dcterms:created>
  <dcterms:modified xsi:type="dcterms:W3CDTF">2023-08-11T11:39:21Z</dcterms:modified>
</cp:coreProperties>
</file>