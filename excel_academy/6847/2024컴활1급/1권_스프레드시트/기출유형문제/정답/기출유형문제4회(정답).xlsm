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변형문제\정답\"/>
    </mc:Choice>
  </mc:AlternateContent>
  <xr:revisionPtr revIDLastSave="0" documentId="13_ncr:1_{2D5472EF-4DD8-4BFE-8C5E-B12C22AD8C2C}" xr6:coauthVersionLast="47" xr6:coauthVersionMax="47" xr10:uidLastSave="{00000000-0000-0000-0000-000000000000}"/>
  <bookViews>
    <workbookView xWindow="3540" yWindow="1275" windowWidth="17460" windowHeight="16815" tabRatio="936" xr2:uid="{00000000-000D-0000-FFFF-FFFF00000000}"/>
  </bookViews>
  <sheets>
    <sheet name="기본작업-1" sheetId="2" r:id="rId1"/>
    <sheet name="기본작업-2" sheetId="10" r:id="rId2"/>
    <sheet name="계산작업" sheetId="14" r:id="rId3"/>
    <sheet name="분석작업-1" sheetId="9" r:id="rId4"/>
    <sheet name="시나리오 요약" sheetId="13" r:id="rId5"/>
    <sheet name="분석작업-2" sheetId="5" r:id="rId6"/>
    <sheet name="기타작업-1" sheetId="6" r:id="rId7"/>
    <sheet name="기타작업-2" sheetId="11" r:id="rId8"/>
    <sheet name="기타작업-3" sheetId="7" r:id="rId9"/>
  </sheets>
  <functionGroups builtInGroupCount="19"/>
  <definedNames>
    <definedName name="_xlnm._FilterDatabase" localSheetId="0" hidden="1">'기본작업-1'!$A$3:$F$28</definedName>
    <definedName name="_xlnm._FilterDatabase" localSheetId="1" hidden="1">'기본작업-2'!$A$3:$F$28</definedName>
    <definedName name="_xlnm._FilterDatabase" localSheetId="5" hidden="1">'분석작업-2'!$B$2:$G$23</definedName>
    <definedName name="_xlnm.Criteria" localSheetId="0">'기본작업-1'!$A$30:$A$31</definedName>
    <definedName name="_xlnm.Criteria" localSheetId="1">'기본작업-2'!#REF!</definedName>
    <definedName name="_xlnm.Extract" localSheetId="0">'기본작업-1'!$A$34:$D$34</definedName>
    <definedName name="_xlnm.Extract" localSheetId="1">'기본작업-2'!#REF!</definedName>
    <definedName name="_xlnm.Print_Area" localSheetId="1">'기본작업-2'!$A$1:$F$28</definedName>
    <definedName name="적립률">'분석작업-2'!$D$27</definedName>
    <definedName name="포인트합계">'분석작업-2'!$G$24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4" l="1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3" i="14"/>
  <c r="I12" i="14" l="1" a="1"/>
  <c r="I12" i="14" s="1"/>
  <c r="I13" i="14" a="1"/>
  <c r="I13" i="14" s="1"/>
  <c r="I11" i="14" a="1"/>
  <c r="I11" i="14" s="1"/>
  <c r="J3" i="14" a="1"/>
  <c r="J3" i="14" s="1"/>
  <c r="K23" i="14" a="1"/>
  <c r="K20" i="14" a="1"/>
  <c r="K17" i="14" a="1"/>
  <c r="K19" i="14" a="1"/>
  <c r="K25" i="14" a="1"/>
  <c r="K21" i="14" a="1"/>
  <c r="K18" i="14" a="1"/>
  <c r="K22" i="14" a="1"/>
  <c r="K24" i="14" a="1"/>
  <c r="K25" i="14" l="1"/>
  <c r="K24" i="14"/>
  <c r="K18" i="14"/>
  <c r="K21" i="14"/>
  <c r="K20" i="14"/>
  <c r="K22" i="14"/>
  <c r="K19" i="14"/>
  <c r="K17" i="14"/>
  <c r="K23" i="14"/>
  <c r="K13" i="14"/>
  <c r="J13" i="14"/>
  <c r="K12" i="14"/>
  <c r="J12" i="14"/>
  <c r="J11" i="14"/>
  <c r="K11" i="14"/>
  <c r="J5" i="14"/>
  <c r="J7" i="14"/>
  <c r="J4" i="14"/>
  <c r="J6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3" i="14"/>
  <c r="G23" i="5" l="1"/>
  <c r="G22" i="5"/>
  <c r="G19" i="5"/>
  <c r="G7" i="5"/>
  <c r="G14" i="5"/>
  <c r="G6" i="5"/>
  <c r="G15" i="5"/>
  <c r="G11" i="5"/>
  <c r="G10" i="5"/>
  <c r="G18" i="5"/>
  <c r="G3" i="5"/>
  <c r="G5" i="5"/>
  <c r="G4" i="5"/>
  <c r="G9" i="5"/>
  <c r="G21" i="5"/>
  <c r="G20" i="5"/>
  <c r="G12" i="5"/>
  <c r="G13" i="5"/>
  <c r="G8" i="5"/>
  <c r="G17" i="5"/>
  <c r="G16" i="5"/>
  <c r="C27" i="5" l="1"/>
  <c r="A31" i="2"/>
  <c r="G24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핸드폰.accdb;DefaultDir=E:\영진(2021년)\1급\excel\스프레드시트(파일) - 최종\모의고사;DriverId=25;FIL=MS Access;MaxBufferSize=2048;PageTimeout=5;" command="SELECT 핸드폰상폼목록.출시일, 핸드폰상폼목록.통신사, 핸드폰상폼목록.단말기가격, 핸드폰상폼목록.기타비용_x000d__x000a_FROM 핸드폰상폼목록 핸드폰상폼목록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<sst xmlns="http://schemas.openxmlformats.org/spreadsheetml/2006/main" count="546" uniqueCount="234">
  <si>
    <t>[표1]</t>
    <phoneticPr fontId="4" type="noConversion"/>
  </si>
  <si>
    <t>영업팀 직급별 연봉 현황</t>
    <phoneticPr fontId="4" type="noConversion"/>
  </si>
  <si>
    <t>입사일</t>
    <phoneticPr fontId="4" type="noConversion"/>
  </si>
  <si>
    <t>성명</t>
    <phoneticPr fontId="4" type="noConversion"/>
  </si>
  <si>
    <t>부서</t>
    <phoneticPr fontId="4" type="noConversion"/>
  </si>
  <si>
    <t>직급</t>
    <phoneticPr fontId="4" type="noConversion"/>
  </si>
  <si>
    <t>주민번호</t>
    <phoneticPr fontId="4" type="noConversion"/>
  </si>
  <si>
    <t>연봉</t>
    <phoneticPr fontId="4" type="noConversion"/>
  </si>
  <si>
    <t>김경원</t>
  </si>
  <si>
    <t>영업3팀</t>
  </si>
  <si>
    <t>과장</t>
  </si>
  <si>
    <t>841213-1123456</t>
    <phoneticPr fontId="1" type="noConversion"/>
  </si>
  <si>
    <t>김규진</t>
  </si>
  <si>
    <t>영업1팀</t>
    <phoneticPr fontId="4" type="noConversion"/>
  </si>
  <si>
    <t>대리</t>
  </si>
  <si>
    <t>김기대</t>
  </si>
  <si>
    <t>김기도</t>
  </si>
  <si>
    <t>사원</t>
  </si>
  <si>
    <t>김무영</t>
  </si>
  <si>
    <t>영업2팀</t>
  </si>
  <si>
    <t>김상국</t>
  </si>
  <si>
    <t>김석영</t>
  </si>
  <si>
    <t>김수찬</t>
  </si>
  <si>
    <t>김식상</t>
  </si>
  <si>
    <t>부장</t>
  </si>
  <si>
    <t>671018-1123456</t>
    <phoneticPr fontId="1" type="noConversion"/>
  </si>
  <si>
    <t>김아슬</t>
  </si>
  <si>
    <t>김학종</t>
  </si>
  <si>
    <t>문일규</t>
  </si>
  <si>
    <t>691010-2123456</t>
    <phoneticPr fontId="1" type="noConversion"/>
  </si>
  <si>
    <t>박용화</t>
  </si>
  <si>
    <t>서필기</t>
  </si>
  <si>
    <t>700823-1123456</t>
    <phoneticPr fontId="1" type="noConversion"/>
  </si>
  <si>
    <t>안채상</t>
  </si>
  <si>
    <t>860108-1123456</t>
    <phoneticPr fontId="1" type="noConversion"/>
  </si>
  <si>
    <t>양은주</t>
  </si>
  <si>
    <t>유희만</t>
  </si>
  <si>
    <t>윤호도</t>
  </si>
  <si>
    <t>721212-1123456</t>
    <phoneticPr fontId="1" type="noConversion"/>
  </si>
  <si>
    <t>이상얼</t>
  </si>
  <si>
    <t>이우중</t>
  </si>
  <si>
    <t>이주신</t>
  </si>
  <si>
    <t>장선용</t>
  </si>
  <si>
    <t>조현성</t>
  </si>
  <si>
    <t>최덕희</t>
  </si>
  <si>
    <t>한정수</t>
    <phoneticPr fontId="4" type="noConversion"/>
  </si>
  <si>
    <t>영진통신</t>
  </si>
  <si>
    <t>한국통신</t>
  </si>
  <si>
    <t>통신사</t>
  </si>
  <si>
    <t>단말기가격</t>
  </si>
  <si>
    <t>기타비용</t>
  </si>
  <si>
    <t>출시일</t>
  </si>
  <si>
    <t>나래통신</t>
  </si>
  <si>
    <t>KR도메인수(연도별) (수치)</t>
  </si>
  <si>
    <t>분류</t>
  </si>
  <si>
    <t>KR도메인수</t>
  </si>
  <si>
    <t>증감</t>
  </si>
  <si>
    <t>납부일</t>
    <phoneticPr fontId="4" type="noConversion"/>
  </si>
  <si>
    <t>요금코드</t>
    <phoneticPr fontId="4" type="noConversion"/>
  </si>
  <si>
    <t>통신사</t>
    <phoneticPr fontId="4" type="noConversion"/>
  </si>
  <si>
    <r>
      <t>사용시간(초</t>
    </r>
    <r>
      <rPr>
        <sz val="11"/>
        <color theme="1"/>
        <rFont val="맑은 고딕"/>
        <family val="3"/>
        <charset val="129"/>
        <scheme val="minor"/>
      </rPr>
      <t>)</t>
    </r>
    <phoneticPr fontId="4" type="noConversion"/>
  </si>
  <si>
    <t>기본요금</t>
    <phoneticPr fontId="4" type="noConversion"/>
  </si>
  <si>
    <t>사용요금</t>
    <phoneticPr fontId="4" type="noConversion"/>
  </si>
  <si>
    <t>[참조표]</t>
    <phoneticPr fontId="4" type="noConversion"/>
  </si>
  <si>
    <t>요금코드</t>
    <phoneticPr fontId="4" type="noConversion"/>
  </si>
  <si>
    <t>통신사</t>
    <phoneticPr fontId="4" type="noConversion"/>
  </si>
  <si>
    <t>A001</t>
    <phoneticPr fontId="4" type="noConversion"/>
  </si>
  <si>
    <t>영진통신</t>
    <phoneticPr fontId="4" type="noConversion"/>
  </si>
  <si>
    <t>A002</t>
    <phoneticPr fontId="4" type="noConversion"/>
  </si>
  <si>
    <t>제일통신</t>
    <phoneticPr fontId="4" type="noConversion"/>
  </si>
  <si>
    <t>A003</t>
  </si>
  <si>
    <r>
      <t>K</t>
    </r>
    <r>
      <rPr>
        <sz val="11"/>
        <color theme="1"/>
        <rFont val="맑은 고딕"/>
        <family val="3"/>
        <charset val="129"/>
        <scheme val="minor"/>
      </rPr>
      <t>G통신</t>
    </r>
    <phoneticPr fontId="4" type="noConversion"/>
  </si>
  <si>
    <t>A004</t>
  </si>
  <si>
    <r>
      <t>K</t>
    </r>
    <r>
      <rPr>
        <sz val="11"/>
        <color theme="1"/>
        <rFont val="맑은 고딕"/>
        <family val="3"/>
        <charset val="129"/>
        <scheme val="minor"/>
      </rPr>
      <t>NOU통신</t>
    </r>
    <phoneticPr fontId="4" type="noConversion"/>
  </si>
  <si>
    <t>A005</t>
  </si>
  <si>
    <t>한국통신</t>
    <phoneticPr fontId="4" type="noConversion"/>
  </si>
  <si>
    <t>A006</t>
  </si>
  <si>
    <t>국제통신</t>
    <phoneticPr fontId="4" type="noConversion"/>
  </si>
  <si>
    <t>총합계</t>
  </si>
  <si>
    <t>1월</t>
  </si>
  <si>
    <t>2월</t>
  </si>
  <si>
    <t>1월 요약</t>
  </si>
  <si>
    <t>2월 요약</t>
  </si>
  <si>
    <t>판매조건</t>
  </si>
  <si>
    <t>기변</t>
  </si>
  <si>
    <t>번호이동</t>
  </si>
  <si>
    <t>보상</t>
  </si>
  <si>
    <t>신규</t>
  </si>
  <si>
    <t>[표1]</t>
    <phoneticPr fontId="1" type="noConversion"/>
  </si>
  <si>
    <t>등급</t>
    <phoneticPr fontId="4" type="noConversion"/>
  </si>
  <si>
    <t>성별</t>
    <phoneticPr fontId="4" type="noConversion"/>
  </si>
  <si>
    <t>생년월일</t>
    <phoneticPr fontId="4" type="noConversion"/>
  </si>
  <si>
    <t>감은영</t>
    <phoneticPr fontId="4" type="noConversion"/>
  </si>
  <si>
    <t>그린</t>
    <phoneticPr fontId="4" type="noConversion"/>
  </si>
  <si>
    <t>여자</t>
  </si>
  <si>
    <t>김경남</t>
    <phoneticPr fontId="4" type="noConversion"/>
  </si>
  <si>
    <t>남자</t>
  </si>
  <si>
    <t>김미진</t>
    <phoneticPr fontId="4" type="noConversion"/>
  </si>
  <si>
    <t>레드</t>
    <phoneticPr fontId="4" type="noConversion"/>
  </si>
  <si>
    <t>김수철</t>
    <phoneticPr fontId="4" type="noConversion"/>
  </si>
  <si>
    <t>김인정</t>
    <phoneticPr fontId="4" type="noConversion"/>
  </si>
  <si>
    <t>김현호</t>
    <phoneticPr fontId="4" type="noConversion"/>
  </si>
  <si>
    <t>블루</t>
    <phoneticPr fontId="4" type="noConversion"/>
  </si>
  <si>
    <t>김호철</t>
    <phoneticPr fontId="4" type="noConversion"/>
  </si>
  <si>
    <t>나경은</t>
    <phoneticPr fontId="4" type="noConversion"/>
  </si>
  <si>
    <t>박영옥</t>
    <phoneticPr fontId="4" type="noConversion"/>
  </si>
  <si>
    <t>실버</t>
    <phoneticPr fontId="4" type="noConversion"/>
  </si>
  <si>
    <t>박주철</t>
    <phoneticPr fontId="4" type="noConversion"/>
  </si>
  <si>
    <t>서승현</t>
    <phoneticPr fontId="4" type="noConversion"/>
  </si>
  <si>
    <t>안수진</t>
    <phoneticPr fontId="4" type="noConversion"/>
  </si>
  <si>
    <t>이강우</t>
    <phoneticPr fontId="4" type="noConversion"/>
  </si>
  <si>
    <t>이미연</t>
    <phoneticPr fontId="4" type="noConversion"/>
  </si>
  <si>
    <t>이영호</t>
    <phoneticPr fontId="4" type="noConversion"/>
  </si>
  <si>
    <t>이혜원</t>
    <phoneticPr fontId="4" type="noConversion"/>
  </si>
  <si>
    <t>정명화</t>
    <phoneticPr fontId="4" type="noConversion"/>
  </si>
  <si>
    <t>차동철</t>
    <phoneticPr fontId="4" type="noConversion"/>
  </si>
  <si>
    <t>박영희</t>
    <phoneticPr fontId="4" type="noConversion"/>
  </si>
  <si>
    <t>박재원</t>
    <phoneticPr fontId="4" type="noConversion"/>
  </si>
  <si>
    <t>조건</t>
    <phoneticPr fontId="1" type="noConversion"/>
  </si>
  <si>
    <t>단말기가격평균</t>
  </si>
  <si>
    <t>기타비용평균</t>
  </si>
  <si>
    <t>제품코드</t>
    <phoneticPr fontId="1" type="noConversion"/>
  </si>
  <si>
    <t>SA-1</t>
    <phoneticPr fontId="1" type="noConversion"/>
  </si>
  <si>
    <t>SA-2</t>
  </si>
  <si>
    <t>SA-3</t>
  </si>
  <si>
    <t>SA-4</t>
  </si>
  <si>
    <t>SA-5</t>
  </si>
  <si>
    <t>SA-6</t>
  </si>
  <si>
    <t>SA-7</t>
  </si>
  <si>
    <t>SA-8</t>
  </si>
  <si>
    <t>SA-9</t>
  </si>
  <si>
    <t>SA-10</t>
  </si>
  <si>
    <t>SA-11</t>
  </si>
  <si>
    <t>SA-12</t>
  </si>
  <si>
    <t>SA-13</t>
  </si>
  <si>
    <t>SA-14</t>
  </si>
  <si>
    <t>SA-15</t>
  </si>
  <si>
    <t>SA-16</t>
  </si>
  <si>
    <t>SA-17</t>
  </si>
  <si>
    <t>SA-18</t>
  </si>
  <si>
    <t>SA-19</t>
  </si>
  <si>
    <t>SA-20</t>
  </si>
  <si>
    <t>SA-21</t>
  </si>
  <si>
    <t>SA-22</t>
  </si>
  <si>
    <t>SA-23</t>
  </si>
  <si>
    <t>SA-24</t>
  </si>
  <si>
    <t>SA-25</t>
  </si>
  <si>
    <t>SA-26</t>
  </si>
  <si>
    <t>SA-27</t>
  </si>
  <si>
    <t>SA-28</t>
  </si>
  <si>
    <t>SA-29</t>
  </si>
  <si>
    <t>SA-30</t>
  </si>
  <si>
    <t>SA-31</t>
  </si>
  <si>
    <t>SA-32</t>
  </si>
  <si>
    <t>할인율</t>
    <phoneticPr fontId="1" type="noConversion"/>
  </si>
  <si>
    <t>포인트</t>
    <phoneticPr fontId="4" type="noConversion"/>
  </si>
  <si>
    <t>이용횟수</t>
    <phoneticPr fontId="4" type="noConversion"/>
  </si>
  <si>
    <t>적립률</t>
  </si>
  <si>
    <t>적립률</t>
    <phoneticPr fontId="1" type="noConversion"/>
  </si>
  <si>
    <t>적립금</t>
    <phoneticPr fontId="1" type="noConversion"/>
  </si>
  <si>
    <t>변경적립금</t>
    <phoneticPr fontId="1" type="noConversion"/>
  </si>
  <si>
    <t>포인트 합계</t>
    <phoneticPr fontId="1" type="noConversion"/>
  </si>
  <si>
    <t>포인트합계</t>
  </si>
  <si>
    <t>적립률10%</t>
  </si>
  <si>
    <t>적립률30%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</si>
  <si>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</si>
  <si>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</si>
  <si>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</si>
  <si>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</si>
  <si>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</si>
  <si>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</si>
  <si>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</si>
  <si>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주문코드</t>
    <phoneticPr fontId="1" type="noConversion"/>
  </si>
  <si>
    <t>주문방법</t>
    <phoneticPr fontId="1" type="noConversion"/>
  </si>
  <si>
    <t>결제방법</t>
    <phoneticPr fontId="1" type="noConversion"/>
  </si>
  <si>
    <t>T001</t>
    <phoneticPr fontId="1" type="noConversion"/>
  </si>
  <si>
    <t>V006</t>
    <phoneticPr fontId="1" type="noConversion"/>
  </si>
  <si>
    <t>V003</t>
    <phoneticPr fontId="1" type="noConversion"/>
  </si>
  <si>
    <t>T004</t>
    <phoneticPr fontId="1" type="noConversion"/>
  </si>
  <si>
    <t>V002</t>
    <phoneticPr fontId="1" type="noConversion"/>
  </si>
  <si>
    <t>V005</t>
    <phoneticPr fontId="1" type="noConversion"/>
  </si>
  <si>
    <t>T007</t>
    <phoneticPr fontId="1" type="noConversion"/>
  </si>
  <si>
    <t>T005</t>
    <phoneticPr fontId="1" type="noConversion"/>
  </si>
  <si>
    <t>V007</t>
    <phoneticPr fontId="1" type="noConversion"/>
  </si>
  <si>
    <t>O002</t>
  </si>
  <si>
    <t>O005</t>
  </si>
  <si>
    <t>O003</t>
  </si>
  <si>
    <t>[표2] 할부기간별 수수료율</t>
    <phoneticPr fontId="1" type="noConversion"/>
  </si>
  <si>
    <t>할부기간</t>
    <phoneticPr fontId="1" type="noConversion"/>
  </si>
  <si>
    <t>한국카드</t>
    <phoneticPr fontId="1" type="noConversion"/>
  </si>
  <si>
    <t>기타카드</t>
    <phoneticPr fontId="1" type="noConversion"/>
  </si>
  <si>
    <t>나라카드</t>
    <phoneticPr fontId="1" type="noConversion"/>
  </si>
  <si>
    <t>대한카드</t>
    <phoneticPr fontId="1" type="noConversion"/>
  </si>
  <si>
    <t>결제수수료</t>
    <phoneticPr fontId="1" type="noConversion"/>
  </si>
  <si>
    <t>매출액</t>
    <phoneticPr fontId="1" type="noConversion"/>
  </si>
  <si>
    <t>[표3]</t>
    <phoneticPr fontId="1" type="noConversion"/>
  </si>
  <si>
    <t>주문건수</t>
    <phoneticPr fontId="1" type="noConversion"/>
  </si>
  <si>
    <t>[표4]</t>
    <phoneticPr fontId="1" type="noConversion"/>
  </si>
  <si>
    <t>1위</t>
    <phoneticPr fontId="1" type="noConversion"/>
  </si>
  <si>
    <t>2위</t>
  </si>
  <si>
    <t>3위</t>
  </si>
  <si>
    <t>[표5]</t>
    <phoneticPr fontId="1" type="noConversion"/>
  </si>
  <si>
    <t>성명</t>
  </si>
  <si>
    <t>키</t>
  </si>
  <si>
    <t>몸무게</t>
  </si>
  <si>
    <t>체질량지수</t>
    <phoneticPr fontId="1" type="noConversion"/>
  </si>
  <si>
    <t>위견</t>
    <phoneticPr fontId="1" type="noConversion"/>
  </si>
  <si>
    <t>유명상</t>
    <phoneticPr fontId="1" type="noConversion"/>
  </si>
  <si>
    <t>박형선</t>
    <phoneticPr fontId="1" type="noConversion"/>
  </si>
  <si>
    <t>차준호</t>
    <phoneticPr fontId="1" type="noConversion"/>
  </si>
  <si>
    <t>김문근</t>
    <phoneticPr fontId="1" type="noConversion"/>
  </si>
  <si>
    <t>백미화</t>
    <phoneticPr fontId="1" type="noConversion"/>
  </si>
  <si>
    <t>최태웅</t>
    <phoneticPr fontId="1" type="noConversion"/>
  </si>
  <si>
    <t>윤지은</t>
    <phoneticPr fontId="1" type="noConversion"/>
  </si>
  <si>
    <t>위성신</t>
    <phoneticPr fontId="1" type="noConversion"/>
  </si>
  <si>
    <t>930912-2123456</t>
    <phoneticPr fontId="1" type="noConversion"/>
  </si>
  <si>
    <t>881101-1123456</t>
    <phoneticPr fontId="1" type="noConversion"/>
  </si>
  <si>
    <t>010109-3123456</t>
    <phoneticPr fontId="1" type="noConversion"/>
  </si>
  <si>
    <t>020326-3123456</t>
    <phoneticPr fontId="1" type="noConversion"/>
  </si>
  <si>
    <t>991001-1123456</t>
    <phoneticPr fontId="1" type="noConversion"/>
  </si>
  <si>
    <t>920912-2123456</t>
    <phoneticPr fontId="1" type="noConversion"/>
  </si>
  <si>
    <t>720716-1123456</t>
    <phoneticPr fontId="1" type="noConversion"/>
  </si>
  <si>
    <t>890101-2123456</t>
    <phoneticPr fontId="1" type="noConversion"/>
  </si>
  <si>
    <t>000110-3123456</t>
    <phoneticPr fontId="1" type="noConversion"/>
  </si>
  <si>
    <t>711201-2123456</t>
    <phoneticPr fontId="1" type="noConversion"/>
  </si>
  <si>
    <t>850617-2123456</t>
    <phoneticPr fontId="1" type="noConversion"/>
  </si>
  <si>
    <t>901111-1123456</t>
    <phoneticPr fontId="1" type="noConversion"/>
  </si>
  <si>
    <t>951010-1123456</t>
    <phoneticPr fontId="1" type="noConversion"/>
  </si>
  <si>
    <t>970303-1123456</t>
    <phoneticPr fontId="1" type="noConversion"/>
  </si>
  <si>
    <t>911224-1123456</t>
    <phoneticPr fontId="1" type="noConversion"/>
  </si>
  <si>
    <t>990725-2123456</t>
    <phoneticPr fontId="1" type="noConversion"/>
  </si>
  <si>
    <t>830403-1123456</t>
    <phoneticPr fontId="1" type="noConversion"/>
  </si>
  <si>
    <t>990516-2123456</t>
    <phoneticPr fontId="1" type="noConversion"/>
  </si>
  <si>
    <t>980205-1123456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</si>
</sst>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yyyy\-mm\-dd"/>
    <numFmt numFmtId="178" formatCode="0%;[Magenta]&quot;[적립]&quot;* 0%;"/>
    <numFmt numFmtId="179" formatCode="0&quot;개월 이상&quot;"/>
    <numFmt numFmtId="180" formatCode="0&quot;개월 미만&quot;"/>
    <numFmt numFmtId="181" formatCode="0\ \~"/>
    <numFmt numFmtId="182" formatCode="0.0%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1"/>
      <color indexed="28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/>
        <bgColor indexed="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9" fontId="2" fillId="0" borderId="0" applyFont="0" applyFill="0" applyBorder="0" applyAlignment="0" applyProtection="0">
      <alignment vertical="center"/>
    </xf>
    <xf numFmtId="0" fontId="19" fillId="0" borderId="0"/>
  </cellStyleXfs>
  <cellXfs count="71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Fill="1" applyBorder="1" applyAlignment="1">
      <alignment horizontal="left" vertical="center"/>
    </xf>
    <xf numFmtId="0" fontId="3" fillId="2" borderId="0" xfId="0" applyFont="1" applyFill="1" applyAlignment="1">
      <alignment vertical="center"/>
    </xf>
    <xf numFmtId="41" fontId="7" fillId="0" borderId="1" xfId="1" applyFont="1" applyFill="1" applyBorder="1" applyAlignment="1">
      <alignment horizontal="center" vertical="center"/>
    </xf>
    <xf numFmtId="3" fontId="8" fillId="5" borderId="1" xfId="0" applyNumberFormat="1" applyFont="1" applyFill="1" applyBorder="1" applyAlignment="1">
      <alignment horizontal="right" vertical="center" wrapText="1"/>
    </xf>
    <xf numFmtId="49" fontId="10" fillId="5" borderId="1" xfId="0" applyNumberFormat="1" applyFont="1" applyFill="1" applyBorder="1" applyAlignment="1">
      <alignment horizontal="left" vertical="center" wrapText="1"/>
    </xf>
    <xf numFmtId="3" fontId="11" fillId="5" borderId="1" xfId="0" applyNumberFormat="1" applyFont="1" applyFill="1" applyBorder="1" applyAlignment="1">
      <alignment horizontal="right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0" fillId="3" borderId="1" xfId="0" applyNumberFormat="1" applyFont="1" applyFill="1" applyBorder="1" applyAlignment="1">
      <alignment horizontal="center" vertical="center" wrapText="1"/>
    </xf>
    <xf numFmtId="0" fontId="7" fillId="0" borderId="0" xfId="3" applyFont="1" applyAlignment="1">
      <alignment vertical="center"/>
    </xf>
    <xf numFmtId="0" fontId="7" fillId="0" borderId="1" xfId="3" applyFont="1" applyBorder="1" applyAlignment="1">
      <alignment horizontal="center" vertical="center"/>
    </xf>
    <xf numFmtId="14" fontId="7" fillId="0" borderId="1" xfId="3" applyNumberFormat="1" applyFont="1" applyBorder="1" applyAlignment="1">
      <alignment vertical="center"/>
    </xf>
    <xf numFmtId="0" fontId="7" fillId="0" borderId="1" xfId="3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7" fillId="0" borderId="1" xfId="0" applyFont="1" applyFill="1" applyBorder="1" applyAlignment="1">
      <alignment horizontal="center" vertical="center"/>
    </xf>
    <xf numFmtId="178" fontId="7" fillId="0" borderId="1" xfId="1" applyNumberFormat="1" applyFont="1" applyFill="1" applyBorder="1" applyAlignment="1">
      <alignment horizontal="right" vertical="center"/>
    </xf>
    <xf numFmtId="0" fontId="7" fillId="0" borderId="1" xfId="2" applyFont="1" applyBorder="1" applyAlignment="1">
      <alignment horizontal="center" vertical="center"/>
    </xf>
    <xf numFmtId="177" fontId="7" fillId="0" borderId="1" xfId="2" applyNumberFormat="1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41" fontId="7" fillId="0" borderId="1" xfId="2" applyNumberFormat="1" applyFont="1" applyBorder="1" applyAlignment="1">
      <alignment horizontal="center" vertical="center"/>
    </xf>
    <xf numFmtId="0" fontId="7" fillId="6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14" fillId="7" borderId="7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4" fillId="7" borderId="5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5" fillId="8" borderId="0" xfId="0" applyFont="1" applyFill="1" applyBorder="1" applyAlignment="1">
      <alignment horizontal="left" vertical="center"/>
    </xf>
    <xf numFmtId="0" fontId="16" fillId="8" borderId="3" xfId="0" applyFont="1" applyFill="1" applyBorder="1" applyAlignment="1">
      <alignment horizontal="left" vertical="center"/>
    </xf>
    <xf numFmtId="0" fontId="17" fillId="8" borderId="3" xfId="0" applyFont="1" applyFill="1" applyBorder="1" applyAlignment="1">
      <alignment horizontal="left" vertical="center"/>
    </xf>
    <xf numFmtId="0" fontId="15" fillId="8" borderId="6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right" vertical="center"/>
    </xf>
    <xf numFmtId="0" fontId="13" fillId="7" borderId="7" xfId="0" applyFont="1" applyFill="1" applyBorder="1" applyAlignment="1">
      <alignment horizontal="right" vertical="center"/>
    </xf>
    <xf numFmtId="9" fontId="0" fillId="9" borderId="0" xfId="0" applyNumberFormat="1" applyFill="1" applyBorder="1" applyAlignment="1">
      <alignment vertical="center"/>
    </xf>
    <xf numFmtId="0" fontId="18" fillId="0" borderId="0" xfId="0" applyFont="1" applyFill="1" applyBorder="1" applyAlignment="1">
      <alignment vertical="top" wrapText="1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9" fontId="5" fillId="0" borderId="0" xfId="0" applyNumberFormat="1" applyFont="1">
      <alignment vertical="center"/>
    </xf>
    <xf numFmtId="9" fontId="5" fillId="0" borderId="1" xfId="0" applyNumberFormat="1" applyFont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180" fontId="5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right" vertical="center"/>
    </xf>
    <xf numFmtId="41" fontId="5" fillId="0" borderId="1" xfId="1" applyFont="1" applyBorder="1" applyAlignment="1">
      <alignment vertical="center"/>
    </xf>
    <xf numFmtId="41" fontId="5" fillId="0" borderId="1" xfId="1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>
      <alignment vertical="center"/>
    </xf>
    <xf numFmtId="181" fontId="0" fillId="0" borderId="1" xfId="1" applyNumberFormat="1" applyFont="1" applyBorder="1">
      <alignment vertical="center"/>
    </xf>
    <xf numFmtId="0" fontId="0" fillId="6" borderId="1" xfId="0" applyFill="1" applyBorder="1" applyAlignment="1">
      <alignment horizontal="center" vertical="center"/>
    </xf>
    <xf numFmtId="41" fontId="0" fillId="6" borderId="1" xfId="1" applyFont="1" applyFill="1" applyBorder="1" applyAlignment="1">
      <alignment horizontal="center" vertical="center"/>
    </xf>
    <xf numFmtId="0" fontId="20" fillId="10" borderId="1" xfId="5" applyFont="1" applyFill="1" applyBorder="1" applyAlignment="1">
      <alignment horizontal="center"/>
    </xf>
    <xf numFmtId="0" fontId="20" fillId="0" borderId="1" xfId="5" applyFont="1" applyBorder="1" applyAlignment="1">
      <alignment horizontal="center" wrapText="1"/>
    </xf>
    <xf numFmtId="182" fontId="0" fillId="0" borderId="1" xfId="4" applyNumberFormat="1" applyFont="1" applyBorder="1">
      <alignment vertical="center"/>
    </xf>
    <xf numFmtId="14" fontId="7" fillId="0" borderId="1" xfId="2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6">
    <cellStyle name="백분율" xfId="4" builtinId="5"/>
    <cellStyle name="쉼표 [0]" xfId="1" builtinId="6"/>
    <cellStyle name="표준" xfId="0" builtinId="0"/>
    <cellStyle name="표준_Sheet2" xfId="5" xr:uid="{48D47588-F760-4076-B1B1-EC4E2D4AD8EB}"/>
    <cellStyle name="표준_데이터베이스함수" xfId="2" xr:uid="{00000000-0005-0000-0000-000002000000}"/>
    <cellStyle name="표준_합격다지기5회(정답)" xfId="3" xr:uid="{00000000-0005-0000-0000-000003000000}"/>
  </cellStyles>
  <dxfs count="3">
    <dxf>
      <font>
        <b/>
        <i/>
        <condense val="0"/>
        <extend val="0"/>
        <color indexed="10"/>
      </font>
    </dxf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KR</a:t>
            </a:r>
            <a:r>
              <a:rPr lang="ko-KR" altLang="en-US"/>
              <a:t>도메인통계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ofPieChart>
        <c:ofPieType val="pie"/>
        <c:varyColors val="1"/>
        <c:ser>
          <c:idx val="1"/>
          <c:order val="0"/>
          <c:tx>
            <c:strRef>
              <c:f>'기타작업-1'!$B$4</c:f>
              <c:strCache>
                <c:ptCount val="1"/>
                <c:pt idx="0">
                  <c:v>KR도메인수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84-40D2-AC44-1E2163A58E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84-40D2-AC44-1E2163A58E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84-40D2-AC44-1E2163A58ED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84-40D2-AC44-1E2163A58ED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84-40D2-AC44-1E2163A58ED4}"/>
              </c:ext>
            </c:extLst>
          </c:dPt>
          <c:dPt>
            <c:idx val="5"/>
            <c:bubble3D val="0"/>
            <c:spPr>
              <a:blipFill>
                <a:blip xmlns:r="http://schemas.openxmlformats.org/officeDocument/2006/relationships" r:embed="rId3"/>
                <a:tile tx="0" ty="0" sx="100000" sy="100000" flip="none" algn="tl"/>
              </a:blip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4-7B1E-411C-84C5-60E8481423C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84-40D2-AC44-1E2163A58E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'기타작업-1'!$C$3:$H$3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'기타작업-1'!$C$4:$H$4</c:f>
              <c:numCache>
                <c:formatCode>#,##0</c:formatCode>
                <c:ptCount val="6"/>
                <c:pt idx="0">
                  <c:v>590800</c:v>
                </c:pt>
                <c:pt idx="1">
                  <c:v>642770</c:v>
                </c:pt>
                <c:pt idx="2">
                  <c:v>705775</c:v>
                </c:pt>
                <c:pt idx="3">
                  <c:v>930485</c:v>
                </c:pt>
                <c:pt idx="4">
                  <c:v>1001206</c:v>
                </c:pt>
                <c:pt idx="5">
                  <c:v>1004115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1E-411C-84C5-60E848142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50"/>
        <c:splitType val="pos"/>
        <c:splitPos val="3"/>
        <c:secondPieSize val="10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200025</xdr:rowOff>
        </xdr:from>
        <xdr:to>
          <xdr:col>6</xdr:col>
          <xdr:colOff>0</xdr:colOff>
          <xdr:row>2</xdr:row>
          <xdr:rowOff>152400</xdr:rowOff>
        </xdr:to>
        <xdr:sp macro="" textlink="">
          <xdr:nvSpPr>
            <xdr:cNvPr id="8193" name="cmd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035.571458796294" createdVersion="6" refreshedVersion="6" minRefreshableVersion="3" recordCount="32" xr:uid="{00000000-000A-0000-FFFF-FFFF00000000}">
  <cacheSource type="external" connectionId="1"/>
  <cacheFields count="4">
    <cacheField name="출시일" numFmtId="0" sqlType="11">
      <sharedItems containsSemiMixedTypes="0" containsNonDate="0" containsDate="1" containsString="0" minDate="2017-01-01T00:00:00" maxDate="2017-03-01T00:00:00" count="10">
        <d v="2017-01-01T00:00:00"/>
        <d v="2017-01-15T00:00:00"/>
        <d v="2017-01-17T00:00:00"/>
        <d v="2017-01-20T00:00:00"/>
        <d v="2017-02-20T00:00:00"/>
        <d v="2017-02-25T00:00:00"/>
        <d v="2017-02-01T00:00:00"/>
        <d v="2017-02-15T00:00:00"/>
        <d v="2017-02-28T00:00:00"/>
        <d v="2017-01-30T00:00:00"/>
      </sharedItems>
      <fieldGroup base="0">
        <rangePr groupBy="months" startDate="2017-01-01T00:00:00" endDate="2017-03-01T00:00:00"/>
        <groupItems count="14">
          <s v="&lt;2017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7-03-01"/>
        </groupItems>
      </fieldGroup>
    </cacheField>
    <cacheField name="통신사" numFmtId="0" sqlType="-9">
      <sharedItems count="3">
        <s v="나래통신"/>
        <s v="한국통신"/>
        <s v="영진통신"/>
      </sharedItems>
    </cacheField>
    <cacheField name="단말기가격" numFmtId="0" sqlType="8">
      <sharedItems containsSemiMixedTypes="0" containsString="0" containsNumber="1" containsInteger="1" minValue="100000" maxValue="650000" count="19">
        <n v="500000"/>
        <n v="450000"/>
        <n v="350000"/>
        <n v="150000"/>
        <n v="600000"/>
        <n v="400000"/>
        <n v="250000"/>
        <n v="220000"/>
        <n v="190000"/>
        <n v="300000"/>
        <n v="280000"/>
        <n v="480000"/>
        <n v="380000"/>
        <n v="650000"/>
        <n v="200000"/>
        <n v="170000"/>
        <n v="100000"/>
        <n v="550000"/>
        <n v="320000"/>
      </sharedItems>
    </cacheField>
    <cacheField name="기타비용" numFmtId="0" sqlType="8">
      <sharedItems containsSemiMixedTypes="0" containsString="0" containsNumber="1" containsInteger="1" minValue="0" maxValue="80000" count="7">
        <n v="0"/>
        <n v="20000"/>
        <n v="60000"/>
        <n v="80000"/>
        <n v="10000"/>
        <n v="30000"/>
        <n v="4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</r>
  <r>
    <x v="0"/>
    <x v="0"/>
    <x v="1"/>
    <x v="1"/>
  </r>
  <r>
    <x v="0"/>
    <x v="0"/>
    <x v="2"/>
    <x v="2"/>
  </r>
  <r>
    <x v="0"/>
    <x v="0"/>
    <x v="3"/>
    <x v="3"/>
  </r>
  <r>
    <x v="1"/>
    <x v="1"/>
    <x v="4"/>
    <x v="0"/>
  </r>
  <r>
    <x v="1"/>
    <x v="1"/>
    <x v="0"/>
    <x v="1"/>
  </r>
  <r>
    <x v="1"/>
    <x v="1"/>
    <x v="5"/>
    <x v="2"/>
  </r>
  <r>
    <x v="1"/>
    <x v="1"/>
    <x v="6"/>
    <x v="3"/>
  </r>
  <r>
    <x v="2"/>
    <x v="1"/>
    <x v="7"/>
    <x v="0"/>
  </r>
  <r>
    <x v="2"/>
    <x v="1"/>
    <x v="8"/>
    <x v="1"/>
  </r>
  <r>
    <x v="2"/>
    <x v="1"/>
    <x v="3"/>
    <x v="2"/>
  </r>
  <r>
    <x v="2"/>
    <x v="1"/>
    <x v="2"/>
    <x v="3"/>
  </r>
  <r>
    <x v="3"/>
    <x v="2"/>
    <x v="2"/>
    <x v="0"/>
  </r>
  <r>
    <x v="3"/>
    <x v="2"/>
    <x v="9"/>
    <x v="1"/>
  </r>
  <r>
    <x v="3"/>
    <x v="2"/>
    <x v="10"/>
    <x v="2"/>
  </r>
  <r>
    <x v="4"/>
    <x v="2"/>
    <x v="5"/>
    <x v="3"/>
  </r>
  <r>
    <x v="5"/>
    <x v="2"/>
    <x v="11"/>
    <x v="0"/>
  </r>
  <r>
    <x v="5"/>
    <x v="2"/>
    <x v="5"/>
    <x v="1"/>
  </r>
  <r>
    <x v="5"/>
    <x v="2"/>
    <x v="12"/>
    <x v="2"/>
  </r>
  <r>
    <x v="5"/>
    <x v="2"/>
    <x v="4"/>
    <x v="3"/>
  </r>
  <r>
    <x v="6"/>
    <x v="2"/>
    <x v="13"/>
    <x v="0"/>
  </r>
  <r>
    <x v="6"/>
    <x v="2"/>
    <x v="0"/>
    <x v="4"/>
  </r>
  <r>
    <x v="6"/>
    <x v="2"/>
    <x v="5"/>
    <x v="5"/>
  </r>
  <r>
    <x v="6"/>
    <x v="2"/>
    <x v="14"/>
    <x v="6"/>
  </r>
  <r>
    <x v="7"/>
    <x v="1"/>
    <x v="15"/>
    <x v="0"/>
  </r>
  <r>
    <x v="7"/>
    <x v="1"/>
    <x v="3"/>
    <x v="4"/>
  </r>
  <r>
    <x v="7"/>
    <x v="1"/>
    <x v="16"/>
    <x v="5"/>
  </r>
  <r>
    <x v="1"/>
    <x v="1"/>
    <x v="6"/>
    <x v="6"/>
  </r>
  <r>
    <x v="8"/>
    <x v="0"/>
    <x v="17"/>
    <x v="0"/>
  </r>
  <r>
    <x v="7"/>
    <x v="0"/>
    <x v="11"/>
    <x v="1"/>
  </r>
  <r>
    <x v="9"/>
    <x v="0"/>
    <x v="18"/>
    <x v="5"/>
  </r>
  <r>
    <x v="9"/>
    <x v="0"/>
    <x v="17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0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6" indent="0" compact="0" outline="1" outlineData="1" compactData="0" multipleFieldFilters="0" fieldListSortAscending="1">
  <location ref="B2:E13" firstHeaderRow="0" firstDataRow="1" firstDataCol="2"/>
  <pivotFields count="4">
    <pivotField axis="axisRow" compact="0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ubtotalTop="0" showAll="0" sortType="descending">
      <items count="4">
        <item x="1"/>
        <item x="2"/>
        <item x="0"/>
        <item t="default"/>
      </items>
    </pivotField>
    <pivotField dataField="1" compact="0" subtotalTop="0" showAll="0"/>
    <pivotField dataField="1" compact="0" subtotalTop="0" showAll="0"/>
  </pivotFields>
  <rowFields count="2">
    <field x="0"/>
    <field x="1"/>
  </rowFields>
  <rowItems count="11">
    <i>
      <x v="1"/>
    </i>
    <i r="1">
      <x/>
    </i>
    <i r="1">
      <x v="1"/>
    </i>
    <i r="1">
      <x v="2"/>
    </i>
    <i t="default">
      <x v="1"/>
    </i>
    <i>
      <x v="2"/>
    </i>
    <i r="1">
      <x/>
    </i>
    <i r="1">
      <x v="1"/>
    </i>
    <i r="1">
      <x v="2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단말기가격평균" fld="2" subtotal="average" baseField="0" baseItem="1" numFmtId="176"/>
    <dataField name="기타비용평균" fld="3" subtotal="average" baseField="0" baseItem="1" numFmtId="176"/>
  </dataField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41"/>
  <sheetViews>
    <sheetView tabSelected="1" workbookViewId="0"/>
  </sheetViews>
  <sheetFormatPr defaultRowHeight="16.5"/>
  <cols>
    <col min="1" max="1" width="12.5" customWidth="1"/>
    <col min="2" max="3" width="11.875" bestFit="1" customWidth="1"/>
    <col min="4" max="4" width="11.625" bestFit="1" customWidth="1"/>
    <col min="5" max="5" width="16.875" customWidth="1"/>
    <col min="6" max="6" width="14.625" customWidth="1"/>
  </cols>
  <sheetData>
    <row r="1" spans="1:6" ht="24">
      <c r="A1" s="5" t="s">
        <v>0</v>
      </c>
      <c r="B1" s="64" t="s">
        <v>1</v>
      </c>
      <c r="C1" s="64"/>
      <c r="D1" s="64"/>
      <c r="E1" s="64"/>
      <c r="F1" s="64"/>
    </row>
    <row r="2" spans="1:6">
      <c r="A2" s="1"/>
      <c r="B2" s="1"/>
      <c r="C2" s="1"/>
      <c r="D2" s="1"/>
      <c r="E2" s="1"/>
      <c r="F2" s="1"/>
    </row>
    <row r="3" spans="1:6">
      <c r="A3" s="21" t="s">
        <v>2</v>
      </c>
      <c r="B3" s="21" t="s">
        <v>3</v>
      </c>
      <c r="C3" s="21" t="s">
        <v>4</v>
      </c>
      <c r="D3" s="21" t="s">
        <v>5</v>
      </c>
      <c r="E3" s="21" t="s">
        <v>6</v>
      </c>
      <c r="F3" s="21" t="s">
        <v>7</v>
      </c>
    </row>
    <row r="4" spans="1:6">
      <c r="A4" s="63">
        <v>41978</v>
      </c>
      <c r="B4" s="3" t="s">
        <v>8</v>
      </c>
      <c r="C4" s="21" t="s">
        <v>9</v>
      </c>
      <c r="D4" s="21" t="s">
        <v>10</v>
      </c>
      <c r="E4" s="21" t="s">
        <v>11</v>
      </c>
      <c r="F4" s="4">
        <v>38500000</v>
      </c>
    </row>
    <row r="5" spans="1:6">
      <c r="A5" s="63">
        <v>42709</v>
      </c>
      <c r="B5" s="3" t="s">
        <v>12</v>
      </c>
      <c r="C5" s="21" t="s">
        <v>13</v>
      </c>
      <c r="D5" s="21" t="s">
        <v>14</v>
      </c>
      <c r="E5" s="21" t="s">
        <v>215</v>
      </c>
      <c r="F5" s="4">
        <v>30100000</v>
      </c>
    </row>
    <row r="6" spans="1:6">
      <c r="A6" s="63">
        <v>42337</v>
      </c>
      <c r="B6" s="3" t="s">
        <v>15</v>
      </c>
      <c r="C6" s="21" t="s">
        <v>13</v>
      </c>
      <c r="D6" s="21" t="s">
        <v>10</v>
      </c>
      <c r="E6" s="21" t="s">
        <v>216</v>
      </c>
      <c r="F6" s="4">
        <v>37200000</v>
      </c>
    </row>
    <row r="7" spans="1:6">
      <c r="A7" s="63">
        <v>44906</v>
      </c>
      <c r="B7" s="3" t="s">
        <v>16</v>
      </c>
      <c r="C7" s="21" t="s">
        <v>13</v>
      </c>
      <c r="D7" s="21" t="s">
        <v>17</v>
      </c>
      <c r="E7" s="21" t="s">
        <v>217</v>
      </c>
      <c r="F7" s="4">
        <v>26600000</v>
      </c>
    </row>
    <row r="8" spans="1:6">
      <c r="A8" s="63">
        <v>45265</v>
      </c>
      <c r="B8" s="3" t="s">
        <v>18</v>
      </c>
      <c r="C8" s="21" t="s">
        <v>19</v>
      </c>
      <c r="D8" s="21" t="s">
        <v>17</v>
      </c>
      <c r="E8" s="21" t="s">
        <v>218</v>
      </c>
      <c r="F8" s="4">
        <v>27800000</v>
      </c>
    </row>
    <row r="9" spans="1:6">
      <c r="A9" s="63">
        <v>44179</v>
      </c>
      <c r="B9" s="3" t="s">
        <v>20</v>
      </c>
      <c r="C9" s="21" t="s">
        <v>13</v>
      </c>
      <c r="D9" s="21" t="s">
        <v>17</v>
      </c>
      <c r="E9" s="21" t="s">
        <v>219</v>
      </c>
      <c r="F9" s="4">
        <v>27400000</v>
      </c>
    </row>
    <row r="10" spans="1:6">
      <c r="A10" s="63">
        <v>43431</v>
      </c>
      <c r="B10" s="3" t="s">
        <v>21</v>
      </c>
      <c r="C10" s="21" t="s">
        <v>19</v>
      </c>
      <c r="D10" s="21" t="s">
        <v>14</v>
      </c>
      <c r="E10" s="21" t="s">
        <v>220</v>
      </c>
      <c r="F10" s="4">
        <v>33500000</v>
      </c>
    </row>
    <row r="11" spans="1:6">
      <c r="A11" s="63">
        <v>33946</v>
      </c>
      <c r="B11" s="3" t="s">
        <v>22</v>
      </c>
      <c r="C11" s="21" t="s">
        <v>19</v>
      </c>
      <c r="D11" s="21" t="s">
        <v>10</v>
      </c>
      <c r="E11" s="21" t="s">
        <v>221</v>
      </c>
      <c r="F11" s="4">
        <v>35800000</v>
      </c>
    </row>
    <row r="12" spans="1:6">
      <c r="A12" s="63">
        <v>37577</v>
      </c>
      <c r="B12" s="3" t="s">
        <v>23</v>
      </c>
      <c r="C12" s="21" t="s">
        <v>13</v>
      </c>
      <c r="D12" s="21" t="s">
        <v>24</v>
      </c>
      <c r="E12" s="21" t="s">
        <v>25</v>
      </c>
      <c r="F12" s="4">
        <v>45300000</v>
      </c>
    </row>
    <row r="13" spans="1:6">
      <c r="A13" s="63">
        <v>43790</v>
      </c>
      <c r="B13" s="3" t="s">
        <v>26</v>
      </c>
      <c r="C13" s="21" t="s">
        <v>19</v>
      </c>
      <c r="D13" s="21" t="s">
        <v>14</v>
      </c>
      <c r="E13" s="21" t="s">
        <v>222</v>
      </c>
      <c r="F13" s="4">
        <v>29900000</v>
      </c>
    </row>
    <row r="14" spans="1:6">
      <c r="A14" s="63">
        <v>45257</v>
      </c>
      <c r="B14" s="3" t="s">
        <v>27</v>
      </c>
      <c r="C14" s="21" t="s">
        <v>9</v>
      </c>
      <c r="D14" s="21" t="s">
        <v>17</v>
      </c>
      <c r="E14" s="21" t="s">
        <v>223</v>
      </c>
      <c r="F14" s="4">
        <v>29300000</v>
      </c>
    </row>
    <row r="15" spans="1:6">
      <c r="A15" s="63">
        <v>36142</v>
      </c>
      <c r="B15" s="3" t="s">
        <v>28</v>
      </c>
      <c r="C15" s="21" t="s">
        <v>13</v>
      </c>
      <c r="D15" s="21" t="s">
        <v>24</v>
      </c>
      <c r="E15" s="21" t="s">
        <v>29</v>
      </c>
      <c r="F15" s="4">
        <v>46200000</v>
      </c>
    </row>
    <row r="16" spans="1:6">
      <c r="A16" s="63">
        <v>43045</v>
      </c>
      <c r="B16" s="3" t="s">
        <v>30</v>
      </c>
      <c r="C16" s="21" t="s">
        <v>19</v>
      </c>
      <c r="D16" s="21" t="s">
        <v>10</v>
      </c>
      <c r="E16" s="21" t="s">
        <v>224</v>
      </c>
      <c r="F16" s="4">
        <v>38100000</v>
      </c>
    </row>
    <row r="17" spans="1:6">
      <c r="A17" s="63">
        <v>36503</v>
      </c>
      <c r="B17" s="3" t="s">
        <v>31</v>
      </c>
      <c r="C17" s="21" t="s">
        <v>9</v>
      </c>
      <c r="D17" s="21" t="s">
        <v>24</v>
      </c>
      <c r="E17" s="21" t="s">
        <v>32</v>
      </c>
      <c r="F17" s="4">
        <v>33400000</v>
      </c>
    </row>
    <row r="18" spans="1:6">
      <c r="A18" s="63">
        <v>43795</v>
      </c>
      <c r="B18" s="3" t="s">
        <v>33</v>
      </c>
      <c r="C18" s="21" t="s">
        <v>9</v>
      </c>
      <c r="D18" s="21" t="s">
        <v>14</v>
      </c>
      <c r="E18" s="21" t="s">
        <v>34</v>
      </c>
      <c r="F18" s="4">
        <v>31300000</v>
      </c>
    </row>
    <row r="19" spans="1:6">
      <c r="A19" s="63">
        <v>40875</v>
      </c>
      <c r="B19" s="3" t="s">
        <v>35</v>
      </c>
      <c r="C19" s="21" t="s">
        <v>9</v>
      </c>
      <c r="D19" s="21" t="s">
        <v>10</v>
      </c>
      <c r="E19" s="21" t="s">
        <v>225</v>
      </c>
      <c r="F19" s="4">
        <v>35900000</v>
      </c>
    </row>
    <row r="20" spans="1:6">
      <c r="A20" s="63">
        <v>43079</v>
      </c>
      <c r="B20" s="3" t="s">
        <v>36</v>
      </c>
      <c r="C20" s="21" t="s">
        <v>19</v>
      </c>
      <c r="D20" s="21" t="s">
        <v>14</v>
      </c>
      <c r="E20" s="21" t="s">
        <v>226</v>
      </c>
      <c r="F20" s="4">
        <v>30500000</v>
      </c>
    </row>
    <row r="21" spans="1:6">
      <c r="A21" s="63">
        <v>38329</v>
      </c>
      <c r="B21" s="3" t="s">
        <v>37</v>
      </c>
      <c r="C21" s="21" t="s">
        <v>19</v>
      </c>
      <c r="D21" s="21" t="s">
        <v>24</v>
      </c>
      <c r="E21" s="21" t="s">
        <v>38</v>
      </c>
      <c r="F21" s="4">
        <v>43500000</v>
      </c>
    </row>
    <row r="22" spans="1:6">
      <c r="A22" s="63">
        <v>44902</v>
      </c>
      <c r="B22" s="3" t="s">
        <v>39</v>
      </c>
      <c r="C22" s="21" t="s">
        <v>9</v>
      </c>
      <c r="D22" s="21" t="s">
        <v>14</v>
      </c>
      <c r="E22" s="21" t="s">
        <v>227</v>
      </c>
      <c r="F22" s="4">
        <v>31600000</v>
      </c>
    </row>
    <row r="23" spans="1:6">
      <c r="A23" s="63">
        <v>45259</v>
      </c>
      <c r="B23" s="3" t="s">
        <v>40</v>
      </c>
      <c r="C23" s="21" t="s">
        <v>19</v>
      </c>
      <c r="D23" s="21" t="s">
        <v>17</v>
      </c>
      <c r="E23" s="21" t="s">
        <v>228</v>
      </c>
      <c r="F23" s="4">
        <v>31600000</v>
      </c>
    </row>
    <row r="24" spans="1:6">
      <c r="A24" s="63">
        <v>44533</v>
      </c>
      <c r="B24" s="3" t="s">
        <v>41</v>
      </c>
      <c r="C24" s="21" t="s">
        <v>13</v>
      </c>
      <c r="D24" s="21" t="s">
        <v>14</v>
      </c>
      <c r="E24" s="21" t="s">
        <v>229</v>
      </c>
      <c r="F24" s="4">
        <v>29500000</v>
      </c>
    </row>
    <row r="25" spans="1:6">
      <c r="A25" s="63">
        <v>45266</v>
      </c>
      <c r="B25" s="3" t="s">
        <v>42</v>
      </c>
      <c r="C25" s="21" t="s">
        <v>13</v>
      </c>
      <c r="D25" s="21" t="s">
        <v>17</v>
      </c>
      <c r="E25" s="21" t="s">
        <v>230</v>
      </c>
      <c r="F25" s="4">
        <v>28300000</v>
      </c>
    </row>
    <row r="26" spans="1:6">
      <c r="A26" s="63">
        <v>41250</v>
      </c>
      <c r="B26" s="3" t="s">
        <v>43</v>
      </c>
      <c r="C26" s="21" t="s">
        <v>13</v>
      </c>
      <c r="D26" s="21" t="s">
        <v>10</v>
      </c>
      <c r="E26" s="21" t="s">
        <v>231</v>
      </c>
      <c r="F26" s="4">
        <v>36200000</v>
      </c>
    </row>
    <row r="27" spans="1:6">
      <c r="A27" s="63">
        <v>44899</v>
      </c>
      <c r="B27" s="3" t="s">
        <v>44</v>
      </c>
      <c r="C27" s="21" t="s">
        <v>19</v>
      </c>
      <c r="D27" s="21" t="s">
        <v>17</v>
      </c>
      <c r="E27" s="21" t="s">
        <v>232</v>
      </c>
      <c r="F27" s="4">
        <v>27500000</v>
      </c>
    </row>
    <row r="28" spans="1:6">
      <c r="A28" s="63">
        <v>45246</v>
      </c>
      <c r="B28" s="3" t="s">
        <v>45</v>
      </c>
      <c r="C28" s="21" t="s">
        <v>9</v>
      </c>
      <c r="D28" s="21" t="s">
        <v>17</v>
      </c>
      <c r="E28" s="21" t="s">
        <v>233</v>
      </c>
      <c r="F28" s="4">
        <v>26900000</v>
      </c>
    </row>
    <row r="30" spans="1:6">
      <c r="A30" t="s">
        <v>118</v>
      </c>
    </row>
    <row r="31" spans="1:6">
      <c r="A31" t="b">
        <f>AND(C4&lt;&gt;"영업1팀",F4&gt;AVERAGE($F$4:$F$28))</f>
        <v>1</v>
      </c>
    </row>
    <row r="34" spans="1:4">
      <c r="A34" s="2" t="s">
        <v>2</v>
      </c>
      <c r="B34" s="2" t="s">
        <v>3</v>
      </c>
      <c r="C34" s="2" t="s">
        <v>5</v>
      </c>
      <c r="D34" s="2" t="s">
        <v>7</v>
      </c>
    </row>
    <row r="35" spans="1:4">
      <c r="A35" s="63">
        <v>41978</v>
      </c>
      <c r="B35" s="3" t="s">
        <v>8</v>
      </c>
      <c r="C35" s="21" t="s">
        <v>10</v>
      </c>
      <c r="D35" s="4">
        <v>38500000</v>
      </c>
    </row>
    <row r="36" spans="1:4">
      <c r="A36" s="63">
        <v>43431</v>
      </c>
      <c r="B36" s="3" t="s">
        <v>21</v>
      </c>
      <c r="C36" s="21" t="s">
        <v>14</v>
      </c>
      <c r="D36" s="4">
        <v>33500000</v>
      </c>
    </row>
    <row r="37" spans="1:4">
      <c r="A37" s="63">
        <v>33946</v>
      </c>
      <c r="B37" s="3" t="s">
        <v>22</v>
      </c>
      <c r="C37" s="21" t="s">
        <v>10</v>
      </c>
      <c r="D37" s="4">
        <v>35800000</v>
      </c>
    </row>
    <row r="38" spans="1:4">
      <c r="A38" s="63">
        <v>43045</v>
      </c>
      <c r="B38" s="3" t="s">
        <v>30</v>
      </c>
      <c r="C38" s="21" t="s">
        <v>10</v>
      </c>
      <c r="D38" s="4">
        <v>38100000</v>
      </c>
    </row>
    <row r="39" spans="1:4">
      <c r="A39" s="63">
        <v>36503</v>
      </c>
      <c r="B39" s="3" t="s">
        <v>31</v>
      </c>
      <c r="C39" s="21" t="s">
        <v>24</v>
      </c>
      <c r="D39" s="4">
        <v>33400000</v>
      </c>
    </row>
    <row r="40" spans="1:4">
      <c r="A40" s="63">
        <v>40875</v>
      </c>
      <c r="B40" s="3" t="s">
        <v>35</v>
      </c>
      <c r="C40" s="21" t="s">
        <v>10</v>
      </c>
      <c r="D40" s="4">
        <v>35900000</v>
      </c>
    </row>
    <row r="41" spans="1:4">
      <c r="A41" s="63">
        <v>38329</v>
      </c>
      <c r="B41" s="3" t="s">
        <v>37</v>
      </c>
      <c r="C41" s="21" t="s">
        <v>24</v>
      </c>
      <c r="D41" s="4">
        <v>43500000</v>
      </c>
    </row>
  </sheetData>
  <mergeCells count="1">
    <mergeCell ref="B1:F1"/>
  </mergeCells>
  <phoneticPr fontId="1" type="noConversion"/>
  <conditionalFormatting sqref="A4:F28">
    <cfRule type="expression" dxfId="2" priority="1">
      <formula>OR($F4=MAX($F$4:$F$28),$F4=MIN($F$4:$F$28))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28"/>
  <sheetViews>
    <sheetView workbookViewId="0"/>
  </sheetViews>
  <sheetFormatPr defaultRowHeight="16.5"/>
  <cols>
    <col min="1" max="1" width="12.5" customWidth="1"/>
    <col min="2" max="3" width="11.875" bestFit="1" customWidth="1"/>
    <col min="4" max="4" width="11.625" bestFit="1" customWidth="1"/>
    <col min="5" max="5" width="16.875" customWidth="1"/>
    <col min="6" max="6" width="14.625" customWidth="1"/>
  </cols>
  <sheetData>
    <row r="1" spans="1:6" ht="24">
      <c r="A1" s="5" t="s">
        <v>0</v>
      </c>
      <c r="B1" s="64" t="s">
        <v>1</v>
      </c>
      <c r="C1" s="64"/>
      <c r="D1" s="64"/>
      <c r="E1" s="64"/>
      <c r="F1" s="64"/>
    </row>
    <row r="2" spans="1:6">
      <c r="A2" s="1"/>
      <c r="B2" s="1"/>
      <c r="C2" s="1"/>
      <c r="D2" s="1"/>
      <c r="E2" s="1"/>
      <c r="F2" s="1"/>
    </row>
    <row r="3" spans="1:6">
      <c r="A3" s="21" t="s">
        <v>2</v>
      </c>
      <c r="B3" s="21" t="s">
        <v>3</v>
      </c>
      <c r="C3" s="21" t="s">
        <v>4</v>
      </c>
      <c r="D3" s="21" t="s">
        <v>5</v>
      </c>
      <c r="E3" s="21" t="s">
        <v>6</v>
      </c>
      <c r="F3" s="21" t="s">
        <v>7</v>
      </c>
    </row>
    <row r="4" spans="1:6">
      <c r="A4" s="63">
        <v>41978</v>
      </c>
      <c r="B4" s="3" t="s">
        <v>8</v>
      </c>
      <c r="C4" s="21" t="s">
        <v>9</v>
      </c>
      <c r="D4" s="21" t="s">
        <v>10</v>
      </c>
      <c r="E4" s="21" t="s">
        <v>11</v>
      </c>
      <c r="F4" s="4">
        <v>38500000</v>
      </c>
    </row>
    <row r="5" spans="1:6">
      <c r="A5" s="63">
        <v>42709</v>
      </c>
      <c r="B5" s="3" t="s">
        <v>12</v>
      </c>
      <c r="C5" s="21" t="s">
        <v>13</v>
      </c>
      <c r="D5" s="21" t="s">
        <v>14</v>
      </c>
      <c r="E5" s="21" t="s">
        <v>215</v>
      </c>
      <c r="F5" s="4">
        <v>30100000</v>
      </c>
    </row>
    <row r="6" spans="1:6">
      <c r="A6" s="63">
        <v>42337</v>
      </c>
      <c r="B6" s="3" t="s">
        <v>15</v>
      </c>
      <c r="C6" s="21" t="s">
        <v>13</v>
      </c>
      <c r="D6" s="21" t="s">
        <v>10</v>
      </c>
      <c r="E6" s="21" t="s">
        <v>216</v>
      </c>
      <c r="F6" s="4">
        <v>37200000</v>
      </c>
    </row>
    <row r="7" spans="1:6">
      <c r="A7" s="63">
        <v>44906</v>
      </c>
      <c r="B7" s="3" t="s">
        <v>16</v>
      </c>
      <c r="C7" s="21" t="s">
        <v>13</v>
      </c>
      <c r="D7" s="21" t="s">
        <v>17</v>
      </c>
      <c r="E7" s="21" t="s">
        <v>217</v>
      </c>
      <c r="F7" s="4">
        <v>26600000</v>
      </c>
    </row>
    <row r="8" spans="1:6">
      <c r="A8" s="63">
        <v>45265</v>
      </c>
      <c r="B8" s="3" t="s">
        <v>18</v>
      </c>
      <c r="C8" s="21" t="s">
        <v>19</v>
      </c>
      <c r="D8" s="21" t="s">
        <v>17</v>
      </c>
      <c r="E8" s="21" t="s">
        <v>218</v>
      </c>
      <c r="F8" s="4">
        <v>27800000</v>
      </c>
    </row>
    <row r="9" spans="1:6">
      <c r="A9" s="63">
        <v>44179</v>
      </c>
      <c r="B9" s="3" t="s">
        <v>20</v>
      </c>
      <c r="C9" s="21" t="s">
        <v>13</v>
      </c>
      <c r="D9" s="21" t="s">
        <v>17</v>
      </c>
      <c r="E9" s="21" t="s">
        <v>219</v>
      </c>
      <c r="F9" s="4">
        <v>27400000</v>
      </c>
    </row>
    <row r="10" spans="1:6">
      <c r="A10" s="63">
        <v>43431</v>
      </c>
      <c r="B10" s="3" t="s">
        <v>21</v>
      </c>
      <c r="C10" s="21" t="s">
        <v>19</v>
      </c>
      <c r="D10" s="21" t="s">
        <v>14</v>
      </c>
      <c r="E10" s="21" t="s">
        <v>220</v>
      </c>
      <c r="F10" s="4">
        <v>33500000</v>
      </c>
    </row>
    <row r="11" spans="1:6">
      <c r="A11" s="63">
        <v>33946</v>
      </c>
      <c r="B11" s="3" t="s">
        <v>22</v>
      </c>
      <c r="C11" s="21" t="s">
        <v>19</v>
      </c>
      <c r="D11" s="21" t="s">
        <v>10</v>
      </c>
      <c r="E11" s="21" t="s">
        <v>221</v>
      </c>
      <c r="F11" s="4">
        <v>35800000</v>
      </c>
    </row>
    <row r="12" spans="1:6">
      <c r="A12" s="63">
        <v>37577</v>
      </c>
      <c r="B12" s="3" t="s">
        <v>23</v>
      </c>
      <c r="C12" s="21" t="s">
        <v>13</v>
      </c>
      <c r="D12" s="21" t="s">
        <v>24</v>
      </c>
      <c r="E12" s="21" t="s">
        <v>25</v>
      </c>
      <c r="F12" s="4">
        <v>45300000</v>
      </c>
    </row>
    <row r="13" spans="1:6">
      <c r="A13" s="63">
        <v>43790</v>
      </c>
      <c r="B13" s="3" t="s">
        <v>26</v>
      </c>
      <c r="C13" s="21" t="s">
        <v>19</v>
      </c>
      <c r="D13" s="21" t="s">
        <v>14</v>
      </c>
      <c r="E13" s="21" t="s">
        <v>222</v>
      </c>
      <c r="F13" s="4">
        <v>29900000</v>
      </c>
    </row>
    <row r="14" spans="1:6">
      <c r="A14" s="63">
        <v>45257</v>
      </c>
      <c r="B14" s="3" t="s">
        <v>27</v>
      </c>
      <c r="C14" s="21" t="s">
        <v>9</v>
      </c>
      <c r="D14" s="21" t="s">
        <v>17</v>
      </c>
      <c r="E14" s="21" t="s">
        <v>223</v>
      </c>
      <c r="F14" s="4">
        <v>29300000</v>
      </c>
    </row>
    <row r="15" spans="1:6">
      <c r="A15" s="63">
        <v>36142</v>
      </c>
      <c r="B15" s="3" t="s">
        <v>28</v>
      </c>
      <c r="C15" s="21" t="s">
        <v>13</v>
      </c>
      <c r="D15" s="21" t="s">
        <v>24</v>
      </c>
      <c r="E15" s="21" t="s">
        <v>29</v>
      </c>
      <c r="F15" s="4">
        <v>46200000</v>
      </c>
    </row>
    <row r="16" spans="1:6">
      <c r="A16" s="63">
        <v>43045</v>
      </c>
      <c r="B16" s="3" t="s">
        <v>30</v>
      </c>
      <c r="C16" s="21" t="s">
        <v>19</v>
      </c>
      <c r="D16" s="21" t="s">
        <v>10</v>
      </c>
      <c r="E16" s="21" t="s">
        <v>224</v>
      </c>
      <c r="F16" s="4">
        <v>38100000</v>
      </c>
    </row>
    <row r="17" spans="1:6">
      <c r="A17" s="63">
        <v>36503</v>
      </c>
      <c r="B17" s="3" t="s">
        <v>31</v>
      </c>
      <c r="C17" s="21" t="s">
        <v>9</v>
      </c>
      <c r="D17" s="21" t="s">
        <v>24</v>
      </c>
      <c r="E17" s="21" t="s">
        <v>32</v>
      </c>
      <c r="F17" s="4">
        <v>33400000</v>
      </c>
    </row>
    <row r="18" spans="1:6">
      <c r="A18" s="63">
        <v>43795</v>
      </c>
      <c r="B18" s="3" t="s">
        <v>33</v>
      </c>
      <c r="C18" s="21" t="s">
        <v>9</v>
      </c>
      <c r="D18" s="21" t="s">
        <v>14</v>
      </c>
      <c r="E18" s="21" t="s">
        <v>34</v>
      </c>
      <c r="F18" s="4">
        <v>31300000</v>
      </c>
    </row>
    <row r="19" spans="1:6">
      <c r="A19" s="63">
        <v>40875</v>
      </c>
      <c r="B19" s="3" t="s">
        <v>35</v>
      </c>
      <c r="C19" s="21" t="s">
        <v>9</v>
      </c>
      <c r="D19" s="21" t="s">
        <v>10</v>
      </c>
      <c r="E19" s="21" t="s">
        <v>225</v>
      </c>
      <c r="F19" s="4">
        <v>35900000</v>
      </c>
    </row>
    <row r="20" spans="1:6">
      <c r="A20" s="63">
        <v>43079</v>
      </c>
      <c r="B20" s="3" t="s">
        <v>36</v>
      </c>
      <c r="C20" s="21" t="s">
        <v>19</v>
      </c>
      <c r="D20" s="21" t="s">
        <v>14</v>
      </c>
      <c r="E20" s="21" t="s">
        <v>226</v>
      </c>
      <c r="F20" s="4">
        <v>30500000</v>
      </c>
    </row>
    <row r="21" spans="1:6">
      <c r="A21" s="63">
        <v>38329</v>
      </c>
      <c r="B21" s="3" t="s">
        <v>37</v>
      </c>
      <c r="C21" s="21" t="s">
        <v>19</v>
      </c>
      <c r="D21" s="21" t="s">
        <v>24</v>
      </c>
      <c r="E21" s="21" t="s">
        <v>38</v>
      </c>
      <c r="F21" s="4">
        <v>43500000</v>
      </c>
    </row>
    <row r="22" spans="1:6">
      <c r="A22" s="63">
        <v>44902</v>
      </c>
      <c r="B22" s="3" t="s">
        <v>39</v>
      </c>
      <c r="C22" s="21" t="s">
        <v>9</v>
      </c>
      <c r="D22" s="21" t="s">
        <v>14</v>
      </c>
      <c r="E22" s="21" t="s">
        <v>227</v>
      </c>
      <c r="F22" s="4">
        <v>31600000</v>
      </c>
    </row>
    <row r="23" spans="1:6">
      <c r="A23" s="63">
        <v>45259</v>
      </c>
      <c r="B23" s="3" t="s">
        <v>40</v>
      </c>
      <c r="C23" s="21" t="s">
        <v>19</v>
      </c>
      <c r="D23" s="21" t="s">
        <v>17</v>
      </c>
      <c r="E23" s="21" t="s">
        <v>228</v>
      </c>
      <c r="F23" s="4">
        <v>31600000</v>
      </c>
    </row>
    <row r="24" spans="1:6">
      <c r="A24" s="63">
        <v>44533</v>
      </c>
      <c r="B24" s="3" t="s">
        <v>41</v>
      </c>
      <c r="C24" s="21" t="s">
        <v>13</v>
      </c>
      <c r="D24" s="21" t="s">
        <v>14</v>
      </c>
      <c r="E24" s="21" t="s">
        <v>229</v>
      </c>
      <c r="F24" s="4">
        <v>29500000</v>
      </c>
    </row>
    <row r="25" spans="1:6">
      <c r="A25" s="63">
        <v>45266</v>
      </c>
      <c r="B25" s="3" t="s">
        <v>42</v>
      </c>
      <c r="C25" s="21" t="s">
        <v>13</v>
      </c>
      <c r="D25" s="21" t="s">
        <v>17</v>
      </c>
      <c r="E25" s="21" t="s">
        <v>230</v>
      </c>
      <c r="F25" s="4">
        <v>28300000</v>
      </c>
    </row>
    <row r="26" spans="1:6">
      <c r="A26" s="63">
        <v>41250</v>
      </c>
      <c r="B26" s="3" t="s">
        <v>43</v>
      </c>
      <c r="C26" s="21" t="s">
        <v>13</v>
      </c>
      <c r="D26" s="21" t="s">
        <v>10</v>
      </c>
      <c r="E26" s="21" t="s">
        <v>231</v>
      </c>
      <c r="F26" s="4">
        <v>36200000</v>
      </c>
    </row>
    <row r="27" spans="1:6">
      <c r="A27" s="63">
        <v>44899</v>
      </c>
      <c r="B27" s="3" t="s">
        <v>44</v>
      </c>
      <c r="C27" s="21" t="s">
        <v>19</v>
      </c>
      <c r="D27" s="21" t="s">
        <v>17</v>
      </c>
      <c r="E27" s="21" t="s">
        <v>232</v>
      </c>
      <c r="F27" s="4">
        <v>27500000</v>
      </c>
    </row>
    <row r="28" spans="1:6">
      <c r="A28" s="63">
        <v>45246</v>
      </c>
      <c r="B28" s="3" t="s">
        <v>45</v>
      </c>
      <c r="C28" s="21" t="s">
        <v>9</v>
      </c>
      <c r="D28" s="21" t="s">
        <v>17</v>
      </c>
      <c r="E28" s="21" t="s">
        <v>233</v>
      </c>
      <c r="F28" s="4">
        <v>26900000</v>
      </c>
    </row>
  </sheetData>
  <mergeCells count="1">
    <mergeCell ref="B1:F1"/>
  </mergeCells>
  <phoneticPr fontId="1" type="noConversion"/>
  <printOptions horizontalCentered="1" verticalCentered="1"/>
  <pageMargins left="0.39370078740157483" right="0.39370078740157483" top="0.74803149606299213" bottom="0.74803149606299213" header="0.31496062992125984" footer="0.31496062992125984"/>
  <pageSetup paperSize="9" orientation="portrait" r:id="rId1"/>
  <headerFooter>
    <oddFooter>&amp;L인쇄 시간 :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502D3-C183-4976-BA31-E6738F4B3B53}">
  <sheetPr codeName="Sheet5"/>
  <dimension ref="A1:K31"/>
  <sheetViews>
    <sheetView workbookViewId="0"/>
  </sheetViews>
  <sheetFormatPr defaultRowHeight="16.5"/>
  <cols>
    <col min="2" max="2" width="10.375" customWidth="1"/>
    <col min="3" max="3" width="12.5" customWidth="1"/>
    <col min="4" max="4" width="11.25" bestFit="1" customWidth="1"/>
    <col min="5" max="5" width="12.125" customWidth="1"/>
    <col min="6" max="6" width="11.5" customWidth="1"/>
    <col min="7" max="7" width="2.625" customWidth="1"/>
    <col min="8" max="9" width="10.625" bestFit="1" customWidth="1"/>
    <col min="10" max="10" width="14.375" bestFit="1" customWidth="1"/>
    <col min="11" max="11" width="10.625" bestFit="1" customWidth="1"/>
  </cols>
  <sheetData>
    <row r="1" spans="1:11">
      <c r="A1" t="s">
        <v>88</v>
      </c>
      <c r="H1" t="s">
        <v>195</v>
      </c>
    </row>
    <row r="2" spans="1:11">
      <c r="A2" s="44" t="s">
        <v>172</v>
      </c>
      <c r="B2" s="44" t="s">
        <v>174</v>
      </c>
      <c r="C2" s="44" t="s">
        <v>194</v>
      </c>
      <c r="D2" s="44" t="s">
        <v>188</v>
      </c>
      <c r="E2" s="58" t="s">
        <v>173</v>
      </c>
      <c r="F2" s="58" t="s">
        <v>193</v>
      </c>
      <c r="G2" s="55"/>
      <c r="H2" s="66" t="s">
        <v>194</v>
      </c>
      <c r="I2" s="66"/>
      <c r="J2" s="58" t="s">
        <v>196</v>
      </c>
    </row>
    <row r="3" spans="1:11">
      <c r="A3" s="44" t="s">
        <v>175</v>
      </c>
      <c r="B3" s="43" t="s">
        <v>191</v>
      </c>
      <c r="C3" s="51">
        <v>1650000</v>
      </c>
      <c r="D3" s="53">
        <v>6</v>
      </c>
      <c r="E3" s="44" t="str">
        <f>IF(LEFT(A3,1)="T", "전화(", IF(LEFT(A3,1)="O","온라인(","방문(")) &amp; COUNTIF($A$3:A3, LEFT(A3,1)&amp;"*") &amp; "건)"</f>
        <v>전화(1건)</v>
      </c>
      <c r="F3" s="50">
        <f>C3*HLOOKUP(D3,$B$28:$E$31,MATCH(B3,{"한국카드","대한카드"},-1)+2)</f>
        <v>66000</v>
      </c>
      <c r="G3" s="54"/>
      <c r="H3" s="57">
        <v>0</v>
      </c>
      <c r="I3" s="24">
        <v>1000000</v>
      </c>
      <c r="J3" s="56" t="str">
        <f t="array" ref="J3:J7">REPT("♥",FREQUENCY(C3:C25,I3:I7))</f>
        <v>♥♥♥♥</v>
      </c>
    </row>
    <row r="4" spans="1:11">
      <c r="A4" s="44" t="s">
        <v>184</v>
      </c>
      <c r="B4" s="43" t="s">
        <v>189</v>
      </c>
      <c r="C4" s="51">
        <v>1560000</v>
      </c>
      <c r="D4" s="53">
        <v>12</v>
      </c>
      <c r="E4" s="44" t="str">
        <f>IF(LEFT(A4,1)="T", "전화(", IF(LEFT(A4,1)="O","온라인(","방문(")) &amp; COUNTIF($A$3:A4, LEFT(A4,1)&amp;"*") &amp; "건)"</f>
        <v>온라인(1건)</v>
      </c>
      <c r="F4" s="50">
        <f>C4*HLOOKUP(D4,$B$28:$E$31,MATCH(B4,{"한국카드","대한카드"},-1)+2)</f>
        <v>109200.00000000001</v>
      </c>
      <c r="G4" s="54"/>
      <c r="H4" s="57">
        <v>1000001</v>
      </c>
      <c r="I4" s="24">
        <v>2000000</v>
      </c>
      <c r="J4" s="56" t="str">
        <v>♥♥♥♥♥♥♥</v>
      </c>
    </row>
    <row r="5" spans="1:11">
      <c r="A5" s="44" t="s">
        <v>176</v>
      </c>
      <c r="B5" s="43" t="s">
        <v>189</v>
      </c>
      <c r="C5" s="51">
        <v>1280000</v>
      </c>
      <c r="D5" s="53">
        <v>3</v>
      </c>
      <c r="E5" s="44" t="str">
        <f>IF(LEFT(A5,1)="T", "전화(", IF(LEFT(A5,1)="O","온라인(","방문(")) &amp; COUNTIF($A$3:A5, LEFT(A5,1)&amp;"*") &amp; "건)"</f>
        <v>방문(1건)</v>
      </c>
      <c r="F5" s="50">
        <f>C5*HLOOKUP(D5,$B$28:$E$31,MATCH(B5,{"한국카드","대한카드"},-1)+2)</f>
        <v>38400</v>
      </c>
      <c r="G5" s="54"/>
      <c r="H5" s="57">
        <v>2000001</v>
      </c>
      <c r="I5" s="24">
        <v>3000000</v>
      </c>
      <c r="J5" s="56" t="str">
        <v>♥♥♥♥♥</v>
      </c>
    </row>
    <row r="6" spans="1:11">
      <c r="A6" s="44" t="s">
        <v>177</v>
      </c>
      <c r="B6" s="43" t="s">
        <v>192</v>
      </c>
      <c r="C6" s="51">
        <v>2540000</v>
      </c>
      <c r="D6" s="53">
        <v>12</v>
      </c>
      <c r="E6" s="44" t="str">
        <f>IF(LEFT(A6,1)="T", "전화(", IF(LEFT(A6,1)="O","온라인(","방문(")) &amp; COUNTIF($A$3:A6, LEFT(A6,1)&amp;"*") &amp; "건)"</f>
        <v>방문(2건)</v>
      </c>
      <c r="F6" s="50">
        <f>C6*HLOOKUP(D6,$B$28:$E$31,MATCH(B6,{"한국카드","대한카드"},-1)+2)</f>
        <v>152400</v>
      </c>
      <c r="G6" s="54"/>
      <c r="H6" s="57">
        <v>3000001</v>
      </c>
      <c r="I6" s="24">
        <v>4000000</v>
      </c>
      <c r="J6" s="56" t="str">
        <v>♥♥♥♥</v>
      </c>
    </row>
    <row r="7" spans="1:11">
      <c r="A7" s="44" t="s">
        <v>178</v>
      </c>
      <c r="B7" s="43" t="s">
        <v>191</v>
      </c>
      <c r="C7" s="51">
        <v>3210000</v>
      </c>
      <c r="D7" s="53">
        <v>6</v>
      </c>
      <c r="E7" s="44" t="str">
        <f>IF(LEFT(A7,1)="T", "전화(", IF(LEFT(A7,1)="O","온라인(","방문(")) &amp; COUNTIF($A$3:A7, LEFT(A7,1)&amp;"*") &amp; "건)"</f>
        <v>전화(2건)</v>
      </c>
      <c r="F7" s="50">
        <f>C7*HLOOKUP(D7,$B$28:$E$31,MATCH(B7,{"한국카드","대한카드"},-1)+2)</f>
        <v>128400</v>
      </c>
      <c r="G7" s="54"/>
      <c r="H7" s="57">
        <v>4000001</v>
      </c>
      <c r="I7" s="24">
        <v>5000000</v>
      </c>
      <c r="J7" s="56" t="str">
        <v>♥♥♥</v>
      </c>
    </row>
    <row r="8" spans="1:11">
      <c r="A8" s="44" t="s">
        <v>185</v>
      </c>
      <c r="B8" s="43" t="s">
        <v>189</v>
      </c>
      <c r="C8" s="51">
        <v>4210000</v>
      </c>
      <c r="D8" s="53">
        <v>12</v>
      </c>
      <c r="E8" s="44" t="str">
        <f>IF(LEFT(A8,1)="T", "전화(", IF(LEFT(A8,1)="O","온라인(","방문(")) &amp; COUNTIF($A$3:A8, LEFT(A8,1)&amp;"*") &amp; "건)"</f>
        <v>온라인(2건)</v>
      </c>
      <c r="F8" s="50">
        <f>C8*HLOOKUP(D8,$B$28:$E$31,MATCH(B8,{"한국카드","대한카드"},-1)+2)</f>
        <v>294700</v>
      </c>
      <c r="G8" s="54"/>
    </row>
    <row r="9" spans="1:11">
      <c r="A9" s="44" t="s">
        <v>176</v>
      </c>
      <c r="B9" s="43" t="s">
        <v>191</v>
      </c>
      <c r="C9" s="51">
        <v>2840000</v>
      </c>
      <c r="D9" s="53">
        <v>12</v>
      </c>
      <c r="E9" s="44" t="str">
        <f>IF(LEFT(A9,1)="T", "전화(", IF(LEFT(A9,1)="O","온라인(","방문(")) &amp; COUNTIF($A$3:A9, LEFT(A9,1)&amp;"*") &amp; "건)"</f>
        <v>방문(3건)</v>
      </c>
      <c r="F9" s="50">
        <f>C9*HLOOKUP(D9,$B$28:$E$31,MATCH(B9,{"한국카드","대한카드"},-1)+2)</f>
        <v>170400</v>
      </c>
      <c r="G9" s="54"/>
      <c r="H9" t="s">
        <v>197</v>
      </c>
    </row>
    <row r="10" spans="1:11">
      <c r="A10" s="44" t="s">
        <v>185</v>
      </c>
      <c r="B10" s="43" t="s">
        <v>191</v>
      </c>
      <c r="C10" s="51">
        <v>3130000</v>
      </c>
      <c r="D10" s="53">
        <v>12</v>
      </c>
      <c r="E10" s="44" t="str">
        <f>IF(LEFT(A10,1)="T", "전화(", IF(LEFT(A10,1)="O","온라인(","방문(")) &amp; COUNTIF($A$3:A10, LEFT(A10,1)&amp;"*") &amp; "건)"</f>
        <v>온라인(3건)</v>
      </c>
      <c r="F10" s="50">
        <f>C10*HLOOKUP(D10,$B$28:$E$31,MATCH(B10,{"한국카드","대한카드"},-1)+2)</f>
        <v>187800</v>
      </c>
      <c r="G10" s="54"/>
      <c r="H10" s="44" t="s">
        <v>174</v>
      </c>
      <c r="I10" s="59" t="s">
        <v>198</v>
      </c>
      <c r="J10" s="59" t="s">
        <v>199</v>
      </c>
      <c r="K10" s="59" t="s">
        <v>200</v>
      </c>
    </row>
    <row r="11" spans="1:11">
      <c r="A11" s="44" t="s">
        <v>179</v>
      </c>
      <c r="B11" s="43" t="s">
        <v>192</v>
      </c>
      <c r="C11" s="51">
        <v>857000</v>
      </c>
      <c r="D11" s="53">
        <v>3</v>
      </c>
      <c r="E11" s="44" t="str">
        <f>IF(LEFT(A11,1)="T", "전화(", IF(LEFT(A11,1)="O","온라인(","방문(")) &amp; COUNTIF($A$3:A11, LEFT(A11,1)&amp;"*") &amp; "건)"</f>
        <v>방문(4건)</v>
      </c>
      <c r="F11" s="50">
        <f>C11*HLOOKUP(D11,$B$28:$E$31,MATCH(B11,{"한국카드","대한카드"},-1)+2)</f>
        <v>17140</v>
      </c>
      <c r="G11" s="54"/>
      <c r="H11" s="58" t="s">
        <v>191</v>
      </c>
      <c r="I11" s="24">
        <f t="array" ref="I11:K11">ROUNDDOWN(LARGE(($B$3:$B$25=H11)*$C$3:$C$25,{1,2,3}),-4)</f>
        <v>4150000</v>
      </c>
      <c r="J11" s="24">
        <v>3210000</v>
      </c>
      <c r="K11" s="24">
        <v>3130000</v>
      </c>
    </row>
    <row r="12" spans="1:11">
      <c r="A12" s="44" t="s">
        <v>177</v>
      </c>
      <c r="B12" s="43" t="s">
        <v>189</v>
      </c>
      <c r="C12" s="51">
        <v>840000</v>
      </c>
      <c r="D12" s="53">
        <v>12</v>
      </c>
      <c r="E12" s="44" t="str">
        <f>IF(LEFT(A12,1)="T", "전화(", IF(LEFT(A12,1)="O","온라인(","방문(")) &amp; COUNTIF($A$3:A12, LEFT(A12,1)&amp;"*") &amp; "건)"</f>
        <v>방문(5건)</v>
      </c>
      <c r="F12" s="50">
        <f>C12*HLOOKUP(D12,$B$28:$E$31,MATCH(B12,{"한국카드","대한카드"},-1)+2)</f>
        <v>58800.000000000007</v>
      </c>
      <c r="G12" s="54"/>
      <c r="H12" s="58" t="s">
        <v>192</v>
      </c>
      <c r="I12" s="24">
        <f t="array" ref="I12:K12">ROUNDDOWN(LARGE(($B$3:$B$25=H12)*$C$3:$C$25,{1,2,3}),-4)</f>
        <v>4780000</v>
      </c>
      <c r="J12" s="24">
        <v>3540000</v>
      </c>
      <c r="K12" s="24">
        <v>3140000</v>
      </c>
    </row>
    <row r="13" spans="1:11">
      <c r="A13" s="44" t="s">
        <v>175</v>
      </c>
      <c r="B13" s="43" t="s">
        <v>192</v>
      </c>
      <c r="C13" s="51">
        <v>3540000</v>
      </c>
      <c r="D13" s="53">
        <v>6</v>
      </c>
      <c r="E13" s="44" t="str">
        <f>IF(LEFT(A13,1)="T", "전화(", IF(LEFT(A13,1)="O","온라인(","방문(")) &amp; COUNTIF($A$3:A13, LEFT(A13,1)&amp;"*") &amp; "건)"</f>
        <v>전화(3건)</v>
      </c>
      <c r="F13" s="50">
        <f>C13*HLOOKUP(D13,$B$28:$E$31,MATCH(B13,{"한국카드","대한카드"},-1)+2)</f>
        <v>141600</v>
      </c>
      <c r="G13" s="54"/>
      <c r="H13" s="58" t="s">
        <v>189</v>
      </c>
      <c r="I13" s="24">
        <f t="array" ref="I13:K13">ROUNDDOWN(LARGE(($B$3:$B$25=H13)*$C$3:$C$25,{1,2,3}),-4)</f>
        <v>4210000</v>
      </c>
      <c r="J13" s="24">
        <v>2570000</v>
      </c>
      <c r="K13" s="24">
        <v>2540000</v>
      </c>
    </row>
    <row r="14" spans="1:11">
      <c r="A14" s="44" t="s">
        <v>184</v>
      </c>
      <c r="B14" s="43" t="s">
        <v>191</v>
      </c>
      <c r="C14" s="52">
        <v>1586000</v>
      </c>
      <c r="D14" s="52">
        <v>12</v>
      </c>
      <c r="E14" s="44" t="str">
        <f>IF(LEFT(A14,1)="T", "전화(", IF(LEFT(A14,1)="O","온라인(","방문(")) &amp; COUNTIF($A$3:A14, LEFT(A14,1)&amp;"*") &amp; "건)"</f>
        <v>온라인(4건)</v>
      </c>
      <c r="F14" s="50">
        <f>C14*HLOOKUP(D14,$B$28:$E$31,MATCH(B14,{"한국카드","대한카드"},-1)+2)</f>
        <v>95160</v>
      </c>
      <c r="G14" s="54"/>
    </row>
    <row r="15" spans="1:11">
      <c r="A15" s="44" t="s">
        <v>180</v>
      </c>
      <c r="B15" s="43" t="s">
        <v>189</v>
      </c>
      <c r="C15" s="52">
        <v>857000</v>
      </c>
      <c r="D15" s="52">
        <v>6</v>
      </c>
      <c r="E15" s="44" t="str">
        <f>IF(LEFT(A15,1)="T", "전화(", IF(LEFT(A15,1)="O","온라인(","방문(")) &amp; COUNTIF($A$3:A15, LEFT(A15,1)&amp;"*") &amp; "건)"</f>
        <v>방문(6건)</v>
      </c>
      <c r="F15" s="50">
        <f>C15*HLOOKUP(D15,$B$28:$E$31,MATCH(B15,{"한국카드","대한카드"},-1)+2)</f>
        <v>42850</v>
      </c>
      <c r="G15" s="54"/>
      <c r="H15" t="s">
        <v>201</v>
      </c>
    </row>
    <row r="16" spans="1:11">
      <c r="A16" s="44" t="s">
        <v>181</v>
      </c>
      <c r="B16" s="43" t="s">
        <v>189</v>
      </c>
      <c r="C16" s="52">
        <v>2541000</v>
      </c>
      <c r="D16" s="52">
        <v>6</v>
      </c>
      <c r="E16" s="44" t="str">
        <f>IF(LEFT(A16,1)="T", "전화(", IF(LEFT(A16,1)="O","온라인(","방문(")) &amp; COUNTIF($A$3:A16, LEFT(A16,1)&amp;"*") &amp; "건)"</f>
        <v>전화(4건)</v>
      </c>
      <c r="F16" s="50">
        <f>C16*HLOOKUP(D16,$B$28:$E$31,MATCH(B16,{"한국카드","대한카드"},-1)+2)</f>
        <v>127050</v>
      </c>
      <c r="G16" s="54"/>
      <c r="H16" s="60" t="s">
        <v>202</v>
      </c>
      <c r="I16" s="60" t="s">
        <v>203</v>
      </c>
      <c r="J16" s="60" t="s">
        <v>204</v>
      </c>
      <c r="K16" s="58" t="s">
        <v>205</v>
      </c>
    </row>
    <row r="17" spans="1:11">
      <c r="A17" s="44" t="s">
        <v>184</v>
      </c>
      <c r="B17" s="43" t="s">
        <v>192</v>
      </c>
      <c r="C17" s="52">
        <v>3147000</v>
      </c>
      <c r="D17" s="52">
        <v>7</v>
      </c>
      <c r="E17" s="44" t="str">
        <f>IF(LEFT(A17,1)="T", "전화(", IF(LEFT(A17,1)="O","온라인(","방문(")) &amp; COUNTIF($A$3:A17, LEFT(A17,1)&amp;"*") &amp; "건)"</f>
        <v>온라인(5건)</v>
      </c>
      <c r="F17" s="50">
        <f>C17*HLOOKUP(D17,$B$28:$E$31,MATCH(B17,{"한국카드","대한카드"},-1)+2)</f>
        <v>125880</v>
      </c>
      <c r="G17" s="54"/>
      <c r="H17" s="3" t="s">
        <v>210</v>
      </c>
      <c r="I17" s="61">
        <v>185</v>
      </c>
      <c r="J17" s="61">
        <v>80</v>
      </c>
      <c r="K17" s="62" cm="1">
        <f t="array" ref="K17">fn지수(I17,J17)</f>
        <v>0.18699780861943027</v>
      </c>
    </row>
    <row r="18" spans="1:11">
      <c r="A18" s="44" t="s">
        <v>176</v>
      </c>
      <c r="B18" s="43" t="s">
        <v>191</v>
      </c>
      <c r="C18" s="52">
        <v>954000</v>
      </c>
      <c r="D18" s="52">
        <v>10</v>
      </c>
      <c r="E18" s="44" t="str">
        <f>IF(LEFT(A18,1)="T", "전화(", IF(LEFT(A18,1)="O","온라인(","방문(")) &amp; COUNTIF($A$3:A18, LEFT(A18,1)&amp;"*") &amp; "건)"</f>
        <v>방문(7건)</v>
      </c>
      <c r="F18" s="50">
        <f>C18*HLOOKUP(D18,$B$28:$E$31,MATCH(B18,{"한국카드","대한카드"},-1)+2)</f>
        <v>38160</v>
      </c>
      <c r="G18" s="54"/>
      <c r="H18" s="3" t="s">
        <v>211</v>
      </c>
      <c r="I18" s="61">
        <v>156</v>
      </c>
      <c r="J18" s="61">
        <v>55</v>
      </c>
      <c r="K18" s="62" cm="1">
        <f t="array" ref="K18">fn지수(I18,J18)</f>
        <v>0.12430144641683105</v>
      </c>
    </row>
    <row r="19" spans="1:11">
      <c r="A19" s="44" t="s">
        <v>175</v>
      </c>
      <c r="B19" s="43" t="s">
        <v>189</v>
      </c>
      <c r="C19" s="52">
        <v>1879000</v>
      </c>
      <c r="D19" s="52">
        <v>6</v>
      </c>
      <c r="E19" s="44" t="str">
        <f>IF(LEFT(A19,1)="T", "전화(", IF(LEFT(A19,1)="O","온라인(","방문(")) &amp; COUNTIF($A$3:A19, LEFT(A19,1)&amp;"*") &amp; "건)"</f>
        <v>전화(5건)</v>
      </c>
      <c r="F19" s="50">
        <f>C19*HLOOKUP(D19,$B$28:$E$31,MATCH(B19,{"한국카드","대한카드"},-1)+2)</f>
        <v>93950</v>
      </c>
      <c r="G19" s="54"/>
      <c r="H19" s="3" t="s">
        <v>206</v>
      </c>
      <c r="I19" s="61">
        <v>171</v>
      </c>
      <c r="J19" s="61">
        <v>68</v>
      </c>
      <c r="K19" s="62" cm="1">
        <f t="array" ref="K19">fn지수(I19,J19)</f>
        <v>0.15813412673985155</v>
      </c>
    </row>
    <row r="20" spans="1:11">
      <c r="A20" s="44" t="s">
        <v>186</v>
      </c>
      <c r="B20" s="43" t="s">
        <v>191</v>
      </c>
      <c r="C20" s="52">
        <v>4150000</v>
      </c>
      <c r="D20" s="52">
        <v>12</v>
      </c>
      <c r="E20" s="44" t="str">
        <f>IF(LEFT(A20,1)="T", "전화(", IF(LEFT(A20,1)="O","온라인(","방문(")) &amp; COUNTIF($A$3:A20, LEFT(A20,1)&amp;"*") &amp; "건)"</f>
        <v>온라인(6건)</v>
      </c>
      <c r="F20" s="50">
        <f>C20*HLOOKUP(D20,$B$28:$E$31,MATCH(B20,{"한국카드","대한카드"},-1)+2)</f>
        <v>249000</v>
      </c>
      <c r="G20" s="54"/>
      <c r="H20" s="3" t="s">
        <v>207</v>
      </c>
      <c r="I20" s="61">
        <v>176</v>
      </c>
      <c r="J20" s="61">
        <v>70</v>
      </c>
      <c r="K20" s="62" cm="1">
        <f t="array" ref="K20">fn지수(I20,J20)</f>
        <v>0.15818698347107438</v>
      </c>
    </row>
    <row r="21" spans="1:11">
      <c r="A21" s="44" t="s">
        <v>180</v>
      </c>
      <c r="B21" s="43" t="s">
        <v>191</v>
      </c>
      <c r="C21" s="52">
        <v>2741000</v>
      </c>
      <c r="D21" s="52">
        <v>8</v>
      </c>
      <c r="E21" s="44" t="str">
        <f>IF(LEFT(A21,1)="T", "전화(", IF(LEFT(A21,1)="O","온라인(","방문(")) &amp; COUNTIF($A$3:A21, LEFT(A21,1)&amp;"*") &amp; "건)"</f>
        <v>방문(8건)</v>
      </c>
      <c r="F21" s="50">
        <f>C21*HLOOKUP(D21,$B$28:$E$31,MATCH(B21,{"한국카드","대한카드"},-1)+2)</f>
        <v>109640</v>
      </c>
      <c r="G21" s="54"/>
      <c r="H21" s="3" t="s">
        <v>208</v>
      </c>
      <c r="I21" s="61">
        <v>181</v>
      </c>
      <c r="J21" s="61">
        <v>75</v>
      </c>
      <c r="K21" s="62" cm="1">
        <f t="array" ref="K21">fn지수(I21,J21)</f>
        <v>0.17169805561490797</v>
      </c>
    </row>
    <row r="22" spans="1:11">
      <c r="A22" s="44" t="s">
        <v>182</v>
      </c>
      <c r="B22" s="43" t="s">
        <v>192</v>
      </c>
      <c r="C22" s="52">
        <v>1238000</v>
      </c>
      <c r="D22" s="52">
        <v>9</v>
      </c>
      <c r="E22" s="44" t="str">
        <f>IF(LEFT(A22,1)="T", "전화(", IF(LEFT(A22,1)="O","온라인(","방문(")) &amp; COUNTIF($A$3:A22, LEFT(A22,1)&amp;"*") &amp; "건)"</f>
        <v>전화(6건)</v>
      </c>
      <c r="F22" s="50">
        <f>C22*HLOOKUP(D22,$B$28:$E$31,MATCH(B22,{"한국카드","대한카드"},-1)+2)</f>
        <v>49520</v>
      </c>
      <c r="G22" s="54"/>
      <c r="H22" s="3" t="s">
        <v>209</v>
      </c>
      <c r="I22" s="61">
        <v>178</v>
      </c>
      <c r="J22" s="61">
        <v>90</v>
      </c>
      <c r="K22" s="62" cm="1">
        <f t="array" ref="K22">fn지수(I22,J22)</f>
        <v>0.25564953919959604</v>
      </c>
    </row>
    <row r="23" spans="1:11">
      <c r="A23" s="44" t="s">
        <v>185</v>
      </c>
      <c r="B23" s="43" t="s">
        <v>189</v>
      </c>
      <c r="C23" s="52">
        <v>2574000</v>
      </c>
      <c r="D23" s="52">
        <v>11</v>
      </c>
      <c r="E23" s="44" t="str">
        <f>IF(LEFT(A23,1)="T", "전화(", IF(LEFT(A23,1)="O","온라인(","방문(")) &amp; COUNTIF($A$3:A23, LEFT(A23,1)&amp;"*") &amp; "건)"</f>
        <v>온라인(7건)</v>
      </c>
      <c r="F23" s="50">
        <f>C23*HLOOKUP(D23,$B$28:$E$31,MATCH(B23,{"한국카드","대한카드"},-1)+2)</f>
        <v>128700</v>
      </c>
      <c r="G23" s="54"/>
      <c r="H23" s="3" t="s">
        <v>212</v>
      </c>
      <c r="I23" s="61">
        <v>175</v>
      </c>
      <c r="J23" s="61">
        <v>85</v>
      </c>
      <c r="K23" s="62" cm="1">
        <f t="array" ref="K23">fn지수(I23,J23)</f>
        <v>0.23591836734693877</v>
      </c>
    </row>
    <row r="24" spans="1:11">
      <c r="A24" s="44" t="s">
        <v>176</v>
      </c>
      <c r="B24" s="43" t="s">
        <v>192</v>
      </c>
      <c r="C24" s="52">
        <v>4784000</v>
      </c>
      <c r="D24" s="52">
        <v>4</v>
      </c>
      <c r="E24" s="44" t="str">
        <f>IF(LEFT(A24,1)="T", "전화(", IF(LEFT(A24,1)="O","온라인(","방문(")) &amp; COUNTIF($A$3:A24, LEFT(A24,1)&amp;"*") &amp; "건)"</f>
        <v>방문(9건)</v>
      </c>
      <c r="F24" s="50">
        <f>C24*HLOOKUP(D24,$B$28:$E$31,MATCH(B24,{"한국카드","대한카드"},-1)+2)</f>
        <v>95680</v>
      </c>
      <c r="G24" s="54"/>
      <c r="H24" s="61" t="s">
        <v>213</v>
      </c>
      <c r="I24" s="61">
        <v>160</v>
      </c>
      <c r="J24" s="61">
        <v>59</v>
      </c>
      <c r="K24" s="62" cm="1">
        <f t="array" ref="K24">fn지수(I24,J24)</f>
        <v>0.13597656250000001</v>
      </c>
    </row>
    <row r="25" spans="1:11">
      <c r="A25" s="44" t="s">
        <v>183</v>
      </c>
      <c r="B25" s="43" t="s">
        <v>191</v>
      </c>
      <c r="C25" s="52">
        <v>1297000</v>
      </c>
      <c r="D25" s="52">
        <v>5</v>
      </c>
      <c r="E25" s="44" t="str">
        <f>IF(LEFT(A25,1)="T", "전화(", IF(LEFT(A25,1)="O","온라인(","방문(")) &amp; COUNTIF($A$3:A25, LEFT(A25,1)&amp;"*") &amp; "건)"</f>
        <v>방문(10건)</v>
      </c>
      <c r="F25" s="50">
        <f>C25*HLOOKUP(D25,$B$28:$E$31,MATCH(B25,{"한국카드","대한카드"},-1)+2)</f>
        <v>25940</v>
      </c>
      <c r="G25" s="54"/>
      <c r="H25" s="61" t="s">
        <v>214</v>
      </c>
      <c r="I25" s="61">
        <v>169</v>
      </c>
      <c r="J25" s="61">
        <v>50</v>
      </c>
      <c r="K25" s="62" cm="1">
        <f t="array" ref="K25">fn지수(I25,J25)</f>
        <v>8.7531949161443939E-2</v>
      </c>
    </row>
    <row r="27" spans="1:11">
      <c r="A27" s="45" t="s">
        <v>187</v>
      </c>
      <c r="E27" s="46"/>
    </row>
    <row r="28" spans="1:11">
      <c r="A28" s="65" t="s">
        <v>188</v>
      </c>
      <c r="B28" s="48">
        <v>0</v>
      </c>
      <c r="C28" s="48">
        <v>3</v>
      </c>
      <c r="D28" s="48">
        <v>6</v>
      </c>
      <c r="E28" s="48">
        <v>12</v>
      </c>
    </row>
    <row r="29" spans="1:11">
      <c r="A29" s="65"/>
      <c r="B29" s="49">
        <v>2</v>
      </c>
      <c r="C29" s="49">
        <v>6</v>
      </c>
      <c r="D29" s="49">
        <v>11</v>
      </c>
      <c r="E29" s="49"/>
    </row>
    <row r="30" spans="1:11">
      <c r="A30" s="43" t="s">
        <v>189</v>
      </c>
      <c r="B30" s="47">
        <v>0</v>
      </c>
      <c r="C30" s="47">
        <v>0.03</v>
      </c>
      <c r="D30" s="47">
        <v>0.05</v>
      </c>
      <c r="E30" s="47">
        <v>7.0000000000000007E-2</v>
      </c>
    </row>
    <row r="31" spans="1:11">
      <c r="A31" s="43" t="s">
        <v>190</v>
      </c>
      <c r="B31" s="47">
        <v>0</v>
      </c>
      <c r="C31" s="47">
        <v>0.02</v>
      </c>
      <c r="D31" s="47">
        <v>0.04</v>
      </c>
      <c r="E31" s="47">
        <v>0.06</v>
      </c>
    </row>
  </sheetData>
  <mergeCells count="2">
    <mergeCell ref="A28:A29"/>
    <mergeCell ref="H2:I2"/>
  </mergeCells>
  <phoneticPr fontId="1" type="noConversion"/>
  <conditionalFormatting sqref="A25 A21:D24">
    <cfRule type="expression" dxfId="1" priority="2" stopIfTrue="1">
      <formula>AND(#REF!&gt;=90, OR(MID($A21,3,1)="M", MID($A21,3,1)="G"))</formula>
    </cfRule>
  </conditionalFormatting>
  <conditionalFormatting sqref="H17:H23">
    <cfRule type="expression" dxfId="0" priority="1" stopIfTrue="1">
      <formula>2009-YEAR($A17)&gt;=15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E13"/>
  <sheetViews>
    <sheetView workbookViewId="0"/>
  </sheetViews>
  <sheetFormatPr defaultRowHeight="16.5"/>
  <cols>
    <col min="2" max="2" width="11.375" customWidth="1"/>
    <col min="3" max="3" width="8.875" customWidth="1"/>
    <col min="4" max="4" width="14.5" bestFit="1" customWidth="1"/>
    <col min="5" max="5" width="12.5" bestFit="1" customWidth="1"/>
    <col min="6" max="6" width="14.5" bestFit="1" customWidth="1"/>
  </cols>
  <sheetData>
    <row r="2" spans="2:5">
      <c r="B2" s="17" t="s">
        <v>51</v>
      </c>
      <c r="C2" s="17" t="s">
        <v>48</v>
      </c>
      <c r="D2" t="s">
        <v>119</v>
      </c>
      <c r="E2" t="s">
        <v>120</v>
      </c>
    </row>
    <row r="3" spans="2:5">
      <c r="B3" t="s">
        <v>79</v>
      </c>
      <c r="D3" s="18"/>
      <c r="E3" s="18"/>
    </row>
    <row r="4" spans="2:5">
      <c r="C4" t="s">
        <v>47</v>
      </c>
      <c r="D4" s="18">
        <v>323333.33333333331</v>
      </c>
      <c r="E4" s="18">
        <v>40000</v>
      </c>
    </row>
    <row r="5" spans="2:5">
      <c r="C5" t="s">
        <v>46</v>
      </c>
      <c r="D5" s="18">
        <v>310000</v>
      </c>
      <c r="E5" s="18">
        <v>26666.666666666668</v>
      </c>
    </row>
    <row r="6" spans="2:5">
      <c r="C6" t="s">
        <v>52</v>
      </c>
      <c r="D6" s="18">
        <v>386666.66666666669</v>
      </c>
      <c r="E6" s="18">
        <v>38333.333333333336</v>
      </c>
    </row>
    <row r="7" spans="2:5">
      <c r="B7" t="s">
        <v>81</v>
      </c>
      <c r="D7" s="18">
        <v>342222.22222222225</v>
      </c>
      <c r="E7" s="18">
        <v>37222.222222222219</v>
      </c>
    </row>
    <row r="8" spans="2:5">
      <c r="B8" t="s">
        <v>80</v>
      </c>
      <c r="D8" s="18"/>
      <c r="E8" s="18"/>
    </row>
    <row r="9" spans="2:5">
      <c r="C9" t="s">
        <v>47</v>
      </c>
      <c r="D9" s="18">
        <v>140000</v>
      </c>
      <c r="E9" s="18">
        <v>13333.333333333334</v>
      </c>
    </row>
    <row r="10" spans="2:5">
      <c r="C10" t="s">
        <v>46</v>
      </c>
      <c r="D10" s="18">
        <v>445555.55555555556</v>
      </c>
      <c r="E10" s="18">
        <v>35555.555555555555</v>
      </c>
    </row>
    <row r="11" spans="2:5">
      <c r="C11" t="s">
        <v>52</v>
      </c>
      <c r="D11" s="18">
        <v>515000</v>
      </c>
      <c r="E11" s="18">
        <v>10000</v>
      </c>
    </row>
    <row r="12" spans="2:5">
      <c r="B12" t="s">
        <v>82</v>
      </c>
      <c r="D12" s="18">
        <v>390000</v>
      </c>
      <c r="E12" s="18">
        <v>27142.857142857141</v>
      </c>
    </row>
    <row r="13" spans="2:5">
      <c r="B13" t="s">
        <v>78</v>
      </c>
      <c r="D13" s="18">
        <v>363125</v>
      </c>
      <c r="E13" s="18">
        <v>32812.5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C6A8F-022A-4022-9E31-0ECCEA5E1C2C}">
  <sheetPr codeName="Sheet10"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0.375" bestFit="1" customWidth="1"/>
    <col min="4" max="6" width="10.125" bestFit="1" customWidth="1" outlineLevel="1"/>
  </cols>
  <sheetData>
    <row r="1" spans="2:6" ht="17.25" thickBot="1"/>
    <row r="2" spans="2:6">
      <c r="B2" s="32" t="s">
        <v>165</v>
      </c>
      <c r="C2" s="33"/>
      <c r="D2" s="39"/>
      <c r="E2" s="39"/>
      <c r="F2" s="39"/>
    </row>
    <row r="3" spans="2:6" collapsed="1">
      <c r="B3" s="31"/>
      <c r="C3" s="31"/>
      <c r="D3" s="40" t="s">
        <v>167</v>
      </c>
      <c r="E3" s="40" t="s">
        <v>163</v>
      </c>
      <c r="F3" s="40" t="s">
        <v>164</v>
      </c>
    </row>
    <row r="4" spans="2:6" hidden="1" outlineLevel="1">
      <c r="B4" s="35"/>
      <c r="C4" s="35"/>
      <c r="D4" s="28"/>
      <c r="E4" s="42"/>
      <c r="F4" s="42"/>
    </row>
    <row r="5" spans="2:6">
      <c r="B5" s="36" t="s">
        <v>166</v>
      </c>
      <c r="C5" s="37"/>
      <c r="D5" s="34"/>
      <c r="E5" s="34"/>
      <c r="F5" s="34"/>
    </row>
    <row r="6" spans="2:6" outlineLevel="1">
      <c r="B6" s="35"/>
      <c r="C6" s="35" t="s">
        <v>157</v>
      </c>
      <c r="D6" s="29">
        <v>0.2</v>
      </c>
      <c r="E6" s="41">
        <v>0.1</v>
      </c>
      <c r="F6" s="41">
        <v>0.3</v>
      </c>
    </row>
    <row r="7" spans="2:6">
      <c r="B7" s="36" t="s">
        <v>168</v>
      </c>
      <c r="C7" s="37"/>
      <c r="D7" s="34"/>
      <c r="E7" s="34"/>
      <c r="F7" s="34"/>
    </row>
    <row r="8" spans="2:6" ht="17.25" outlineLevel="1" thickBot="1">
      <c r="B8" s="38"/>
      <c r="C8" s="38" t="s">
        <v>162</v>
      </c>
      <c r="D8" s="30">
        <v>312000</v>
      </c>
      <c r="E8" s="30">
        <v>286000</v>
      </c>
      <c r="F8" s="30">
        <v>338000</v>
      </c>
    </row>
    <row r="9" spans="2:6">
      <c r="B9" t="s">
        <v>169</v>
      </c>
    </row>
    <row r="10" spans="2:6">
      <c r="B10" t="s">
        <v>170</v>
      </c>
    </row>
    <row r="11" spans="2:6">
      <c r="B11" t="s">
        <v>171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G27"/>
  <sheetViews>
    <sheetView workbookViewId="0"/>
  </sheetViews>
  <sheetFormatPr defaultRowHeight="16.5"/>
  <cols>
    <col min="3" max="3" width="10.375" bestFit="1" customWidth="1"/>
    <col min="5" max="5" width="10.75" bestFit="1" customWidth="1"/>
    <col min="7" max="7" width="10.75" bestFit="1" customWidth="1"/>
  </cols>
  <sheetData>
    <row r="1" spans="2:7">
      <c r="B1" t="s">
        <v>88</v>
      </c>
    </row>
    <row r="2" spans="2:7">
      <c r="B2" s="26" t="s">
        <v>3</v>
      </c>
      <c r="C2" s="26" t="s">
        <v>89</v>
      </c>
      <c r="D2" s="26" t="s">
        <v>90</v>
      </c>
      <c r="E2" s="26" t="s">
        <v>91</v>
      </c>
      <c r="F2" s="26" t="s">
        <v>156</v>
      </c>
      <c r="G2" s="26" t="s">
        <v>155</v>
      </c>
    </row>
    <row r="3" spans="2:7">
      <c r="B3" s="21" t="s">
        <v>108</v>
      </c>
      <c r="C3" s="21" t="s">
        <v>106</v>
      </c>
      <c r="D3" s="21" t="s">
        <v>96</v>
      </c>
      <c r="E3" s="22">
        <v>35496</v>
      </c>
      <c r="F3" s="3">
        <v>22</v>
      </c>
      <c r="G3" s="25">
        <f t="shared" ref="G3:G23" si="0">F3*$C$27</f>
        <v>26400</v>
      </c>
    </row>
    <row r="4" spans="2:7">
      <c r="B4" s="21" t="s">
        <v>105</v>
      </c>
      <c r="C4" s="21" t="s">
        <v>106</v>
      </c>
      <c r="D4" s="21" t="s">
        <v>94</v>
      </c>
      <c r="E4" s="22">
        <v>27004</v>
      </c>
      <c r="F4" s="3">
        <v>17</v>
      </c>
      <c r="G4" s="25">
        <f t="shared" si="0"/>
        <v>20400</v>
      </c>
    </row>
    <row r="5" spans="2:7">
      <c r="B5" s="21" t="s">
        <v>107</v>
      </c>
      <c r="C5" s="21" t="s">
        <v>106</v>
      </c>
      <c r="D5" s="21" t="s">
        <v>96</v>
      </c>
      <c r="E5" s="22">
        <v>28611</v>
      </c>
      <c r="F5" s="3">
        <v>12</v>
      </c>
      <c r="G5" s="25">
        <f t="shared" si="0"/>
        <v>14400</v>
      </c>
    </row>
    <row r="6" spans="2:7">
      <c r="B6" s="21" t="s">
        <v>112</v>
      </c>
      <c r="C6" s="21" t="s">
        <v>106</v>
      </c>
      <c r="D6" s="21" t="s">
        <v>96</v>
      </c>
      <c r="E6" s="22">
        <v>36185</v>
      </c>
      <c r="F6" s="3">
        <v>9</v>
      </c>
      <c r="G6" s="25">
        <f t="shared" si="0"/>
        <v>10800</v>
      </c>
    </row>
    <row r="7" spans="2:7">
      <c r="B7" s="21" t="s">
        <v>117</v>
      </c>
      <c r="C7" s="21" t="s">
        <v>98</v>
      </c>
      <c r="D7" s="21" t="s">
        <v>96</v>
      </c>
      <c r="E7" s="22">
        <v>23158</v>
      </c>
      <c r="F7" s="3">
        <v>20</v>
      </c>
      <c r="G7" s="25">
        <f t="shared" si="0"/>
        <v>24000</v>
      </c>
    </row>
    <row r="8" spans="2:7">
      <c r="B8" s="21" t="s">
        <v>97</v>
      </c>
      <c r="C8" s="21" t="s">
        <v>98</v>
      </c>
      <c r="D8" s="21" t="s">
        <v>94</v>
      </c>
      <c r="E8" s="22">
        <v>35039</v>
      </c>
      <c r="F8" s="3">
        <v>11</v>
      </c>
      <c r="G8" s="25">
        <f t="shared" si="0"/>
        <v>13200</v>
      </c>
    </row>
    <row r="9" spans="2:7">
      <c r="B9" s="21" t="s">
        <v>104</v>
      </c>
      <c r="C9" s="21" t="s">
        <v>98</v>
      </c>
      <c r="D9" s="21" t="s">
        <v>94</v>
      </c>
      <c r="E9" s="22">
        <v>26353</v>
      </c>
      <c r="F9" s="3">
        <v>16</v>
      </c>
      <c r="G9" s="25">
        <f t="shared" si="0"/>
        <v>19200</v>
      </c>
    </row>
    <row r="10" spans="2:7">
      <c r="B10" s="21" t="s">
        <v>116</v>
      </c>
      <c r="C10" s="21" t="s">
        <v>98</v>
      </c>
      <c r="D10" s="21" t="s">
        <v>94</v>
      </c>
      <c r="E10" s="22">
        <v>26028</v>
      </c>
      <c r="F10" s="3">
        <v>13</v>
      </c>
      <c r="G10" s="25">
        <f t="shared" si="0"/>
        <v>15600</v>
      </c>
    </row>
    <row r="11" spans="2:7">
      <c r="B11" s="21" t="s">
        <v>110</v>
      </c>
      <c r="C11" s="21" t="s">
        <v>98</v>
      </c>
      <c r="D11" s="21" t="s">
        <v>96</v>
      </c>
      <c r="E11" s="22">
        <v>24174</v>
      </c>
      <c r="F11" s="3">
        <v>14</v>
      </c>
      <c r="G11" s="25">
        <f t="shared" si="0"/>
        <v>16800</v>
      </c>
    </row>
    <row r="12" spans="2:7">
      <c r="B12" s="21" t="s">
        <v>100</v>
      </c>
      <c r="C12" s="21" t="s">
        <v>98</v>
      </c>
      <c r="D12" s="21" t="s">
        <v>94</v>
      </c>
      <c r="E12" s="22">
        <v>28346</v>
      </c>
      <c r="F12" s="3">
        <v>3</v>
      </c>
      <c r="G12" s="25">
        <f t="shared" si="0"/>
        <v>3600</v>
      </c>
    </row>
    <row r="13" spans="2:7">
      <c r="B13" s="21" t="s">
        <v>99</v>
      </c>
      <c r="C13" s="21" t="s">
        <v>93</v>
      </c>
      <c r="D13" s="21" t="s">
        <v>96</v>
      </c>
      <c r="E13" s="22">
        <v>21728</v>
      </c>
      <c r="F13" s="3">
        <v>18</v>
      </c>
      <c r="G13" s="25">
        <f t="shared" si="0"/>
        <v>21600</v>
      </c>
    </row>
    <row r="14" spans="2:7">
      <c r="B14" s="21" t="s">
        <v>95</v>
      </c>
      <c r="C14" s="21" t="s">
        <v>93</v>
      </c>
      <c r="D14" s="21" t="s">
        <v>96</v>
      </c>
      <c r="E14" s="22">
        <v>29868</v>
      </c>
      <c r="F14" s="3">
        <v>19</v>
      </c>
      <c r="G14" s="25">
        <f t="shared" si="0"/>
        <v>22800</v>
      </c>
    </row>
    <row r="15" spans="2:7">
      <c r="B15" s="21" t="s">
        <v>111</v>
      </c>
      <c r="C15" s="21" t="s">
        <v>93</v>
      </c>
      <c r="D15" s="21" t="s">
        <v>94</v>
      </c>
      <c r="E15" s="22">
        <v>26917</v>
      </c>
      <c r="F15" s="3">
        <v>15</v>
      </c>
      <c r="G15" s="25">
        <f t="shared" si="0"/>
        <v>18000</v>
      </c>
    </row>
    <row r="16" spans="2:7">
      <c r="B16" s="21" t="s">
        <v>92</v>
      </c>
      <c r="C16" s="21" t="s">
        <v>93</v>
      </c>
      <c r="D16" s="21" t="s">
        <v>94</v>
      </c>
      <c r="E16" s="22">
        <v>34063</v>
      </c>
      <c r="F16" s="3">
        <v>5</v>
      </c>
      <c r="G16" s="25">
        <f t="shared" si="0"/>
        <v>6000</v>
      </c>
    </row>
    <row r="17" spans="2:7">
      <c r="B17" s="21" t="s">
        <v>95</v>
      </c>
      <c r="C17" s="21" t="s">
        <v>93</v>
      </c>
      <c r="D17" s="21" t="s">
        <v>96</v>
      </c>
      <c r="E17" s="22">
        <v>31329</v>
      </c>
      <c r="F17" s="3">
        <v>7</v>
      </c>
      <c r="G17" s="25">
        <f t="shared" si="0"/>
        <v>8400</v>
      </c>
    </row>
    <row r="18" spans="2:7">
      <c r="B18" s="21" t="s">
        <v>109</v>
      </c>
      <c r="C18" s="21" t="s">
        <v>93</v>
      </c>
      <c r="D18" s="21" t="s">
        <v>94</v>
      </c>
      <c r="E18" s="22">
        <v>31947</v>
      </c>
      <c r="F18" s="3">
        <v>6</v>
      </c>
      <c r="G18" s="25">
        <f t="shared" si="0"/>
        <v>7200</v>
      </c>
    </row>
    <row r="19" spans="2:7">
      <c r="B19" s="21" t="s">
        <v>113</v>
      </c>
      <c r="C19" s="21" t="s">
        <v>93</v>
      </c>
      <c r="D19" s="21" t="s">
        <v>94</v>
      </c>
      <c r="E19" s="22">
        <v>33240</v>
      </c>
      <c r="F19" s="3">
        <v>1</v>
      </c>
      <c r="G19" s="25">
        <f t="shared" si="0"/>
        <v>1200</v>
      </c>
    </row>
    <row r="20" spans="2:7">
      <c r="B20" s="21" t="s">
        <v>101</v>
      </c>
      <c r="C20" s="21" t="s">
        <v>102</v>
      </c>
      <c r="D20" s="21" t="s">
        <v>96</v>
      </c>
      <c r="E20" s="22">
        <v>27429</v>
      </c>
      <c r="F20" s="3">
        <v>21</v>
      </c>
      <c r="G20" s="25">
        <f t="shared" si="0"/>
        <v>25200</v>
      </c>
    </row>
    <row r="21" spans="2:7">
      <c r="B21" s="21" t="s">
        <v>103</v>
      </c>
      <c r="C21" s="21" t="s">
        <v>102</v>
      </c>
      <c r="D21" s="21" t="s">
        <v>96</v>
      </c>
      <c r="E21" s="22">
        <v>26026</v>
      </c>
      <c r="F21" s="3">
        <v>25</v>
      </c>
      <c r="G21" s="25">
        <f t="shared" si="0"/>
        <v>30000</v>
      </c>
    </row>
    <row r="22" spans="2:7">
      <c r="B22" s="21" t="s">
        <v>114</v>
      </c>
      <c r="C22" s="21" t="s">
        <v>102</v>
      </c>
      <c r="D22" s="21" t="s">
        <v>94</v>
      </c>
      <c r="E22" s="22">
        <v>28484</v>
      </c>
      <c r="F22" s="3">
        <v>2</v>
      </c>
      <c r="G22" s="25">
        <f t="shared" si="0"/>
        <v>2400</v>
      </c>
    </row>
    <row r="23" spans="2:7">
      <c r="B23" s="21" t="s">
        <v>115</v>
      </c>
      <c r="C23" s="21" t="s">
        <v>102</v>
      </c>
      <c r="D23" s="21" t="s">
        <v>96</v>
      </c>
      <c r="E23" s="22">
        <v>32586</v>
      </c>
      <c r="F23" s="3">
        <v>4</v>
      </c>
      <c r="G23" s="25">
        <f t="shared" si="0"/>
        <v>4800</v>
      </c>
    </row>
    <row r="24" spans="2:7">
      <c r="B24" s="67" t="s">
        <v>161</v>
      </c>
      <c r="C24" s="68"/>
      <c r="D24" s="68"/>
      <c r="E24" s="68"/>
      <c r="F24" s="69"/>
      <c r="G24" s="25">
        <f>SUM(G3:G23)</f>
        <v>312000</v>
      </c>
    </row>
    <row r="26" spans="2:7">
      <c r="B26" s="27" t="s">
        <v>159</v>
      </c>
      <c r="C26" s="27" t="s">
        <v>160</v>
      </c>
      <c r="D26" s="27" t="s">
        <v>158</v>
      </c>
    </row>
    <row r="27" spans="2:7">
      <c r="B27" s="24">
        <v>1000</v>
      </c>
      <c r="C27" s="24">
        <f>B27+B27*D27</f>
        <v>1200</v>
      </c>
      <c r="D27" s="23">
        <v>0.2</v>
      </c>
    </row>
  </sheetData>
  <scenarios current="0" sqref="G24">
    <scenario name="적립률10%" locked="1" count="1" user="User">
      <inputCells r="D27" val="0.1" numFmtId="9"/>
    </scenario>
    <scenario name="적립률30%" locked="1" count="1" user="User">
      <inputCells r="D27" val="0.3" numFmtId="9"/>
    </scenario>
  </scenarios>
  <sortState xmlns:x14="http://schemas.microsoft.com/office/spreadsheetml/2009/9/main" xmlns:xlrd2="http://schemas.microsoft.com/office/spreadsheetml/2017/richdata2" ref="B3:G23">
    <mc:AlternateContent xmlns:mc="http://schemas.openxmlformats.org/markup-compatibility/2006">
      <mc:Choice Requires="x14">
        <x14:sortCondition ref="C3:C23" customList="실버,레드,그린,블루"/>
        <x14:sortCondition sortBy="icon" ref="G3:G23" iconSet="3Stars" iconId="2"/>
        <x14:sortCondition descending="1" sortBy="icon" ref="G3:G23" iconSet="3Stars" iconId="0"/>
      </mc:Choice>
    </mc:AlternateContent>
  </sortState>
  <mergeCells count="1">
    <mergeCell ref="B24:F24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3925CE0A-D923-4602-88A2-4287CBA1C986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G3:G23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H5"/>
  <sheetViews>
    <sheetView workbookViewId="0"/>
  </sheetViews>
  <sheetFormatPr defaultRowHeight="16.5"/>
  <cols>
    <col min="2" max="2" width="12.625" customWidth="1"/>
    <col min="3" max="8" width="11.875" customWidth="1"/>
  </cols>
  <sheetData>
    <row r="1" spans="2:8" ht="24">
      <c r="B1" s="70" t="s">
        <v>53</v>
      </c>
      <c r="C1" s="70"/>
      <c r="D1" s="70"/>
      <c r="E1" s="70"/>
      <c r="F1" s="70"/>
      <c r="G1" s="70"/>
      <c r="H1" s="70"/>
    </row>
    <row r="2" spans="2:8">
      <c r="B2" s="7"/>
      <c r="C2" s="7"/>
      <c r="D2" s="7"/>
      <c r="E2" s="7"/>
      <c r="F2" s="7"/>
      <c r="G2" s="7"/>
      <c r="H2" s="1"/>
    </row>
    <row r="3" spans="2:8">
      <c r="B3" s="10" t="s">
        <v>54</v>
      </c>
      <c r="C3" s="11">
        <v>2020</v>
      </c>
      <c r="D3" s="11">
        <v>2021</v>
      </c>
      <c r="E3" s="11">
        <v>2022</v>
      </c>
      <c r="F3" s="11">
        <v>2023</v>
      </c>
      <c r="G3" s="11">
        <v>2024</v>
      </c>
      <c r="H3" s="11">
        <v>2025</v>
      </c>
    </row>
    <row r="4" spans="2:8">
      <c r="B4" s="8" t="s">
        <v>55</v>
      </c>
      <c r="C4" s="9">
        <v>590800</v>
      </c>
      <c r="D4" s="9">
        <v>642770</v>
      </c>
      <c r="E4" s="9">
        <v>705775</v>
      </c>
      <c r="F4" s="9">
        <v>930485</v>
      </c>
      <c r="G4" s="9">
        <v>1001206</v>
      </c>
      <c r="H4" s="9">
        <v>1004115</v>
      </c>
    </row>
    <row r="5" spans="2:8">
      <c r="B5" s="8" t="s">
        <v>56</v>
      </c>
      <c r="C5" s="9">
        <v>-20748</v>
      </c>
      <c r="D5" s="9">
        <v>51970</v>
      </c>
      <c r="E5" s="9">
        <v>63005</v>
      </c>
      <c r="F5" s="9">
        <v>224710</v>
      </c>
      <c r="G5" s="9">
        <v>70721</v>
      </c>
      <c r="H5" s="9">
        <v>2909</v>
      </c>
    </row>
  </sheetData>
  <mergeCells count="1">
    <mergeCell ref="B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5:G37"/>
  <sheetViews>
    <sheetView workbookViewId="0"/>
  </sheetViews>
  <sheetFormatPr defaultRowHeight="16.5"/>
  <cols>
    <col min="5" max="5" width="10.375" bestFit="1" customWidth="1"/>
    <col min="7" max="7" width="13.625" customWidth="1"/>
  </cols>
  <sheetData>
    <row r="5" spans="2:7">
      <c r="B5" s="3" t="s">
        <v>121</v>
      </c>
      <c r="C5" s="19" t="s">
        <v>83</v>
      </c>
      <c r="D5" s="19" t="s">
        <v>48</v>
      </c>
      <c r="E5" s="19" t="s">
        <v>49</v>
      </c>
      <c r="F5" s="19" t="s">
        <v>50</v>
      </c>
      <c r="G5" s="3" t="s">
        <v>154</v>
      </c>
    </row>
    <row r="6" spans="2:7">
      <c r="B6" s="3" t="s">
        <v>122</v>
      </c>
      <c r="C6" s="19" t="s">
        <v>84</v>
      </c>
      <c r="D6" s="19" t="s">
        <v>52</v>
      </c>
      <c r="E6" s="6">
        <v>500000</v>
      </c>
      <c r="F6" s="6">
        <v>0</v>
      </c>
      <c r="G6" s="20">
        <v>0.03</v>
      </c>
    </row>
    <row r="7" spans="2:7">
      <c r="B7" s="3" t="s">
        <v>123</v>
      </c>
      <c r="C7" s="19" t="s">
        <v>85</v>
      </c>
      <c r="D7" s="19" t="s">
        <v>52</v>
      </c>
      <c r="E7" s="6">
        <v>450000</v>
      </c>
      <c r="F7" s="6">
        <v>20000</v>
      </c>
      <c r="G7" s="20">
        <v>-0.01</v>
      </c>
    </row>
    <row r="8" spans="2:7">
      <c r="B8" s="3" t="s">
        <v>124</v>
      </c>
      <c r="C8" s="19" t="s">
        <v>86</v>
      </c>
      <c r="D8" s="19" t="s">
        <v>52</v>
      </c>
      <c r="E8" s="6">
        <v>350000</v>
      </c>
      <c r="F8" s="6">
        <v>60000</v>
      </c>
      <c r="G8" s="20">
        <v>0</v>
      </c>
    </row>
    <row r="9" spans="2:7">
      <c r="B9" s="3" t="s">
        <v>125</v>
      </c>
      <c r="C9" s="19" t="s">
        <v>87</v>
      </c>
      <c r="D9" s="19" t="s">
        <v>52</v>
      </c>
      <c r="E9" s="6">
        <v>150000</v>
      </c>
      <c r="F9" s="6">
        <v>80000</v>
      </c>
      <c r="G9" s="20">
        <v>2.5000000000000001E-2</v>
      </c>
    </row>
    <row r="10" spans="2:7">
      <c r="B10" s="3" t="s">
        <v>126</v>
      </c>
      <c r="C10" s="19" t="s">
        <v>84</v>
      </c>
      <c r="D10" s="19" t="s">
        <v>47</v>
      </c>
      <c r="E10" s="6">
        <v>600000</v>
      </c>
      <c r="F10" s="6">
        <v>0</v>
      </c>
      <c r="G10" s="20">
        <v>-0.05</v>
      </c>
    </row>
    <row r="11" spans="2:7">
      <c r="B11" s="3" t="s">
        <v>127</v>
      </c>
      <c r="C11" s="19" t="s">
        <v>85</v>
      </c>
      <c r="D11" s="19" t="s">
        <v>47</v>
      </c>
      <c r="E11" s="6">
        <v>500000</v>
      </c>
      <c r="F11" s="6">
        <v>20000</v>
      </c>
      <c r="G11" s="20">
        <v>0.03</v>
      </c>
    </row>
    <row r="12" spans="2:7">
      <c r="B12" s="3" t="s">
        <v>128</v>
      </c>
      <c r="C12" s="19" t="s">
        <v>86</v>
      </c>
      <c r="D12" s="19" t="s">
        <v>47</v>
      </c>
      <c r="E12" s="6">
        <v>400000</v>
      </c>
      <c r="F12" s="6">
        <v>60000</v>
      </c>
      <c r="G12" s="20">
        <v>0.04</v>
      </c>
    </row>
    <row r="13" spans="2:7">
      <c r="B13" s="3" t="s">
        <v>129</v>
      </c>
      <c r="C13" s="19" t="s">
        <v>87</v>
      </c>
      <c r="D13" s="19" t="s">
        <v>47</v>
      </c>
      <c r="E13" s="6">
        <v>250000</v>
      </c>
      <c r="F13" s="6">
        <v>80000</v>
      </c>
      <c r="G13" s="20">
        <v>0.02</v>
      </c>
    </row>
    <row r="14" spans="2:7">
      <c r="B14" s="3" t="s">
        <v>130</v>
      </c>
      <c r="C14" s="19" t="s">
        <v>84</v>
      </c>
      <c r="D14" s="19" t="s">
        <v>47</v>
      </c>
      <c r="E14" s="6">
        <v>220000</v>
      </c>
      <c r="F14" s="6">
        <v>0</v>
      </c>
      <c r="G14" s="20">
        <v>0.01</v>
      </c>
    </row>
    <row r="15" spans="2:7">
      <c r="B15" s="3" t="s">
        <v>131</v>
      </c>
      <c r="C15" s="19" t="s">
        <v>85</v>
      </c>
      <c r="D15" s="19" t="s">
        <v>47</v>
      </c>
      <c r="E15" s="6">
        <v>190000</v>
      </c>
      <c r="F15" s="6">
        <v>20000</v>
      </c>
      <c r="G15" s="20">
        <v>4.4999999999999998E-2</v>
      </c>
    </row>
    <row r="16" spans="2:7">
      <c r="B16" s="3" t="s">
        <v>132</v>
      </c>
      <c r="C16" s="19" t="s">
        <v>86</v>
      </c>
      <c r="D16" s="19" t="s">
        <v>47</v>
      </c>
      <c r="E16" s="6">
        <v>150000</v>
      </c>
      <c r="F16" s="6">
        <v>60000</v>
      </c>
      <c r="G16" s="20">
        <v>-3.5000000000000003E-2</v>
      </c>
    </row>
    <row r="17" spans="2:7">
      <c r="B17" s="3" t="s">
        <v>133</v>
      </c>
      <c r="C17" s="19" t="s">
        <v>87</v>
      </c>
      <c r="D17" s="19" t="s">
        <v>47</v>
      </c>
      <c r="E17" s="6">
        <v>350000</v>
      </c>
      <c r="F17" s="6">
        <v>80000</v>
      </c>
      <c r="G17" s="20">
        <v>0.02</v>
      </c>
    </row>
    <row r="18" spans="2:7">
      <c r="B18" s="3" t="s">
        <v>134</v>
      </c>
      <c r="C18" s="19" t="s">
        <v>84</v>
      </c>
      <c r="D18" s="19" t="s">
        <v>46</v>
      </c>
      <c r="E18" s="6">
        <v>350000</v>
      </c>
      <c r="F18" s="6">
        <v>0</v>
      </c>
      <c r="G18" s="20">
        <v>0</v>
      </c>
    </row>
    <row r="19" spans="2:7">
      <c r="B19" s="3" t="s">
        <v>135</v>
      </c>
      <c r="C19" s="19" t="s">
        <v>85</v>
      </c>
      <c r="D19" s="19" t="s">
        <v>46</v>
      </c>
      <c r="E19" s="6">
        <v>300000</v>
      </c>
      <c r="F19" s="6">
        <v>20000</v>
      </c>
      <c r="G19" s="20">
        <v>0</v>
      </c>
    </row>
    <row r="20" spans="2:7">
      <c r="B20" s="3" t="s">
        <v>136</v>
      </c>
      <c r="C20" s="19" t="s">
        <v>86</v>
      </c>
      <c r="D20" s="19" t="s">
        <v>46</v>
      </c>
      <c r="E20" s="6">
        <v>280000</v>
      </c>
      <c r="F20" s="6">
        <v>60000</v>
      </c>
      <c r="G20" s="20">
        <v>0</v>
      </c>
    </row>
    <row r="21" spans="2:7">
      <c r="B21" s="3" t="s">
        <v>137</v>
      </c>
      <c r="C21" s="19" t="s">
        <v>87</v>
      </c>
      <c r="D21" s="19" t="s">
        <v>46</v>
      </c>
      <c r="E21" s="6">
        <v>400000</v>
      </c>
      <c r="F21" s="6">
        <v>80000</v>
      </c>
      <c r="G21" s="20">
        <v>0</v>
      </c>
    </row>
    <row r="22" spans="2:7">
      <c r="B22" s="3" t="s">
        <v>138</v>
      </c>
      <c r="C22" s="19" t="s">
        <v>84</v>
      </c>
      <c r="D22" s="19" t="s">
        <v>46</v>
      </c>
      <c r="E22" s="6">
        <v>480000</v>
      </c>
      <c r="F22" s="6">
        <v>0</v>
      </c>
      <c r="G22" s="20">
        <v>0.01</v>
      </c>
    </row>
    <row r="23" spans="2:7">
      <c r="B23" s="3" t="s">
        <v>139</v>
      </c>
      <c r="C23" s="19" t="s">
        <v>85</v>
      </c>
      <c r="D23" s="19" t="s">
        <v>46</v>
      </c>
      <c r="E23" s="6">
        <v>400000</v>
      </c>
      <c r="F23" s="6">
        <v>20000</v>
      </c>
      <c r="G23" s="20">
        <v>0.05</v>
      </c>
    </row>
    <row r="24" spans="2:7">
      <c r="B24" s="3" t="s">
        <v>140</v>
      </c>
      <c r="C24" s="19" t="s">
        <v>86</v>
      </c>
      <c r="D24" s="19" t="s">
        <v>46</v>
      </c>
      <c r="E24" s="6">
        <v>380000</v>
      </c>
      <c r="F24" s="6">
        <v>60000</v>
      </c>
      <c r="G24" s="20">
        <v>0.03</v>
      </c>
    </row>
    <row r="25" spans="2:7">
      <c r="B25" s="3" t="s">
        <v>141</v>
      </c>
      <c r="C25" s="19" t="s">
        <v>87</v>
      </c>
      <c r="D25" s="19" t="s">
        <v>46</v>
      </c>
      <c r="E25" s="6">
        <v>600000</v>
      </c>
      <c r="F25" s="6">
        <v>80000</v>
      </c>
      <c r="G25" s="20">
        <v>0.02</v>
      </c>
    </row>
    <row r="26" spans="2:7">
      <c r="B26" s="3" t="s">
        <v>142</v>
      </c>
      <c r="C26" s="19" t="s">
        <v>84</v>
      </c>
      <c r="D26" s="19" t="s">
        <v>46</v>
      </c>
      <c r="E26" s="6">
        <v>650000</v>
      </c>
      <c r="F26" s="6">
        <v>0</v>
      </c>
      <c r="G26" s="20">
        <v>2.5000000000000001E-2</v>
      </c>
    </row>
    <row r="27" spans="2:7">
      <c r="B27" s="3" t="s">
        <v>143</v>
      </c>
      <c r="C27" s="19" t="s">
        <v>85</v>
      </c>
      <c r="D27" s="19" t="s">
        <v>46</v>
      </c>
      <c r="E27" s="6">
        <v>500000</v>
      </c>
      <c r="F27" s="6">
        <v>10000</v>
      </c>
      <c r="G27" s="20">
        <v>-0.03</v>
      </c>
    </row>
    <row r="28" spans="2:7">
      <c r="B28" s="3" t="s">
        <v>144</v>
      </c>
      <c r="C28" s="19" t="s">
        <v>86</v>
      </c>
      <c r="D28" s="19" t="s">
        <v>46</v>
      </c>
      <c r="E28" s="6">
        <v>400000</v>
      </c>
      <c r="F28" s="6">
        <v>30000</v>
      </c>
      <c r="G28" s="20">
        <v>0.04</v>
      </c>
    </row>
    <row r="29" spans="2:7">
      <c r="B29" s="3" t="s">
        <v>145</v>
      </c>
      <c r="C29" s="19" t="s">
        <v>87</v>
      </c>
      <c r="D29" s="19" t="s">
        <v>46</v>
      </c>
      <c r="E29" s="6">
        <v>200000</v>
      </c>
      <c r="F29" s="6">
        <v>40000</v>
      </c>
      <c r="G29" s="20">
        <v>0.04</v>
      </c>
    </row>
    <row r="30" spans="2:7">
      <c r="B30" s="3" t="s">
        <v>146</v>
      </c>
      <c r="C30" s="19" t="s">
        <v>84</v>
      </c>
      <c r="D30" s="19" t="s">
        <v>47</v>
      </c>
      <c r="E30" s="6">
        <v>170000</v>
      </c>
      <c r="F30" s="6">
        <v>0</v>
      </c>
      <c r="G30" s="20">
        <v>0.03</v>
      </c>
    </row>
    <row r="31" spans="2:7">
      <c r="B31" s="3" t="s">
        <v>147</v>
      </c>
      <c r="C31" s="19" t="s">
        <v>85</v>
      </c>
      <c r="D31" s="19" t="s">
        <v>47</v>
      </c>
      <c r="E31" s="6">
        <v>150000</v>
      </c>
      <c r="F31" s="6">
        <v>10000</v>
      </c>
      <c r="G31" s="20">
        <v>1.4999999999999999E-2</v>
      </c>
    </row>
    <row r="32" spans="2:7">
      <c r="B32" s="3" t="s">
        <v>148</v>
      </c>
      <c r="C32" s="19" t="s">
        <v>86</v>
      </c>
      <c r="D32" s="19" t="s">
        <v>47</v>
      </c>
      <c r="E32" s="6">
        <v>100000</v>
      </c>
      <c r="F32" s="6">
        <v>30000</v>
      </c>
      <c r="G32" s="20">
        <v>1.7999999999999999E-2</v>
      </c>
    </row>
    <row r="33" spans="2:7">
      <c r="B33" s="3" t="s">
        <v>149</v>
      </c>
      <c r="C33" s="19" t="s">
        <v>87</v>
      </c>
      <c r="D33" s="19" t="s">
        <v>47</v>
      </c>
      <c r="E33" s="6">
        <v>250000</v>
      </c>
      <c r="F33" s="6">
        <v>40000</v>
      </c>
      <c r="G33" s="20">
        <v>0.02</v>
      </c>
    </row>
    <row r="34" spans="2:7">
      <c r="B34" s="3" t="s">
        <v>150</v>
      </c>
      <c r="C34" s="19" t="s">
        <v>84</v>
      </c>
      <c r="D34" s="19" t="s">
        <v>52</v>
      </c>
      <c r="E34" s="6">
        <v>550000</v>
      </c>
      <c r="F34" s="6">
        <v>0</v>
      </c>
      <c r="G34" s="20">
        <v>-1.4999999999999999E-2</v>
      </c>
    </row>
    <row r="35" spans="2:7">
      <c r="B35" s="3" t="s">
        <v>151</v>
      </c>
      <c r="C35" s="19" t="s">
        <v>85</v>
      </c>
      <c r="D35" s="19" t="s">
        <v>52</v>
      </c>
      <c r="E35" s="6">
        <v>480000</v>
      </c>
      <c r="F35" s="6">
        <v>20000</v>
      </c>
      <c r="G35" s="20">
        <v>0.05</v>
      </c>
    </row>
    <row r="36" spans="2:7">
      <c r="B36" s="3" t="s">
        <v>152</v>
      </c>
      <c r="C36" s="19" t="s">
        <v>86</v>
      </c>
      <c r="D36" s="19" t="s">
        <v>52</v>
      </c>
      <c r="E36" s="6">
        <v>320000</v>
      </c>
      <c r="F36" s="6">
        <v>30000</v>
      </c>
      <c r="G36" s="20">
        <v>-2.5000000000000001E-2</v>
      </c>
    </row>
    <row r="37" spans="2:7">
      <c r="B37" s="3" t="s">
        <v>153</v>
      </c>
      <c r="C37" s="19" t="s">
        <v>87</v>
      </c>
      <c r="D37" s="19" t="s">
        <v>52</v>
      </c>
      <c r="E37" s="6">
        <v>550000</v>
      </c>
      <c r="F37" s="6">
        <v>40000</v>
      </c>
      <c r="G37" s="20">
        <v>7.0000000000000007E-2</v>
      </c>
    </row>
  </sheetData>
  <phoneticPr fontId="1" type="noConversion"/>
  <conditionalFormatting sqref="E6:E37">
    <cfRule type="dataBar" priority="2">
      <dataBar>
        <cfvo type="percentile" val="10"/>
        <cfvo type="percentile" val="90"/>
        <color rgb="FF00B0F0"/>
      </dataBar>
      <extLst>
        <ext xmlns:x14="http://schemas.microsoft.com/office/spreadsheetml/2009/9/main" uri="{B025F937-C7B1-47D3-B67F-A62EFF666E3E}">
          <x14:id>{A4088A3D-8D0E-459E-A2EE-B33E555E7154}</x14:id>
        </ext>
      </extLst>
    </cfRule>
    <cfRule type="dataBar" priority="3">
      <dataBar>
        <cfvo type="percentile" val="10"/>
        <cfvo type="percentile" val="90"/>
        <color rgb="FF00B0F0"/>
      </dataBar>
      <extLst>
        <ext xmlns:x14="http://schemas.microsoft.com/office/spreadsheetml/2009/9/main" uri="{B025F937-C7B1-47D3-B67F-A62EFF666E3E}">
          <x14:id>{3A4996EE-5262-4999-BE9C-B7779846A472}</x14:id>
        </ext>
      </extLst>
    </cfRule>
    <cfRule type="dataBar" priority="1">
      <dataBar>
        <cfvo type="percentile" val="10"/>
        <cfvo type="percentile" val="90"/>
        <color rgb="FF00B0F0"/>
      </dataBar>
      <extLst>
        <ext xmlns:x14="http://schemas.microsoft.com/office/spreadsheetml/2009/9/main" uri="{B025F937-C7B1-47D3-B67F-A62EFF666E3E}">
          <x14:id>{80F1D48B-7A6B-4583-B0EF-71E74FCAE82A}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088A3D-8D0E-459E-A2EE-B33E555E7154}">
            <x14:dataBar minLength="0" maxLength="10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14:cfRule type="dataBar" id="{3A4996EE-5262-4999-BE9C-B7779846A472}">
            <x14:dataBar minLength="0" maxLength="10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14:cfRule type="dataBar" id="{80F1D48B-7A6B-4583-B0EF-71E74FCAE82A}">
            <x14:dataBar minLength="0" maxLength="10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m:sqref>E6:E37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4:J12"/>
  <sheetViews>
    <sheetView workbookViewId="0"/>
  </sheetViews>
  <sheetFormatPr defaultRowHeight="16.5"/>
  <cols>
    <col min="1" max="1" width="13.5" customWidth="1"/>
    <col min="2" max="6" width="12.5" customWidth="1"/>
    <col min="9" max="9" width="10" bestFit="1" customWidth="1"/>
  </cols>
  <sheetData>
    <row r="4" spans="1:10">
      <c r="A4" s="12" t="s">
        <v>0</v>
      </c>
      <c r="B4" s="12"/>
      <c r="C4" s="12"/>
      <c r="D4" s="12"/>
      <c r="E4" s="12"/>
      <c r="F4" s="12"/>
    </row>
    <row r="5" spans="1:10">
      <c r="A5" s="13" t="s">
        <v>57</v>
      </c>
      <c r="B5" s="13" t="s">
        <v>58</v>
      </c>
      <c r="C5" s="13" t="s">
        <v>59</v>
      </c>
      <c r="D5" s="13" t="s">
        <v>60</v>
      </c>
      <c r="E5" s="13" t="s">
        <v>61</v>
      </c>
      <c r="F5" s="13" t="s">
        <v>62</v>
      </c>
      <c r="H5" s="12" t="s">
        <v>63</v>
      </c>
      <c r="I5" s="12"/>
      <c r="J5" s="12"/>
    </row>
    <row r="6" spans="1:10">
      <c r="A6" s="14"/>
      <c r="B6" s="15"/>
      <c r="C6" s="15"/>
      <c r="D6" s="15"/>
      <c r="E6" s="16"/>
      <c r="F6" s="16"/>
      <c r="H6" s="15" t="s">
        <v>64</v>
      </c>
      <c r="I6" s="15" t="s">
        <v>65</v>
      </c>
      <c r="J6" s="15" t="s">
        <v>61</v>
      </c>
    </row>
    <row r="7" spans="1:10">
      <c r="A7" s="15"/>
      <c r="B7" s="15"/>
      <c r="C7" s="15"/>
      <c r="D7" s="15"/>
      <c r="E7" s="16"/>
      <c r="F7" s="16"/>
      <c r="H7" s="15" t="s">
        <v>66</v>
      </c>
      <c r="I7" s="15" t="s">
        <v>67</v>
      </c>
      <c r="J7" s="16">
        <v>10</v>
      </c>
    </row>
    <row r="8" spans="1:10">
      <c r="A8" s="15"/>
      <c r="B8" s="15"/>
      <c r="C8" s="15"/>
      <c r="D8" s="15"/>
      <c r="E8" s="16"/>
      <c r="F8" s="16"/>
      <c r="H8" s="15" t="s">
        <v>68</v>
      </c>
      <c r="I8" s="15" t="s">
        <v>69</v>
      </c>
      <c r="J8" s="16">
        <v>11</v>
      </c>
    </row>
    <row r="9" spans="1:10">
      <c r="A9" s="15"/>
      <c r="B9" s="15"/>
      <c r="C9" s="15"/>
      <c r="D9" s="15"/>
      <c r="E9" s="16"/>
      <c r="F9" s="16"/>
      <c r="H9" s="15" t="s">
        <v>70</v>
      </c>
      <c r="I9" s="15" t="s">
        <v>71</v>
      </c>
      <c r="J9" s="16">
        <v>12</v>
      </c>
    </row>
    <row r="10" spans="1:10">
      <c r="A10" s="15"/>
      <c r="B10" s="15"/>
      <c r="C10" s="15"/>
      <c r="D10" s="15"/>
      <c r="E10" s="16"/>
      <c r="F10" s="16"/>
      <c r="H10" s="15" t="s">
        <v>72</v>
      </c>
      <c r="I10" s="15" t="s">
        <v>73</v>
      </c>
      <c r="J10" s="16">
        <v>15</v>
      </c>
    </row>
    <row r="11" spans="1:10">
      <c r="A11" s="15"/>
      <c r="B11" s="15"/>
      <c r="C11" s="15"/>
      <c r="D11" s="15"/>
      <c r="E11" s="16"/>
      <c r="F11" s="16"/>
      <c r="H11" s="15" t="s">
        <v>74</v>
      </c>
      <c r="I11" s="15" t="s">
        <v>75</v>
      </c>
      <c r="J11" s="16">
        <v>20</v>
      </c>
    </row>
    <row r="12" spans="1:10">
      <c r="A12" s="15"/>
      <c r="B12" s="15"/>
      <c r="C12" s="15"/>
      <c r="D12" s="15"/>
      <c r="E12" s="16"/>
      <c r="F12" s="16"/>
      <c r="H12" s="15" t="s">
        <v>76</v>
      </c>
      <c r="I12" s="15" t="s">
        <v>77</v>
      </c>
      <c r="J12" s="16">
        <v>18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요금계산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200025</xdr:rowOff>
              </from>
              <to>
                <xdr:col>6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8193" r:id="rId3" name="cmd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적립률</vt:lpstr>
      <vt:lpstr>포인트합계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2023-10-01T09:53:19Z</cp:lastPrinted>
  <dcterms:created xsi:type="dcterms:W3CDTF">2020-04-07T06:00:22Z</dcterms:created>
  <dcterms:modified xsi:type="dcterms:W3CDTF">2023-11-02T00:25:41Z</dcterms:modified>
</cp:coreProperties>
</file>