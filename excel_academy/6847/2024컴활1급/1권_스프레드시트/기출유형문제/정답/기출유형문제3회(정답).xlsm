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교정\24년1급실기\1권_스프레드시트\기출변형문제\정답\"/>
    </mc:Choice>
  </mc:AlternateContent>
  <xr:revisionPtr revIDLastSave="0" documentId="13_ncr:1_{BE0E34C8-6907-4A5E-BFB7-743A74E3CCAC}" xr6:coauthVersionLast="47" xr6:coauthVersionMax="47" xr10:uidLastSave="{00000000-0000-0000-0000-000000000000}"/>
  <bookViews>
    <workbookView xWindow="19395" yWindow="165" windowWidth="19110" windowHeight="15300" tabRatio="907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11" r:id="rId5"/>
    <sheet name="차트작업" sheetId="6" r:id="rId6"/>
    <sheet name="매크로" sheetId="10" r:id="rId7"/>
    <sheet name="렌트입력" sheetId="7" r:id="rId8"/>
  </sheets>
  <functionGroups builtInGroupCount="19"/>
  <definedNames>
    <definedName name="_xlnm._FilterDatabase" localSheetId="0" hidden="1">'기본작업-1'!$B$2:$I$36</definedName>
    <definedName name="_xlnm._FilterDatabase" localSheetId="1" hidden="1">'기본작업-2'!$B$2:$I$36</definedName>
    <definedName name="_xlnm.Criteria" localSheetId="0">'기본작업-1'!$B$38:$B$39</definedName>
    <definedName name="_xlnm.Criteria" localSheetId="1">'기본작업-2'!#REF!</definedName>
    <definedName name="_xlnm.Extract" localSheetId="0">'기본작업-1'!$B$43:$G$43</definedName>
    <definedName name="_xlnm.Extract" localSheetId="1">'기본작업-2'!#REF!</definedName>
    <definedName name="MS_Access_Database_Query_1" localSheetId="0">'기본작업-1'!$B$2:$I$36</definedName>
    <definedName name="MS_Access_Database_Query_1" localSheetId="6">매크로!$B$3:$G$16</definedName>
    <definedName name="MS_Access_Database_Query_2" localSheetId="1">'기본작업-2'!$B$2:$I$36</definedName>
    <definedName name="_xlnm.Print_Area" localSheetId="1">'기본작업-2'!$B$2:$I$36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3" l="1" a="1"/>
  <c r="M17" i="3" s="1"/>
  <c r="N17" i="3" a="1"/>
  <c r="N17" i="3"/>
  <c r="M18" i="3" a="1"/>
  <c r="M18" i="3" s="1"/>
  <c r="N18" i="3" a="1"/>
  <c r="N18" i="3" s="1"/>
  <c r="M19" i="3" a="1"/>
  <c r="M19" i="3" s="1"/>
  <c r="N19" i="3" a="1"/>
  <c r="N19" i="3" s="1"/>
  <c r="L18" i="3" a="1"/>
  <c r="L18" i="3" s="1"/>
  <c r="L19" i="3" a="1"/>
  <c r="L19" i="3" s="1"/>
  <c r="L17" i="3" a="1"/>
  <c r="L17" i="3" s="1"/>
  <c r="M11" i="3"/>
  <c r="M12" i="3"/>
  <c r="M13" i="3"/>
  <c r="L12" i="3"/>
  <c r="L13" i="3"/>
  <c r="L11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4" i="3"/>
  <c r="I19" i="3" a="1"/>
  <c r="I29" i="3" a="1"/>
  <c r="I20" i="3" a="1"/>
  <c r="I15" i="3" a="1"/>
  <c r="I25" i="3" a="1"/>
  <c r="I6" i="3" a="1"/>
  <c r="I7" i="3" a="1"/>
  <c r="I33" i="3" a="1"/>
  <c r="I14" i="3" a="1"/>
  <c r="I24" i="3" a="1"/>
  <c r="I12" i="3" a="1"/>
  <c r="I26" i="3" a="1"/>
  <c r="I17" i="3" a="1"/>
  <c r="I27" i="3" a="1"/>
  <c r="I8" i="3" a="1"/>
  <c r="I30" i="3" a="1"/>
  <c r="I21" i="3" a="1"/>
  <c r="I32" i="3" a="1"/>
  <c r="I13" i="3" a="1"/>
  <c r="I18" i="3" a="1"/>
  <c r="I10" i="3" a="1"/>
  <c r="I4" i="3" a="1"/>
  <c r="I22" i="3" a="1"/>
  <c r="I28" i="3" a="1"/>
  <c r="I31" i="3" a="1"/>
  <c r="I23" i="3" a="1"/>
  <c r="I9" i="3" a="1"/>
  <c r="I11" i="3" a="1"/>
  <c r="I5" i="3" a="1"/>
  <c r="I16" i="3" a="1"/>
  <c r="I4" i="3" l="1"/>
  <c r="I24" i="3"/>
  <c r="I14" i="3"/>
  <c r="I33" i="3"/>
  <c r="I23" i="3"/>
  <c r="I13" i="3"/>
  <c r="I32" i="3"/>
  <c r="I22" i="3"/>
  <c r="I12" i="3"/>
  <c r="I31" i="3"/>
  <c r="I21" i="3"/>
  <c r="I11" i="3"/>
  <c r="I30" i="3"/>
  <c r="I20" i="3"/>
  <c r="I10" i="3"/>
  <c r="I29" i="3"/>
  <c r="I19" i="3"/>
  <c r="I9" i="3"/>
  <c r="I28" i="3"/>
  <c r="I18" i="3"/>
  <c r="I8" i="3"/>
  <c r="I27" i="3"/>
  <c r="I17" i="3"/>
  <c r="I7" i="3"/>
  <c r="I26" i="3"/>
  <c r="I16" i="3"/>
  <c r="I6" i="3"/>
  <c r="I25" i="3"/>
  <c r="I15" i="3"/>
  <c r="I5" i="3"/>
  <c r="M5" i="3" l="1" a="1"/>
  <c r="M5" i="3" s="1"/>
  <c r="N5" i="3" a="1"/>
  <c r="N5" i="3" s="1"/>
  <c r="M6" i="3" a="1"/>
  <c r="M6" i="3" s="1"/>
  <c r="N6" i="3" a="1"/>
  <c r="N6" i="3" s="1"/>
  <c r="M7" i="3" a="1"/>
  <c r="M7" i="3" s="1"/>
  <c r="N7" i="3" a="1"/>
  <c r="N7" i="3" s="1"/>
  <c r="L6" i="3" a="1"/>
  <c r="L6" i="3" s="1"/>
  <c r="L7" i="3" a="1"/>
  <c r="L7" i="3" s="1"/>
  <c r="L5" i="3" a="1"/>
  <c r="L5" i="3" s="1"/>
  <c r="C28" i="11"/>
  <c r="C25" i="11"/>
  <c r="C20" i="11"/>
  <c r="C15" i="11"/>
  <c r="C8" i="11"/>
  <c r="C5" i="11"/>
  <c r="C30" i="11" s="1"/>
  <c r="E29" i="11"/>
  <c r="E21" i="11"/>
  <c r="E9" i="11"/>
  <c r="E31" i="11" s="1"/>
  <c r="B39" i="2" l="1"/>
  <c r="F16" i="10" l="1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F4" i="10"/>
  <c r="G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화장품.accdb;DefaultDir=E:\영진(2021년)\1급\excel\스프레드시트(파일) - 최종\모의고사;DriverId=25;FIL=MS Access;MaxBufferSize=2048;PageTimeout=5;" command="SELECT 판매내역.물품명, 판매내역.거래구분, 판매내역.금액, 판매내역.포인트_x000d__x000a_FROM 판매내역 판매내역"/>
  </connection>
  <connection id="2" xr16:uid="{C9773324-100B-4E8B-986F-E3A0ED318B0E}" name="연결" type="1" refreshedVersion="0" savePassword="1" deleted="1" background="1" saveData="1">
    <dbPr connection="" command=""/>
  </connection>
  <connection id="3" xr16:uid="{00000000-0015-0000-FFFF-FFFF02000000}" name="연결1" type="1" refreshedVersion="0" savePassword="1" deleted="1" background="1" saveData="1">
    <dbPr connection="" command="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<sst xmlns="http://schemas.openxmlformats.org/spreadsheetml/2006/main" count="548" uniqueCount="155">
  <si>
    <t>주문번호</t>
    <phoneticPr fontId="4" type="noConversion"/>
  </si>
  <si>
    <t>구분</t>
    <phoneticPr fontId="4" type="noConversion"/>
  </si>
  <si>
    <t>상품명</t>
    <phoneticPr fontId="4" type="noConversion"/>
  </si>
  <si>
    <t>판매가격</t>
    <phoneticPr fontId="4" type="noConversion"/>
  </si>
  <si>
    <t>주문수량</t>
    <phoneticPr fontId="4" type="noConversion"/>
  </si>
  <si>
    <t>주문지역</t>
    <phoneticPr fontId="4" type="noConversion"/>
  </si>
  <si>
    <t>업체</t>
  </si>
  <si>
    <t>주문일자</t>
    <phoneticPr fontId="4" type="noConversion"/>
  </si>
  <si>
    <t>남성용</t>
    <phoneticPr fontId="4" type="noConversion"/>
  </si>
  <si>
    <t>로션</t>
  </si>
  <si>
    <t>충북</t>
  </si>
  <si>
    <t>HOMME</t>
    <phoneticPr fontId="4" type="noConversion"/>
  </si>
  <si>
    <t>남성용</t>
    <phoneticPr fontId="4" type="noConversion"/>
  </si>
  <si>
    <t>향수</t>
  </si>
  <si>
    <t>서울</t>
  </si>
  <si>
    <t>인천</t>
  </si>
  <si>
    <t>경기</t>
  </si>
  <si>
    <t>HOMME</t>
    <phoneticPr fontId="4" type="noConversion"/>
  </si>
  <si>
    <t>대구</t>
  </si>
  <si>
    <t>남성용</t>
    <phoneticPr fontId="4" type="noConversion"/>
  </si>
  <si>
    <t>HOMME</t>
    <phoneticPr fontId="4" type="noConversion"/>
  </si>
  <si>
    <t>대전</t>
  </si>
  <si>
    <t>여성용</t>
    <phoneticPr fontId="4" type="noConversion"/>
  </si>
  <si>
    <t>충남</t>
  </si>
  <si>
    <t>여성용</t>
    <phoneticPr fontId="4" type="noConversion"/>
  </si>
  <si>
    <t>[표1]</t>
    <phoneticPr fontId="4" type="noConversion"/>
  </si>
  <si>
    <t>주문코드</t>
    <phoneticPr fontId="4" type="noConversion"/>
  </si>
  <si>
    <t>지점</t>
    <phoneticPr fontId="4" type="noConversion"/>
  </si>
  <si>
    <t>분류</t>
    <phoneticPr fontId="4" type="noConversion"/>
  </si>
  <si>
    <t>비고</t>
    <phoneticPr fontId="4" type="noConversion"/>
  </si>
  <si>
    <t>[표2]</t>
    <phoneticPr fontId="4" type="noConversion"/>
  </si>
  <si>
    <t>서울</t>
    <phoneticPr fontId="4" type="noConversion"/>
  </si>
  <si>
    <t>기능성</t>
  </si>
  <si>
    <t>분류</t>
    <phoneticPr fontId="4" type="noConversion"/>
  </si>
  <si>
    <t>인천</t>
    <phoneticPr fontId="4" type="noConversion"/>
  </si>
  <si>
    <t>베이스메이크업</t>
  </si>
  <si>
    <t>색조</t>
  </si>
  <si>
    <t>색조</t>
    <phoneticPr fontId="4" type="noConversion"/>
  </si>
  <si>
    <t>[표3]</t>
    <phoneticPr fontId="4" type="noConversion"/>
  </si>
  <si>
    <t>경기</t>
    <phoneticPr fontId="4" type="noConversion"/>
  </si>
  <si>
    <t>거래구분</t>
  </si>
  <si>
    <t>물품명</t>
  </si>
  <si>
    <t>주문수량</t>
  </si>
  <si>
    <t>판매수량</t>
  </si>
  <si>
    <t>금액</t>
  </si>
  <si>
    <t>포인트</t>
  </si>
  <si>
    <t>카드</t>
  </si>
  <si>
    <t>현금</t>
  </si>
  <si>
    <t>쿠폰</t>
  </si>
  <si>
    <t>1월 적립금 분석표</t>
    <phoneticPr fontId="4" type="noConversion"/>
  </si>
  <si>
    <t>판매일자</t>
    <phoneticPr fontId="4" type="noConversion"/>
  </si>
  <si>
    <t>물품영</t>
    <phoneticPr fontId="4" type="noConversion"/>
  </si>
  <si>
    <t>판매단가</t>
    <phoneticPr fontId="4" type="noConversion"/>
  </si>
  <si>
    <t>판매금액</t>
    <phoneticPr fontId="4" type="noConversion"/>
  </si>
  <si>
    <t>적립금</t>
    <phoneticPr fontId="4" type="noConversion"/>
  </si>
  <si>
    <t>로션</t>
    <phoneticPr fontId="4" type="noConversion"/>
  </si>
  <si>
    <t>샴푸</t>
    <phoneticPr fontId="4" type="noConversion"/>
  </si>
  <si>
    <t>향수</t>
    <phoneticPr fontId="4" type="noConversion"/>
  </si>
  <si>
    <t>평 균 기 온  평 년 차</t>
    <phoneticPr fontId="4" type="noConversion"/>
  </si>
  <si>
    <t>지점</t>
  </si>
  <si>
    <t>1월</t>
    <phoneticPr fontId="4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</si>
  <si>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</si>
  <si>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</si>
  <si>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</si>
  <si>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</si>
  <si>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</si>
  <si>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</si>
  <si>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</si>
  <si>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</si>
  <si>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</si>
  <si>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</si>
  <si>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</si>
  <si>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철  원</t>
  </si>
  <si>
    <t>대관령</t>
  </si>
  <si>
    <t>춘  천</t>
  </si>
  <si>
    <t>강  릉</t>
  </si>
  <si>
    <t>[표1]</t>
    <phoneticPr fontId="4" type="noConversion"/>
  </si>
  <si>
    <t>제품명</t>
    <phoneticPr fontId="4" type="noConversion"/>
  </si>
  <si>
    <t>대여일수</t>
    <phoneticPr fontId="4" type="noConversion"/>
  </si>
  <si>
    <t>제품가격</t>
    <phoneticPr fontId="4" type="noConversion"/>
  </si>
  <si>
    <t>대여금액</t>
    <phoneticPr fontId="4" type="noConversion"/>
  </si>
  <si>
    <t>제품명</t>
    <phoneticPr fontId="4" type="noConversion"/>
  </si>
  <si>
    <t>제품가격</t>
    <phoneticPr fontId="4" type="noConversion"/>
  </si>
  <si>
    <t>총합계</t>
  </si>
  <si>
    <t>합계 : 금액</t>
  </si>
  <si>
    <t>합계 : 포인트</t>
  </si>
  <si>
    <t>로션 요약</t>
  </si>
  <si>
    <t>향수 요약</t>
  </si>
  <si>
    <t>금액비율</t>
  </si>
  <si>
    <t>조건</t>
    <phoneticPr fontId="1" type="noConversion"/>
  </si>
  <si>
    <t>로션 평균</t>
  </si>
  <si>
    <t>향수 평균</t>
  </si>
  <si>
    <t>전체 평균</t>
  </si>
  <si>
    <t>카드 개수</t>
  </si>
  <si>
    <t>현금 개수</t>
  </si>
  <si>
    <t>전체 개수</t>
  </si>
  <si>
    <t>속  초</t>
    <phoneticPr fontId="4" type="noConversion"/>
  </si>
  <si>
    <t>마스크팩</t>
    <phoneticPr fontId="1" type="noConversion"/>
  </si>
  <si>
    <t>마스크팩 평균</t>
  </si>
  <si>
    <t>고객등급</t>
    <phoneticPr fontId="4" type="noConversion"/>
  </si>
  <si>
    <t>캠핑카 5인승</t>
    <phoneticPr fontId="4" type="noConversion"/>
  </si>
  <si>
    <t>트레일러</t>
    <phoneticPr fontId="4" type="noConversion"/>
  </si>
  <si>
    <t>캠핑카 미니</t>
    <phoneticPr fontId="4" type="noConversion"/>
  </si>
  <si>
    <t>1톤 포터 캠핑카</t>
    <phoneticPr fontId="4" type="noConversion"/>
  </si>
  <si>
    <t>스포츠칸 캠핑카</t>
    <phoneticPr fontId="4" type="noConversion"/>
  </si>
  <si>
    <t>서울지점</t>
  </si>
  <si>
    <t>인천지점</t>
  </si>
  <si>
    <t>대전지점</t>
  </si>
  <si>
    <t>경기지점</t>
  </si>
  <si>
    <t>메이크업</t>
    <phoneticPr fontId="4" type="noConversion"/>
  </si>
  <si>
    <t>기능</t>
    <phoneticPr fontId="4" type="noConversion"/>
  </si>
  <si>
    <t>제조일</t>
    <phoneticPr fontId="1" type="noConversion"/>
  </si>
  <si>
    <t>상반기</t>
    <phoneticPr fontId="4" type="noConversion"/>
  </si>
  <si>
    <t>하반기</t>
    <phoneticPr fontId="4" type="noConversion"/>
  </si>
  <si>
    <t>보존기간</t>
    <phoneticPr fontId="4" type="noConversion"/>
  </si>
  <si>
    <t>기준일</t>
    <phoneticPr fontId="1" type="noConversion"/>
  </si>
  <si>
    <t>코드</t>
    <phoneticPr fontId="4" type="noConversion"/>
  </si>
  <si>
    <t>A</t>
    <phoneticPr fontId="1" type="noConversion"/>
  </si>
  <si>
    <t>B</t>
    <phoneticPr fontId="1" type="noConversion"/>
  </si>
  <si>
    <t>C</t>
    <phoneticPr fontId="1" type="noConversion"/>
  </si>
  <si>
    <t>JB-007</t>
  </si>
  <si>
    <t>JB-012</t>
  </si>
  <si>
    <t>JB-019</t>
  </si>
  <si>
    <t>JB-028</t>
  </si>
  <si>
    <t>TC-002</t>
  </si>
  <si>
    <t>TC-004</t>
  </si>
  <si>
    <t>TC-005</t>
  </si>
  <si>
    <t>TC-015</t>
  </si>
  <si>
    <t>TC-017</t>
  </si>
  <si>
    <t>TC-025</t>
  </si>
  <si>
    <t>TC-023</t>
  </si>
  <si>
    <t>TC-022</t>
  </si>
  <si>
    <t>TC-030</t>
  </si>
  <si>
    <t>SA-001</t>
  </si>
  <si>
    <t>SA-003</t>
  </si>
  <si>
    <t>SA-006</t>
  </si>
  <si>
    <t>SA-008</t>
  </si>
  <si>
    <t>SA-009</t>
  </si>
  <si>
    <t>SA-010</t>
  </si>
  <si>
    <t>SA-011</t>
  </si>
  <si>
    <t>SA-013</t>
  </si>
  <si>
    <t>SA-014</t>
  </si>
  <si>
    <t>SA-016</t>
  </si>
  <si>
    <t>SA-018</t>
  </si>
  <si>
    <t>SA-020</t>
  </si>
  <si>
    <t>SA-021</t>
  </si>
  <si>
    <t>SA-024</t>
  </si>
  <si>
    <t>SA-026</t>
  </si>
  <si>
    <t>SA-027</t>
  </si>
  <si>
    <t>SA-029</t>
  </si>
  <si>
    <t>[표4]</t>
    <phoneticPr fontId="1" type="noConversion"/>
  </si>
  <si>
    <t>제조년도</t>
    <phoneticPr fontId="1" type="noConversion"/>
  </si>
  <si>
    <t xml:space="preserve">  기능성 </t>
    <phoneticPr fontId="4" type="noConversion"/>
  </si>
  <si>
    <t xml:space="preserve">  베이스 </t>
    <phoneticPr fontId="4" type="noConversion"/>
  </si>
  <si>
    <t xml:space="preserve">  색조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</si>
</sst>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/mm/dd\ "/>
    <numFmt numFmtId="177" formatCode="#,##0_ "/>
    <numFmt numFmtId="178" formatCode="[Blue][&gt;=10]\★* 0.0;0.0"/>
    <numFmt numFmtId="179" formatCode="0&quot;년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54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41" fontId="3" fillId="0" borderId="1" xfId="1" applyFont="1" applyBorder="1" applyAlignment="1">
      <alignment horizontal="center" vertical="center"/>
    </xf>
    <xf numFmtId="14" fontId="5" fillId="0" borderId="1" xfId="0" applyNumberFormat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6" fillId="0" borderId="1" xfId="2" applyFont="1" applyBorder="1" applyAlignment="1">
      <alignment horizontal="left" vertical="center"/>
    </xf>
    <xf numFmtId="0" fontId="6" fillId="0" borderId="1" xfId="2" applyFont="1" applyBorder="1" applyAlignment="1">
      <alignment vertical="center"/>
    </xf>
    <xf numFmtId="41" fontId="5" fillId="0" borderId="0" xfId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1" fontId="11" fillId="3" borderId="1" xfId="1" applyFont="1" applyFill="1" applyBorder="1" applyAlignment="1">
      <alignment horizontal="center" vertical="center"/>
    </xf>
    <xf numFmtId="0" fontId="11" fillId="3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5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vertical="center"/>
    </xf>
    <xf numFmtId="0" fontId="5" fillId="0" borderId="0" xfId="0" applyFont="1" applyAlignment="1">
      <alignment horizontal="right" vertical="center"/>
    </xf>
    <xf numFmtId="14" fontId="5" fillId="0" borderId="1" xfId="0" applyNumberFormat="1" applyFont="1" applyFill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9" fillId="3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</cellXfs>
  <cellStyles count="3">
    <cellStyle name="쉼표 [0]" xfId="1" builtinId="6"/>
    <cellStyle name="표준" xfId="0" builtinId="0"/>
    <cellStyle name="표준_차트작업" xfId="2" xr:uid="{00000000-0005-0000-0000-0000020000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minor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차트작업!$B$2</c:f>
          <c:strCache>
            <c:ptCount val="1"/>
            <c:pt idx="0">
              <c:v>평 균 기 온  평 년 차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차트작업!$B$6</c:f>
              <c:strCache>
                <c:ptCount val="1"/>
                <c:pt idx="0">
                  <c:v>철  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17</c:v>
                </c:pt>
                <c:pt idx="1">
                  <c:v>31</c:v>
                </c:pt>
                <c:pt idx="2">
                  <c:v>5</c:v>
                </c:pt>
                <c:pt idx="3">
                  <c:v>-8</c:v>
                </c:pt>
                <c:pt idx="4">
                  <c:v>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43-4726-BAF9-42F8905E3569}"/>
            </c:ext>
          </c:extLst>
        </c:ser>
        <c:ser>
          <c:idx val="2"/>
          <c:order val="1"/>
          <c:tx>
            <c:strRef>
              <c:f>차트작업!$B$7</c:f>
              <c:strCache>
                <c:ptCount val="1"/>
                <c:pt idx="0">
                  <c:v>대관령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차트작업!$C$7:$H$7</c:f>
              <c:numCache>
                <c:formatCode>General</c:formatCode>
                <c:ptCount val="6"/>
                <c:pt idx="0">
                  <c:v>24</c:v>
                </c:pt>
                <c:pt idx="1">
                  <c:v>40</c:v>
                </c:pt>
                <c:pt idx="2">
                  <c:v>16</c:v>
                </c:pt>
                <c:pt idx="3">
                  <c:v>-1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43-4726-BAF9-42F8905E3569}"/>
            </c:ext>
          </c:extLst>
        </c:ser>
        <c:ser>
          <c:idx val="3"/>
          <c:order val="2"/>
          <c:tx>
            <c:strRef>
              <c:f>차트작업!$B$8</c:f>
              <c:strCache>
                <c:ptCount val="1"/>
                <c:pt idx="0">
                  <c:v>춘  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차트작업!$C$8:$H$8</c:f>
              <c:numCache>
                <c:formatCode>General</c:formatCode>
                <c:ptCount val="6"/>
                <c:pt idx="0">
                  <c:v>21</c:v>
                </c:pt>
                <c:pt idx="1">
                  <c:v>33</c:v>
                </c:pt>
                <c:pt idx="2">
                  <c:v>7</c:v>
                </c:pt>
                <c:pt idx="3">
                  <c:v>-7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43-4726-BAF9-42F8905E3569}"/>
            </c:ext>
          </c:extLst>
        </c:ser>
        <c:ser>
          <c:idx val="4"/>
          <c:order val="3"/>
          <c:tx>
            <c:strRef>
              <c:f>차트작업!$B$9</c:f>
              <c:strCache>
                <c:ptCount val="1"/>
                <c:pt idx="0">
                  <c:v>강  릉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43-4726-BAF9-42F8905E35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차트작업!$C$9:$H$9</c:f>
              <c:numCache>
                <c:formatCode>General</c:formatCode>
                <c:ptCount val="6"/>
                <c:pt idx="0">
                  <c:v>25</c:v>
                </c:pt>
                <c:pt idx="1">
                  <c:v>41</c:v>
                </c:pt>
                <c:pt idx="2">
                  <c:v>11</c:v>
                </c:pt>
                <c:pt idx="3">
                  <c:v>-4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43-4726-BAF9-42F8905E3569}"/>
            </c:ext>
          </c:extLst>
        </c:ser>
        <c:ser>
          <c:idx val="0"/>
          <c:order val="4"/>
          <c:tx>
            <c:strRef>
              <c:f>차트작업!$B$5</c:f>
              <c:strCache>
                <c:ptCount val="1"/>
                <c:pt idx="0">
                  <c:v>속  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9</c:v>
                </c:pt>
                <c:pt idx="1">
                  <c:v>32</c:v>
                </c:pt>
                <c:pt idx="2">
                  <c:v>14</c:v>
                </c:pt>
                <c:pt idx="3">
                  <c:v>4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3-4726-BAF9-42F8905E3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95724592"/>
        <c:axId val="1395722928"/>
      </c:barChart>
      <c:catAx>
        <c:axId val="139572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5722928"/>
        <c:crossesAt val="5"/>
        <c:auto val="1"/>
        <c:lblAlgn val="ctr"/>
        <c:lblOffset val="100"/>
        <c:noMultiLvlLbl val="0"/>
      </c:catAx>
      <c:valAx>
        <c:axId val="1395722928"/>
        <c:scaling>
          <c:orientation val="minMax"/>
          <c:max val="4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57245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203200</xdr:rowOff>
    </xdr:from>
    <xdr:to>
      <xdr:col>14</xdr:col>
      <xdr:colOff>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아이콘보기" textlink="">
      <xdr:nvSpPr>
        <xdr:cNvPr id="2" name="리본: 위로 기울어짐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861050" y="1155700"/>
          <a:ext cx="1981200" cy="431800"/>
        </a:xfrm>
        <a:prstGeom prst="ribbon2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9525</xdr:colOff>
          <xdr:row>4</xdr:row>
          <xdr:rowOff>85725</xdr:rowOff>
        </xdr:to>
        <xdr:sp macro="" textlink="">
          <xdr:nvSpPr>
            <xdr:cNvPr id="7169" name="Cmd렌트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5.554062499999" createdVersion="6" refreshedVersion="6" minRefreshableVersion="3" recordCount="31" xr:uid="{00000000-000A-0000-FFFF-FFFF00000000}">
  <cacheSource type="external" connectionId="1"/>
  <cacheFields count="4">
    <cacheField name="물품명" numFmtId="0" sqlType="-9">
      <sharedItems count="2">
        <s v="로션"/>
        <s v="향수"/>
      </sharedItems>
    </cacheField>
    <cacheField name="거래구분" numFmtId="0" sqlType="-9">
      <sharedItems count="4">
        <s v="카드"/>
        <s v="현금"/>
        <s v="쿠폰"/>
        <s v="포인트"/>
      </sharedItems>
    </cacheField>
    <cacheField name="금액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1"/>
    <x v="0"/>
    <x v="1"/>
    <x v="1"/>
  </r>
  <r>
    <x v="1"/>
    <x v="0"/>
    <x v="2"/>
    <x v="2"/>
  </r>
  <r>
    <x v="0"/>
    <x v="1"/>
    <x v="3"/>
    <x v="3"/>
  </r>
  <r>
    <x v="0"/>
    <x v="1"/>
    <x v="4"/>
    <x v="4"/>
  </r>
  <r>
    <x v="1"/>
    <x v="1"/>
    <x v="5"/>
    <x v="5"/>
  </r>
  <r>
    <x v="1"/>
    <x v="1"/>
    <x v="6"/>
    <x v="6"/>
  </r>
  <r>
    <x v="1"/>
    <x v="1"/>
    <x v="5"/>
    <x v="5"/>
  </r>
  <r>
    <x v="1"/>
    <x v="0"/>
    <x v="7"/>
    <x v="7"/>
  </r>
  <r>
    <x v="1"/>
    <x v="0"/>
    <x v="8"/>
    <x v="0"/>
  </r>
  <r>
    <x v="1"/>
    <x v="0"/>
    <x v="9"/>
    <x v="8"/>
  </r>
  <r>
    <x v="1"/>
    <x v="0"/>
    <x v="10"/>
    <x v="9"/>
  </r>
  <r>
    <x v="1"/>
    <x v="0"/>
    <x v="3"/>
    <x v="3"/>
  </r>
  <r>
    <x v="1"/>
    <x v="2"/>
    <x v="9"/>
    <x v="8"/>
  </r>
  <r>
    <x v="1"/>
    <x v="1"/>
    <x v="11"/>
    <x v="5"/>
  </r>
  <r>
    <x v="1"/>
    <x v="1"/>
    <x v="12"/>
    <x v="10"/>
  </r>
  <r>
    <x v="1"/>
    <x v="1"/>
    <x v="13"/>
    <x v="11"/>
  </r>
  <r>
    <x v="1"/>
    <x v="2"/>
    <x v="4"/>
    <x v="8"/>
  </r>
  <r>
    <x v="1"/>
    <x v="0"/>
    <x v="4"/>
    <x v="3"/>
  </r>
  <r>
    <x v="0"/>
    <x v="0"/>
    <x v="4"/>
    <x v="3"/>
  </r>
  <r>
    <x v="1"/>
    <x v="3"/>
    <x v="9"/>
    <x v="12"/>
  </r>
  <r>
    <x v="0"/>
    <x v="0"/>
    <x v="12"/>
    <x v="10"/>
  </r>
  <r>
    <x v="1"/>
    <x v="1"/>
    <x v="14"/>
    <x v="13"/>
  </r>
  <r>
    <x v="1"/>
    <x v="1"/>
    <x v="1"/>
    <x v="1"/>
  </r>
  <r>
    <x v="1"/>
    <x v="1"/>
    <x v="4"/>
    <x v="3"/>
  </r>
  <r>
    <x v="1"/>
    <x v="0"/>
    <x v="4"/>
    <x v="3"/>
  </r>
  <r>
    <x v="1"/>
    <x v="0"/>
    <x v="2"/>
    <x v="2"/>
  </r>
  <r>
    <x v="1"/>
    <x v="0"/>
    <x v="7"/>
    <x v="7"/>
  </r>
  <r>
    <x v="0"/>
    <x v="0"/>
    <x v="15"/>
    <x v="14"/>
  </r>
  <r>
    <x v="1"/>
    <x v="0"/>
    <x v="5"/>
    <x v="5"/>
  </r>
  <r>
    <x v="1"/>
    <x v="1"/>
    <x v="9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F12" firstHeaderRow="0" firstDataRow="1" firstDataCol="2"/>
  <pivotFields count="4"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5">
        <item x="0"/>
        <item x="2"/>
        <item x="3"/>
        <item x="1"/>
        <item t="default"/>
      </items>
    </pivotField>
    <pivotField dataField="1" compact="0" outline="0" showAll="0"/>
    <pivotField dataField="1" compact="0" outline="0" showAll="0"/>
  </pivotFields>
  <rowFields count="2">
    <field x="0"/>
    <field x="1"/>
  </rowFields>
  <rowItems count="9">
    <i>
      <x/>
      <x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금액" fld="2" baseField="1" baseItem="0" numFmtId="177"/>
    <dataField name="합계 : 포인트" fld="3" baseField="0" baseItem="0"/>
    <dataField name="금액비율" fld="2" showDataAs="percentOfCol" baseField="1" baseItem="0" numFmtId="1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1" connectionId="2" xr16:uid="{00000000-0016-0000-0000-000000000000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2" xr16:uid="{38D8ECB1-593B-495D-B629-DD6660DF7455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1" connectionId="3" xr16:uid="{00000000-0016-0000-0600-000002000000}" autoFormatId="16" applyNumberFormats="0" applyBorderFormats="0" applyFontFormats="1" applyPatternFormats="1" applyAlignmentFormats="0" applyWidthHeightFormats="0">
  <queryTableRefresh nextId="11">
    <queryTableFields count="6">
      <queryTableField id="4" name="거래구분"/>
      <queryTableField id="5" name="상품명"/>
      <queryTableField id="6" name="주문수량"/>
      <queryTableField id="7" name="판매수량"/>
      <queryTableField id="8" name="가격"/>
      <queryTableField id="9" name="포인트"/>
    </queryTableFields>
    <queryTableDeletedFields count="4">
      <deletedField name="주문순서"/>
      <deletedField name="주문일자"/>
      <deletedField name="주문코드"/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I48"/>
  <sheetViews>
    <sheetView tabSelected="1" workbookViewId="0"/>
  </sheetViews>
  <sheetFormatPr defaultRowHeight="16.5"/>
  <cols>
    <col min="5" max="5" width="9.875" customWidth="1"/>
    <col min="6" max="6" width="9.75" customWidth="1"/>
    <col min="7" max="7" width="11.375" bestFit="1" customWidth="1"/>
    <col min="8" max="8" width="9.37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381</v>
      </c>
      <c r="G3" s="3" t="s">
        <v>10</v>
      </c>
      <c r="H3" s="3" t="s">
        <v>11</v>
      </c>
      <c r="I3" s="5">
        <v>45681</v>
      </c>
    </row>
    <row r="4" spans="2:9">
      <c r="B4" s="3">
        <v>5</v>
      </c>
      <c r="C4" s="3" t="s">
        <v>12</v>
      </c>
      <c r="D4" s="3" t="s">
        <v>13</v>
      </c>
      <c r="E4" s="4">
        <v>80000</v>
      </c>
      <c r="F4" s="4">
        <v>381</v>
      </c>
      <c r="G4" s="3" t="s">
        <v>14</v>
      </c>
      <c r="H4" s="3" t="s">
        <v>11</v>
      </c>
      <c r="I4" s="5">
        <v>45679</v>
      </c>
    </row>
    <row r="5" spans="2:9">
      <c r="B5" s="3">
        <v>8</v>
      </c>
      <c r="C5" s="3" t="s">
        <v>12</v>
      </c>
      <c r="D5" s="3" t="s">
        <v>13</v>
      </c>
      <c r="E5" s="4">
        <v>74000</v>
      </c>
      <c r="F5" s="4">
        <v>407</v>
      </c>
      <c r="G5" s="3" t="s">
        <v>15</v>
      </c>
      <c r="H5" s="3" t="s">
        <v>11</v>
      </c>
      <c r="I5" s="5">
        <v>45682</v>
      </c>
    </row>
    <row r="6" spans="2:9">
      <c r="B6" s="3">
        <v>3</v>
      </c>
      <c r="C6" s="3" t="s">
        <v>12</v>
      </c>
      <c r="D6" s="3" t="s">
        <v>9</v>
      </c>
      <c r="E6" s="4">
        <v>130000</v>
      </c>
      <c r="F6" s="4">
        <v>413</v>
      </c>
      <c r="G6" s="3" t="s">
        <v>16</v>
      </c>
      <c r="H6" s="3" t="s">
        <v>17</v>
      </c>
      <c r="I6" s="5">
        <v>45677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443</v>
      </c>
      <c r="G7" s="3" t="s">
        <v>18</v>
      </c>
      <c r="H7" s="3" t="s">
        <v>11</v>
      </c>
      <c r="I7" s="5">
        <v>45683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453</v>
      </c>
      <c r="G8" s="3" t="s">
        <v>16</v>
      </c>
      <c r="H8" s="3" t="s">
        <v>11</v>
      </c>
      <c r="I8" s="5">
        <v>45675</v>
      </c>
    </row>
    <row r="9" spans="2:9">
      <c r="B9" s="3">
        <v>4</v>
      </c>
      <c r="C9" s="3" t="s">
        <v>12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45678</v>
      </c>
    </row>
    <row r="10" spans="2:9">
      <c r="B10" s="3">
        <v>6</v>
      </c>
      <c r="C10" s="3" t="s">
        <v>19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17</v>
      </c>
      <c r="I10" s="5">
        <v>45680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501</v>
      </c>
      <c r="G11" s="3" t="s">
        <v>16</v>
      </c>
      <c r="H11" s="3" t="s">
        <v>17</v>
      </c>
      <c r="I11" s="5">
        <v>45686</v>
      </c>
    </row>
    <row r="12" spans="2:9">
      <c r="B12" s="3">
        <v>13</v>
      </c>
      <c r="C12" s="3" t="s">
        <v>12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17</v>
      </c>
      <c r="I12" s="5">
        <v>45687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533</v>
      </c>
      <c r="G13" s="3" t="s">
        <v>16</v>
      </c>
      <c r="H13" s="3" t="s">
        <v>17</v>
      </c>
      <c r="I13" s="5">
        <v>45688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541</v>
      </c>
      <c r="G14" s="3" t="s">
        <v>16</v>
      </c>
      <c r="H14" s="3" t="s">
        <v>20</v>
      </c>
      <c r="I14" s="5">
        <v>45685</v>
      </c>
    </row>
    <row r="15" spans="2:9">
      <c r="B15" s="3">
        <v>2</v>
      </c>
      <c r="C15" s="3" t="s">
        <v>12</v>
      </c>
      <c r="D15" s="3" t="s">
        <v>13</v>
      </c>
      <c r="E15" s="4">
        <v>130000</v>
      </c>
      <c r="F15" s="4">
        <v>553</v>
      </c>
      <c r="G15" s="3" t="s">
        <v>21</v>
      </c>
      <c r="H15" s="3" t="s">
        <v>11</v>
      </c>
      <c r="I15" s="5">
        <v>45676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555</v>
      </c>
      <c r="G16" s="3" t="s">
        <v>14</v>
      </c>
      <c r="H16" s="3" t="s">
        <v>20</v>
      </c>
      <c r="I16" s="5">
        <v>45691</v>
      </c>
    </row>
    <row r="17" spans="2:9">
      <c r="B17" s="3">
        <v>15</v>
      </c>
      <c r="C17" s="3" t="s">
        <v>12</v>
      </c>
      <c r="D17" s="3" t="s">
        <v>13</v>
      </c>
      <c r="E17" s="4">
        <v>35000</v>
      </c>
      <c r="F17" s="4">
        <v>617</v>
      </c>
      <c r="G17" s="3" t="s">
        <v>21</v>
      </c>
      <c r="H17" s="3" t="s">
        <v>17</v>
      </c>
      <c r="I17" s="5">
        <v>45689</v>
      </c>
    </row>
    <row r="18" spans="2:9">
      <c r="B18" s="3">
        <v>16</v>
      </c>
      <c r="C18" s="3" t="s">
        <v>19</v>
      </c>
      <c r="D18" s="3" t="s">
        <v>13</v>
      </c>
      <c r="E18" s="4">
        <v>30000</v>
      </c>
      <c r="F18" s="4">
        <v>623</v>
      </c>
      <c r="G18" s="3" t="s">
        <v>14</v>
      </c>
      <c r="H18" s="3" t="s">
        <v>20</v>
      </c>
      <c r="I18" s="5">
        <v>45690</v>
      </c>
    </row>
    <row r="19" spans="2:9">
      <c r="B19" s="3">
        <v>10</v>
      </c>
      <c r="C19" s="3" t="s">
        <v>19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45684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671</v>
      </c>
      <c r="G20" s="3" t="s">
        <v>23</v>
      </c>
      <c r="H20" s="3" t="s">
        <v>11</v>
      </c>
      <c r="I20" s="5">
        <v>45694</v>
      </c>
    </row>
    <row r="21" spans="2:9">
      <c r="B21" s="3">
        <v>18</v>
      </c>
      <c r="C21" s="3" t="s">
        <v>24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17</v>
      </c>
      <c r="I21" s="5">
        <v>45692</v>
      </c>
    </row>
    <row r="22" spans="2:9">
      <c r="B22" s="3">
        <v>29</v>
      </c>
      <c r="C22" s="3" t="s">
        <v>24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17</v>
      </c>
      <c r="I22" s="5">
        <v>45703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851</v>
      </c>
      <c r="G23" s="3" t="s">
        <v>16</v>
      </c>
      <c r="H23" s="3" t="s">
        <v>17</v>
      </c>
      <c r="I23" s="5">
        <v>45705</v>
      </c>
    </row>
    <row r="24" spans="2:9">
      <c r="B24" s="3">
        <v>24</v>
      </c>
      <c r="C24" s="3" t="s">
        <v>24</v>
      </c>
      <c r="D24" s="3" t="s">
        <v>9</v>
      </c>
      <c r="E24" s="4">
        <v>30000</v>
      </c>
      <c r="F24" s="4">
        <v>893</v>
      </c>
      <c r="G24" s="3" t="s">
        <v>16</v>
      </c>
      <c r="H24" s="3" t="s">
        <v>11</v>
      </c>
      <c r="I24" s="5">
        <v>45698</v>
      </c>
    </row>
    <row r="25" spans="2:9">
      <c r="B25" s="3">
        <v>19</v>
      </c>
      <c r="C25" s="3" t="s">
        <v>24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17</v>
      </c>
      <c r="I25" s="5">
        <v>45693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913</v>
      </c>
      <c r="G26" s="3" t="s">
        <v>16</v>
      </c>
      <c r="H26" s="3" t="s">
        <v>11</v>
      </c>
      <c r="I26" s="5">
        <v>45699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957</v>
      </c>
      <c r="G27" s="3" t="s">
        <v>16</v>
      </c>
      <c r="H27" s="3" t="s">
        <v>17</v>
      </c>
      <c r="I27" s="5">
        <v>45704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991</v>
      </c>
      <c r="G28" s="3" t="s">
        <v>14</v>
      </c>
      <c r="H28" s="3" t="s">
        <v>17</v>
      </c>
      <c r="I28" s="5">
        <v>45706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1003</v>
      </c>
      <c r="G29" s="3" t="s">
        <v>16</v>
      </c>
      <c r="H29" s="3" t="s">
        <v>11</v>
      </c>
      <c r="I29" s="5">
        <v>45702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1011</v>
      </c>
      <c r="G30" s="3" t="s">
        <v>14</v>
      </c>
      <c r="H30" s="3" t="s">
        <v>17</v>
      </c>
      <c r="I30" s="5">
        <v>45708</v>
      </c>
    </row>
    <row r="31" spans="2:9">
      <c r="B31" s="3">
        <v>21</v>
      </c>
      <c r="C31" s="3" t="s">
        <v>24</v>
      </c>
      <c r="D31" s="3" t="s">
        <v>9</v>
      </c>
      <c r="E31" s="4">
        <v>18000</v>
      </c>
      <c r="F31" s="4">
        <v>1033</v>
      </c>
      <c r="G31" s="3" t="s">
        <v>16</v>
      </c>
      <c r="H31" s="3" t="s">
        <v>11</v>
      </c>
      <c r="I31" s="5">
        <v>45695</v>
      </c>
    </row>
    <row r="32" spans="2:9">
      <c r="B32" s="3">
        <v>26</v>
      </c>
      <c r="C32" s="3" t="s">
        <v>24</v>
      </c>
      <c r="D32" s="3" t="s">
        <v>13</v>
      </c>
      <c r="E32" s="4">
        <v>18000</v>
      </c>
      <c r="F32" s="4">
        <v>1037</v>
      </c>
      <c r="G32" s="3" t="s">
        <v>16</v>
      </c>
      <c r="H32" s="3" t="s">
        <v>17</v>
      </c>
      <c r="I32" s="5">
        <v>45700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1091</v>
      </c>
      <c r="G33" s="3" t="s">
        <v>16</v>
      </c>
      <c r="H33" s="3" t="s">
        <v>17</v>
      </c>
      <c r="I33" s="5">
        <v>45701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1103</v>
      </c>
      <c r="G34" s="3" t="s">
        <v>14</v>
      </c>
      <c r="H34" s="3" t="s">
        <v>17</v>
      </c>
      <c r="I34" s="5">
        <v>45696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1131</v>
      </c>
      <c r="G35" s="3" t="s">
        <v>14</v>
      </c>
      <c r="H35" s="3" t="s">
        <v>17</v>
      </c>
      <c r="I35" s="5">
        <v>45707</v>
      </c>
    </row>
    <row r="36" spans="2:9">
      <c r="B36" s="3">
        <v>23</v>
      </c>
      <c r="C36" s="3" t="s">
        <v>24</v>
      </c>
      <c r="D36" s="3" t="s">
        <v>13</v>
      </c>
      <c r="E36" s="4">
        <v>10000</v>
      </c>
      <c r="F36" s="4">
        <v>1209</v>
      </c>
      <c r="G36" s="3" t="s">
        <v>14</v>
      </c>
      <c r="H36" s="3" t="s">
        <v>11</v>
      </c>
      <c r="I36" s="5">
        <v>45697</v>
      </c>
    </row>
    <row r="38" spans="2:9">
      <c r="B38" t="s">
        <v>89</v>
      </c>
    </row>
    <row r="39" spans="2:9">
      <c r="B39" t="b">
        <f>AND(D3="향수",ISEVEN(F3))</f>
        <v>0</v>
      </c>
    </row>
    <row r="43" spans="2:9">
      <c r="B43" s="1" t="s">
        <v>0</v>
      </c>
      <c r="C43" s="1" t="s">
        <v>2</v>
      </c>
      <c r="D43" s="2" t="s">
        <v>3</v>
      </c>
      <c r="E43" s="2" t="s">
        <v>4</v>
      </c>
      <c r="F43" s="1" t="s">
        <v>5</v>
      </c>
      <c r="G43" s="1" t="s">
        <v>7</v>
      </c>
    </row>
    <row r="44" spans="2:9">
      <c r="B44" s="3">
        <v>4</v>
      </c>
      <c r="C44" s="3" t="s">
        <v>13</v>
      </c>
      <c r="D44" s="4">
        <v>110000</v>
      </c>
      <c r="E44" s="4">
        <v>460</v>
      </c>
      <c r="F44" s="3" t="s">
        <v>16</v>
      </c>
      <c r="G44" s="5">
        <v>45678</v>
      </c>
    </row>
    <row r="45" spans="2:9">
      <c r="B45" s="3">
        <v>6</v>
      </c>
      <c r="C45" s="3" t="s">
        <v>13</v>
      </c>
      <c r="D45" s="4">
        <v>120700</v>
      </c>
      <c r="E45" s="4">
        <v>480</v>
      </c>
      <c r="F45" s="3" t="s">
        <v>14</v>
      </c>
      <c r="G45" s="5">
        <v>45680</v>
      </c>
    </row>
    <row r="46" spans="2:9">
      <c r="B46" s="3">
        <v>13</v>
      </c>
      <c r="C46" s="3" t="s">
        <v>13</v>
      </c>
      <c r="D46" s="4">
        <v>51000</v>
      </c>
      <c r="E46" s="4">
        <v>500</v>
      </c>
      <c r="F46" s="3" t="s">
        <v>16</v>
      </c>
      <c r="G46" s="5">
        <v>45687</v>
      </c>
    </row>
    <row r="47" spans="2:9">
      <c r="B47" s="3">
        <v>10</v>
      </c>
      <c r="C47" s="3" t="s">
        <v>13</v>
      </c>
      <c r="D47" s="4">
        <v>20000</v>
      </c>
      <c r="E47" s="4">
        <v>650</v>
      </c>
      <c r="F47" s="3" t="s">
        <v>16</v>
      </c>
      <c r="G47" s="5">
        <v>45684</v>
      </c>
    </row>
    <row r="48" spans="2:9">
      <c r="B48" s="3">
        <v>19</v>
      </c>
      <c r="C48" s="3" t="s">
        <v>13</v>
      </c>
      <c r="D48" s="4">
        <v>15000</v>
      </c>
      <c r="E48" s="4">
        <v>898</v>
      </c>
      <c r="F48" s="3" t="s">
        <v>21</v>
      </c>
      <c r="G48" s="5">
        <v>45693</v>
      </c>
    </row>
  </sheetData>
  <phoneticPr fontId="1" type="noConversion"/>
  <conditionalFormatting sqref="B3:I36">
    <cfRule type="expression" dxfId="2" priority="1">
      <formula>AND($G3="서울",OR(WEEKDAY($I3,2)=2,WEEKDAY($I3,2)=4))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B2:I36"/>
  <sheetViews>
    <sheetView workbookViewId="0"/>
  </sheetViews>
  <sheetFormatPr defaultRowHeight="16.5"/>
  <cols>
    <col min="5" max="5" width="9.875" customWidth="1"/>
    <col min="6" max="6" width="9.75" customWidth="1"/>
    <col min="7" max="7" width="11.375" bestFit="1" customWidth="1"/>
    <col min="8" max="8" width="9.37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381</v>
      </c>
      <c r="G3" s="3" t="s">
        <v>10</v>
      </c>
      <c r="H3" s="3" t="s">
        <v>11</v>
      </c>
      <c r="I3" s="5">
        <v>45681</v>
      </c>
    </row>
    <row r="4" spans="2:9">
      <c r="B4" s="3">
        <v>5</v>
      </c>
      <c r="C4" s="3" t="s">
        <v>8</v>
      </c>
      <c r="D4" s="3" t="s">
        <v>13</v>
      </c>
      <c r="E4" s="4">
        <v>80000</v>
      </c>
      <c r="F4" s="4">
        <v>381</v>
      </c>
      <c r="G4" s="3" t="s">
        <v>14</v>
      </c>
      <c r="H4" s="3" t="s">
        <v>11</v>
      </c>
      <c r="I4" s="5">
        <v>45679</v>
      </c>
    </row>
    <row r="5" spans="2:9">
      <c r="B5" s="3">
        <v>8</v>
      </c>
      <c r="C5" s="3" t="s">
        <v>8</v>
      </c>
      <c r="D5" s="3" t="s">
        <v>13</v>
      </c>
      <c r="E5" s="4">
        <v>74000</v>
      </c>
      <c r="F5" s="4">
        <v>407</v>
      </c>
      <c r="G5" s="3" t="s">
        <v>15</v>
      </c>
      <c r="H5" s="3" t="s">
        <v>11</v>
      </c>
      <c r="I5" s="5">
        <v>45682</v>
      </c>
    </row>
    <row r="6" spans="2:9">
      <c r="B6" s="3">
        <v>3</v>
      </c>
      <c r="C6" s="3" t="s">
        <v>8</v>
      </c>
      <c r="D6" s="3" t="s">
        <v>9</v>
      </c>
      <c r="E6" s="4">
        <v>130000</v>
      </c>
      <c r="F6" s="4">
        <v>413</v>
      </c>
      <c r="G6" s="3" t="s">
        <v>16</v>
      </c>
      <c r="H6" s="3" t="s">
        <v>11</v>
      </c>
      <c r="I6" s="5">
        <v>45677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443</v>
      </c>
      <c r="G7" s="3" t="s">
        <v>18</v>
      </c>
      <c r="H7" s="3" t="s">
        <v>11</v>
      </c>
      <c r="I7" s="5">
        <v>45683</v>
      </c>
    </row>
    <row r="8" spans="2:9">
      <c r="B8" s="3">
        <v>1</v>
      </c>
      <c r="C8" s="3" t="s">
        <v>8</v>
      </c>
      <c r="D8" s="3" t="s">
        <v>13</v>
      </c>
      <c r="E8" s="4">
        <v>122380</v>
      </c>
      <c r="F8" s="4">
        <v>453</v>
      </c>
      <c r="G8" s="3" t="s">
        <v>16</v>
      </c>
      <c r="H8" s="3" t="s">
        <v>11</v>
      </c>
      <c r="I8" s="5">
        <v>45675</v>
      </c>
    </row>
    <row r="9" spans="2:9">
      <c r="B9" s="3">
        <v>4</v>
      </c>
      <c r="C9" s="3" t="s">
        <v>8</v>
      </c>
      <c r="D9" s="3" t="s">
        <v>13</v>
      </c>
      <c r="E9" s="4">
        <v>110000</v>
      </c>
      <c r="F9" s="4">
        <v>460</v>
      </c>
      <c r="G9" s="3" t="s">
        <v>16</v>
      </c>
      <c r="H9" s="3" t="s">
        <v>11</v>
      </c>
      <c r="I9" s="5">
        <v>45678</v>
      </c>
    </row>
    <row r="10" spans="2:9">
      <c r="B10" s="3">
        <v>6</v>
      </c>
      <c r="C10" s="3" t="s">
        <v>8</v>
      </c>
      <c r="D10" s="3" t="s">
        <v>13</v>
      </c>
      <c r="E10" s="4">
        <v>120700</v>
      </c>
      <c r="F10" s="4">
        <v>480</v>
      </c>
      <c r="G10" s="3" t="s">
        <v>14</v>
      </c>
      <c r="H10" s="3" t="s">
        <v>11</v>
      </c>
      <c r="I10" s="5">
        <v>45680</v>
      </c>
    </row>
    <row r="11" spans="2:9">
      <c r="B11" s="3">
        <v>12</v>
      </c>
      <c r="C11" s="3" t="s">
        <v>8</v>
      </c>
      <c r="D11" s="3" t="s">
        <v>13</v>
      </c>
      <c r="E11" s="4">
        <v>90000</v>
      </c>
      <c r="F11" s="4">
        <v>501</v>
      </c>
      <c r="G11" s="3" t="s">
        <v>16</v>
      </c>
      <c r="H11" s="3" t="s">
        <v>11</v>
      </c>
      <c r="I11" s="5">
        <v>45686</v>
      </c>
    </row>
    <row r="12" spans="2:9">
      <c r="B12" s="3">
        <v>13</v>
      </c>
      <c r="C12" s="3" t="s">
        <v>8</v>
      </c>
      <c r="D12" s="3" t="s">
        <v>13</v>
      </c>
      <c r="E12" s="4">
        <v>51000</v>
      </c>
      <c r="F12" s="4">
        <v>500</v>
      </c>
      <c r="G12" s="3" t="s">
        <v>16</v>
      </c>
      <c r="H12" s="3" t="s">
        <v>11</v>
      </c>
      <c r="I12" s="5">
        <v>45687</v>
      </c>
    </row>
    <row r="13" spans="2:9">
      <c r="B13" s="3">
        <v>14</v>
      </c>
      <c r="C13" s="3" t="s">
        <v>8</v>
      </c>
      <c r="D13" s="3" t="s">
        <v>13</v>
      </c>
      <c r="E13" s="4">
        <v>65000</v>
      </c>
      <c r="F13" s="4">
        <v>533</v>
      </c>
      <c r="G13" s="3" t="s">
        <v>16</v>
      </c>
      <c r="H13" s="3" t="s">
        <v>11</v>
      </c>
      <c r="I13" s="5">
        <v>45688</v>
      </c>
    </row>
    <row r="14" spans="2:9">
      <c r="B14" s="3">
        <v>11</v>
      </c>
      <c r="C14" s="3" t="s">
        <v>8</v>
      </c>
      <c r="D14" s="3" t="s">
        <v>13</v>
      </c>
      <c r="E14" s="4">
        <v>45000</v>
      </c>
      <c r="F14" s="4">
        <v>541</v>
      </c>
      <c r="G14" s="3" t="s">
        <v>16</v>
      </c>
      <c r="H14" s="3" t="s">
        <v>11</v>
      </c>
      <c r="I14" s="5">
        <v>45685</v>
      </c>
    </row>
    <row r="15" spans="2:9">
      <c r="B15" s="3">
        <v>2</v>
      </c>
      <c r="C15" s="3" t="s">
        <v>8</v>
      </c>
      <c r="D15" s="3" t="s">
        <v>13</v>
      </c>
      <c r="E15" s="4">
        <v>130000</v>
      </c>
      <c r="F15" s="4">
        <v>553</v>
      </c>
      <c r="G15" s="3" t="s">
        <v>21</v>
      </c>
      <c r="H15" s="3" t="s">
        <v>11</v>
      </c>
      <c r="I15" s="5">
        <v>45676</v>
      </c>
    </row>
    <row r="16" spans="2:9">
      <c r="B16" s="3">
        <v>17</v>
      </c>
      <c r="C16" s="3" t="s">
        <v>8</v>
      </c>
      <c r="D16" s="3" t="s">
        <v>13</v>
      </c>
      <c r="E16" s="4">
        <v>29300</v>
      </c>
      <c r="F16" s="4">
        <v>555</v>
      </c>
      <c r="G16" s="3" t="s">
        <v>14</v>
      </c>
      <c r="H16" s="3" t="s">
        <v>11</v>
      </c>
      <c r="I16" s="5">
        <v>45691</v>
      </c>
    </row>
    <row r="17" spans="2:9">
      <c r="B17" s="3">
        <v>15</v>
      </c>
      <c r="C17" s="3" t="s">
        <v>8</v>
      </c>
      <c r="D17" s="3" t="s">
        <v>13</v>
      </c>
      <c r="E17" s="4">
        <v>35000</v>
      </c>
      <c r="F17" s="4">
        <v>617</v>
      </c>
      <c r="G17" s="3" t="s">
        <v>21</v>
      </c>
      <c r="H17" s="3" t="s">
        <v>11</v>
      </c>
      <c r="I17" s="5">
        <v>45689</v>
      </c>
    </row>
    <row r="18" spans="2:9">
      <c r="B18" s="3">
        <v>16</v>
      </c>
      <c r="C18" s="3" t="s">
        <v>8</v>
      </c>
      <c r="D18" s="3" t="s">
        <v>13</v>
      </c>
      <c r="E18" s="4">
        <v>30000</v>
      </c>
      <c r="F18" s="4">
        <v>623</v>
      </c>
      <c r="G18" s="3" t="s">
        <v>14</v>
      </c>
      <c r="H18" s="3" t="s">
        <v>11</v>
      </c>
      <c r="I18" s="5">
        <v>45690</v>
      </c>
    </row>
    <row r="19" spans="2:9">
      <c r="B19" s="3">
        <v>10</v>
      </c>
      <c r="C19" s="3" t="s">
        <v>8</v>
      </c>
      <c r="D19" s="3" t="s">
        <v>13</v>
      </c>
      <c r="E19" s="4">
        <v>20000</v>
      </c>
      <c r="F19" s="4">
        <v>650</v>
      </c>
      <c r="G19" s="3" t="s">
        <v>16</v>
      </c>
      <c r="H19" s="3" t="s">
        <v>11</v>
      </c>
      <c r="I19" s="5">
        <v>45684</v>
      </c>
    </row>
    <row r="20" spans="2:9">
      <c r="B20" s="3">
        <v>20</v>
      </c>
      <c r="C20" s="3" t="s">
        <v>22</v>
      </c>
      <c r="D20" s="3" t="s">
        <v>13</v>
      </c>
      <c r="E20" s="4">
        <v>20000</v>
      </c>
      <c r="F20" s="4">
        <v>671</v>
      </c>
      <c r="G20" s="3" t="s">
        <v>23</v>
      </c>
      <c r="H20" s="3" t="s">
        <v>11</v>
      </c>
      <c r="I20" s="5">
        <v>45694</v>
      </c>
    </row>
    <row r="21" spans="2:9">
      <c r="B21" s="3">
        <v>18</v>
      </c>
      <c r="C21" s="3" t="s">
        <v>22</v>
      </c>
      <c r="D21" s="3" t="s">
        <v>13</v>
      </c>
      <c r="E21" s="4">
        <v>39000</v>
      </c>
      <c r="F21" s="4">
        <v>799</v>
      </c>
      <c r="G21" s="3" t="s">
        <v>18</v>
      </c>
      <c r="H21" s="3" t="s">
        <v>11</v>
      </c>
      <c r="I21" s="5">
        <v>45692</v>
      </c>
    </row>
    <row r="22" spans="2:9">
      <c r="B22" s="3">
        <v>29</v>
      </c>
      <c r="C22" s="3" t="s">
        <v>22</v>
      </c>
      <c r="D22" s="3" t="s">
        <v>9</v>
      </c>
      <c r="E22" s="4">
        <v>20000</v>
      </c>
      <c r="F22" s="4">
        <v>800</v>
      </c>
      <c r="G22" s="3" t="s">
        <v>15</v>
      </c>
      <c r="H22" s="3" t="s">
        <v>11</v>
      </c>
      <c r="I22" s="5">
        <v>45703</v>
      </c>
    </row>
    <row r="23" spans="2:9">
      <c r="B23" s="3">
        <v>31</v>
      </c>
      <c r="C23" s="3" t="s">
        <v>22</v>
      </c>
      <c r="D23" s="3" t="s">
        <v>13</v>
      </c>
      <c r="E23" s="4">
        <v>30000</v>
      </c>
      <c r="F23" s="4">
        <v>851</v>
      </c>
      <c r="G23" s="3" t="s">
        <v>16</v>
      </c>
      <c r="H23" s="3" t="s">
        <v>11</v>
      </c>
      <c r="I23" s="5">
        <v>45705</v>
      </c>
    </row>
    <row r="24" spans="2:9">
      <c r="B24" s="3">
        <v>24</v>
      </c>
      <c r="C24" s="3" t="s">
        <v>22</v>
      </c>
      <c r="D24" s="3" t="s">
        <v>9</v>
      </c>
      <c r="E24" s="4">
        <v>30000</v>
      </c>
      <c r="F24" s="4">
        <v>893</v>
      </c>
      <c r="G24" s="3" t="s">
        <v>16</v>
      </c>
      <c r="H24" s="3" t="s">
        <v>11</v>
      </c>
      <c r="I24" s="5">
        <v>45698</v>
      </c>
    </row>
    <row r="25" spans="2:9">
      <c r="B25" s="3">
        <v>19</v>
      </c>
      <c r="C25" s="3" t="s">
        <v>22</v>
      </c>
      <c r="D25" s="3" t="s">
        <v>13</v>
      </c>
      <c r="E25" s="4">
        <v>15000</v>
      </c>
      <c r="F25" s="4">
        <v>898</v>
      </c>
      <c r="G25" s="3" t="s">
        <v>21</v>
      </c>
      <c r="H25" s="3" t="s">
        <v>11</v>
      </c>
      <c r="I25" s="5">
        <v>45693</v>
      </c>
    </row>
    <row r="26" spans="2:9">
      <c r="B26" s="3">
        <v>25</v>
      </c>
      <c r="C26" s="3" t="s">
        <v>22</v>
      </c>
      <c r="D26" s="3" t="s">
        <v>13</v>
      </c>
      <c r="E26" s="4">
        <v>36000</v>
      </c>
      <c r="F26" s="4">
        <v>913</v>
      </c>
      <c r="G26" s="3" t="s">
        <v>16</v>
      </c>
      <c r="H26" s="3" t="s">
        <v>11</v>
      </c>
      <c r="I26" s="5">
        <v>45699</v>
      </c>
    </row>
    <row r="27" spans="2:9">
      <c r="B27" s="3">
        <v>30</v>
      </c>
      <c r="C27" s="3" t="s">
        <v>22</v>
      </c>
      <c r="D27" s="3" t="s">
        <v>13</v>
      </c>
      <c r="E27" s="4">
        <v>30000</v>
      </c>
      <c r="F27" s="4">
        <v>957</v>
      </c>
      <c r="G27" s="3" t="s">
        <v>16</v>
      </c>
      <c r="H27" s="3" t="s">
        <v>11</v>
      </c>
      <c r="I27" s="5">
        <v>45704</v>
      </c>
    </row>
    <row r="28" spans="2:9">
      <c r="B28" s="3">
        <v>32</v>
      </c>
      <c r="C28" s="3" t="s">
        <v>22</v>
      </c>
      <c r="D28" s="3" t="s">
        <v>13</v>
      </c>
      <c r="E28" s="4">
        <v>8000</v>
      </c>
      <c r="F28" s="4">
        <v>991</v>
      </c>
      <c r="G28" s="3" t="s">
        <v>14</v>
      </c>
      <c r="H28" s="3" t="s">
        <v>11</v>
      </c>
      <c r="I28" s="5">
        <v>45706</v>
      </c>
    </row>
    <row r="29" spans="2:9">
      <c r="B29" s="3">
        <v>28</v>
      </c>
      <c r="C29" s="3" t="s">
        <v>22</v>
      </c>
      <c r="D29" s="3" t="s">
        <v>13</v>
      </c>
      <c r="E29" s="4">
        <v>16000</v>
      </c>
      <c r="F29" s="4">
        <v>1003</v>
      </c>
      <c r="G29" s="3" t="s">
        <v>16</v>
      </c>
      <c r="H29" s="3" t="s">
        <v>11</v>
      </c>
      <c r="I29" s="5">
        <v>45702</v>
      </c>
    </row>
    <row r="30" spans="2:9">
      <c r="B30" s="3">
        <v>34</v>
      </c>
      <c r="C30" s="3" t="s">
        <v>22</v>
      </c>
      <c r="D30" s="3" t="s">
        <v>13</v>
      </c>
      <c r="E30" s="4">
        <v>3000</v>
      </c>
      <c r="F30" s="4">
        <v>1011</v>
      </c>
      <c r="G30" s="3" t="s">
        <v>14</v>
      </c>
      <c r="H30" s="3" t="s">
        <v>11</v>
      </c>
      <c r="I30" s="5">
        <v>45708</v>
      </c>
    </row>
    <row r="31" spans="2:9">
      <c r="B31" s="3">
        <v>21</v>
      </c>
      <c r="C31" s="3" t="s">
        <v>22</v>
      </c>
      <c r="D31" s="3" t="s">
        <v>9</v>
      </c>
      <c r="E31" s="4">
        <v>18000</v>
      </c>
      <c r="F31" s="4">
        <v>1033</v>
      </c>
      <c r="G31" s="3" t="s">
        <v>16</v>
      </c>
      <c r="H31" s="3" t="s">
        <v>11</v>
      </c>
      <c r="I31" s="5">
        <v>45695</v>
      </c>
    </row>
    <row r="32" spans="2:9">
      <c r="B32" s="3">
        <v>26</v>
      </c>
      <c r="C32" s="3" t="s">
        <v>22</v>
      </c>
      <c r="D32" s="3" t="s">
        <v>13</v>
      </c>
      <c r="E32" s="4">
        <v>18000</v>
      </c>
      <c r="F32" s="4">
        <v>1037</v>
      </c>
      <c r="G32" s="3" t="s">
        <v>16</v>
      </c>
      <c r="H32" s="3" t="s">
        <v>11</v>
      </c>
      <c r="I32" s="5">
        <v>45700</v>
      </c>
    </row>
    <row r="33" spans="2:9">
      <c r="B33" s="3">
        <v>27</v>
      </c>
      <c r="C33" s="3" t="s">
        <v>22</v>
      </c>
      <c r="D33" s="3" t="s">
        <v>13</v>
      </c>
      <c r="E33" s="4">
        <v>10000</v>
      </c>
      <c r="F33" s="4">
        <v>1091</v>
      </c>
      <c r="G33" s="3" t="s">
        <v>16</v>
      </c>
      <c r="H33" s="3" t="s">
        <v>11</v>
      </c>
      <c r="I33" s="5">
        <v>45701</v>
      </c>
    </row>
    <row r="34" spans="2:9">
      <c r="B34" s="3">
        <v>22</v>
      </c>
      <c r="C34" s="3" t="s">
        <v>22</v>
      </c>
      <c r="D34" s="3" t="s">
        <v>13</v>
      </c>
      <c r="E34" s="4">
        <v>34000</v>
      </c>
      <c r="F34" s="4">
        <v>1103</v>
      </c>
      <c r="G34" s="3" t="s">
        <v>14</v>
      </c>
      <c r="H34" s="3" t="s">
        <v>11</v>
      </c>
      <c r="I34" s="5">
        <v>45696</v>
      </c>
    </row>
    <row r="35" spans="2:9">
      <c r="B35" s="3">
        <v>33</v>
      </c>
      <c r="C35" s="3" t="s">
        <v>22</v>
      </c>
      <c r="D35" s="3" t="s">
        <v>13</v>
      </c>
      <c r="E35" s="4">
        <v>1200</v>
      </c>
      <c r="F35" s="4">
        <v>1131</v>
      </c>
      <c r="G35" s="3" t="s">
        <v>14</v>
      </c>
      <c r="H35" s="3" t="s">
        <v>11</v>
      </c>
      <c r="I35" s="5">
        <v>45707</v>
      </c>
    </row>
    <row r="36" spans="2:9">
      <c r="B36" s="3">
        <v>23</v>
      </c>
      <c r="C36" s="3" t="s">
        <v>22</v>
      </c>
      <c r="D36" s="3" t="s">
        <v>13</v>
      </c>
      <c r="E36" s="4">
        <v>10000</v>
      </c>
      <c r="F36" s="4">
        <v>1209</v>
      </c>
      <c r="G36" s="3" t="s">
        <v>14</v>
      </c>
      <c r="H36" s="3" t="s">
        <v>11</v>
      </c>
      <c r="I36" s="5">
        <v>45697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&amp;C출력 날짜 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Q43"/>
  <sheetViews>
    <sheetView workbookViewId="0"/>
  </sheetViews>
  <sheetFormatPr defaultRowHeight="16.5"/>
  <cols>
    <col min="1" max="1" width="1.625" customWidth="1"/>
    <col min="4" max="4" width="14.375" bestFit="1" customWidth="1"/>
    <col min="5" max="5" width="14.375" customWidth="1"/>
    <col min="6" max="7" width="9.875" customWidth="1"/>
    <col min="8" max="8" width="10.875" customWidth="1"/>
    <col min="9" max="9" width="13" customWidth="1"/>
    <col min="11" max="11" width="14.5" bestFit="1" customWidth="1"/>
    <col min="12" max="12" width="12.125" customWidth="1"/>
    <col min="13" max="13" width="11.375" customWidth="1"/>
  </cols>
  <sheetData>
    <row r="2" spans="1:17">
      <c r="B2" s="6" t="s">
        <v>25</v>
      </c>
      <c r="C2" s="6"/>
      <c r="D2" s="6"/>
      <c r="E2" s="6"/>
      <c r="F2" s="6"/>
      <c r="G2" s="6"/>
      <c r="H2" s="44" t="s">
        <v>115</v>
      </c>
      <c r="I2" s="43">
        <v>46022</v>
      </c>
      <c r="J2" s="6"/>
      <c r="K2" s="7"/>
      <c r="L2" s="7"/>
      <c r="M2" s="7"/>
      <c r="N2" s="6"/>
      <c r="O2" s="6"/>
      <c r="P2" s="6"/>
      <c r="Q2" s="6"/>
    </row>
    <row r="3" spans="1:17">
      <c r="A3" s="6"/>
      <c r="B3" s="8" t="s">
        <v>26</v>
      </c>
      <c r="C3" s="8" t="s">
        <v>27</v>
      </c>
      <c r="D3" s="8" t="s">
        <v>28</v>
      </c>
      <c r="E3" s="8" t="s">
        <v>111</v>
      </c>
      <c r="F3" s="8" t="s">
        <v>112</v>
      </c>
      <c r="G3" s="8" t="s">
        <v>113</v>
      </c>
      <c r="H3" s="16" t="s">
        <v>114</v>
      </c>
      <c r="I3" s="16" t="s">
        <v>29</v>
      </c>
      <c r="J3" s="6"/>
      <c r="K3" s="41" t="s">
        <v>30</v>
      </c>
      <c r="L3" s="7"/>
      <c r="M3" s="7"/>
      <c r="N3" s="6"/>
      <c r="O3" s="6"/>
      <c r="P3" s="6"/>
      <c r="Q3" s="6"/>
    </row>
    <row r="4" spans="1:17">
      <c r="A4" s="6"/>
      <c r="B4" s="9" t="s">
        <v>133</v>
      </c>
      <c r="C4" s="10" t="s">
        <v>105</v>
      </c>
      <c r="D4" s="10" t="s">
        <v>32</v>
      </c>
      <c r="E4" s="45">
        <v>45326</v>
      </c>
      <c r="F4" s="10">
        <v>70</v>
      </c>
      <c r="G4" s="10">
        <v>80</v>
      </c>
      <c r="H4" s="10" t="str">
        <f>QUOTIENT($I$2-E4,365)&amp;"년"&amp;QUOTIENT(MOD($I$2-E4,365),30)&amp;"개월"</f>
        <v>1년11개월</v>
      </c>
      <c r="I4" s="11" t="str" cm="1">
        <f t="array" ref="I4">fn비고(F4,G4)</f>
        <v>우수업체</v>
      </c>
      <c r="J4" s="6"/>
      <c r="K4" s="8" t="s">
        <v>33</v>
      </c>
      <c r="L4" s="16" t="s">
        <v>31</v>
      </c>
      <c r="M4" s="16" t="s">
        <v>34</v>
      </c>
      <c r="N4" s="16" t="s">
        <v>39</v>
      </c>
      <c r="O4" s="6"/>
      <c r="P4" s="6"/>
      <c r="Q4" s="6"/>
    </row>
    <row r="5" spans="1:17">
      <c r="A5" s="6"/>
      <c r="B5" s="9" t="s">
        <v>124</v>
      </c>
      <c r="C5" s="3" t="s">
        <v>106</v>
      </c>
      <c r="D5" s="3" t="s">
        <v>35</v>
      </c>
      <c r="E5" s="46">
        <v>45047</v>
      </c>
      <c r="F5" s="10">
        <v>70</v>
      </c>
      <c r="G5" s="10">
        <v>97</v>
      </c>
      <c r="H5" s="10" t="str">
        <f t="shared" ref="H5:H33" si="0">QUOTIENT($I$2-E5,365)&amp;"년"&amp;QUOTIENT(MOD($I$2-E5,365),30)&amp;"개월"</f>
        <v>2년8개월</v>
      </c>
      <c r="I5" s="11" t="str" cm="1">
        <f t="array" ref="I5">fn비고(F5,G5)</f>
        <v>우수업체</v>
      </c>
      <c r="J5" s="6"/>
      <c r="K5" s="10" t="s">
        <v>110</v>
      </c>
      <c r="L5" s="42" t="str">
        <f t="array" ref="L5">COUNT((IFERROR(FIND(L$4,$C$4:$C$33),""))*(IFERROR(FIND($K5,$D$4:$D$33),"")))&amp;"건"</f>
        <v>2건</v>
      </c>
      <c r="M5" s="42" t="str">
        <f t="array" ref="M5">COUNT((IFERROR(FIND(M$4,$C$4:$C$33),""))*(IFERROR(FIND($K5,$D$4:$D$33),"")))&amp;"건"</f>
        <v>1건</v>
      </c>
      <c r="N5" s="42" t="str">
        <f t="array" ref="N5">COUNT((IFERROR(FIND(N$4,$C$4:$C$33),""))*(IFERROR(FIND($K5,$D$4:$D$33),"")))&amp;"건"</f>
        <v>4건</v>
      </c>
      <c r="O5" s="6"/>
      <c r="P5" s="6"/>
      <c r="Q5" s="6"/>
    </row>
    <row r="6" spans="1:17">
      <c r="A6" s="6"/>
      <c r="B6" s="9" t="s">
        <v>134</v>
      </c>
      <c r="C6" s="3" t="s">
        <v>106</v>
      </c>
      <c r="D6" s="3" t="s">
        <v>36</v>
      </c>
      <c r="E6" s="46">
        <v>45416</v>
      </c>
      <c r="F6" s="10">
        <v>70</v>
      </c>
      <c r="G6" s="10">
        <v>98</v>
      </c>
      <c r="H6" s="10" t="str">
        <f t="shared" si="0"/>
        <v>1년8개월</v>
      </c>
      <c r="I6" s="11" t="str" cm="1">
        <f t="array" ref="I6">fn비고(F6,G6)</f>
        <v>우수업체</v>
      </c>
      <c r="J6" s="6"/>
      <c r="K6" s="11" t="s">
        <v>37</v>
      </c>
      <c r="L6" s="42" t="str">
        <f t="array" ref="L6">COUNT((IFERROR(FIND(L$4,$C$4:$C$33),""))*(IFERROR(FIND($K6,$D$4:$D$33),"")))&amp;"건"</f>
        <v>0건</v>
      </c>
      <c r="M6" s="42" t="str">
        <f t="array" ref="M6">COUNT((IFERROR(FIND(M$4,$C$4:$C$33),""))*(IFERROR(FIND($K6,$D$4:$D$33),"")))&amp;"건"</f>
        <v>5건</v>
      </c>
      <c r="N6" s="42" t="str">
        <f t="array" ref="N6">COUNT((IFERROR(FIND(N$4,$C$4:$C$33),""))*(IFERROR(FIND($K6,$D$4:$D$33),"")))&amp;"건"</f>
        <v>5건</v>
      </c>
      <c r="O6" s="6"/>
      <c r="P6" s="6"/>
      <c r="Q6" s="6"/>
    </row>
    <row r="7" spans="1:17">
      <c r="A7" s="6"/>
      <c r="B7" s="9" t="s">
        <v>125</v>
      </c>
      <c r="C7" s="3" t="s">
        <v>105</v>
      </c>
      <c r="D7" s="3" t="s">
        <v>35</v>
      </c>
      <c r="E7" s="46">
        <v>45662</v>
      </c>
      <c r="F7" s="10">
        <v>90</v>
      </c>
      <c r="G7" s="10">
        <v>100</v>
      </c>
      <c r="H7" s="10" t="str">
        <f t="shared" si="0"/>
        <v>0년12개월</v>
      </c>
      <c r="I7" s="11" t="str" cm="1">
        <f t="array" ref="I7">fn비고(F7,G7)</f>
        <v>우수업체</v>
      </c>
      <c r="J7" s="6"/>
      <c r="K7" s="11" t="s">
        <v>109</v>
      </c>
      <c r="L7" s="42" t="str">
        <f t="array" ref="L7">COUNT((IFERROR(FIND(L$4,$C$4:$C$33),""))*(IFERROR(FIND($K7,$D$4:$D$33),"")))&amp;"건"</f>
        <v>3건</v>
      </c>
      <c r="M7" s="42" t="str">
        <f t="array" ref="M7">COUNT((IFERROR(FIND(M$4,$C$4:$C$33),""))*(IFERROR(FIND($K7,$D$4:$D$33),"")))&amp;"건"</f>
        <v>3건</v>
      </c>
      <c r="N7" s="42" t="str">
        <f t="array" ref="N7">COUNT((IFERROR(FIND(N$4,$C$4:$C$33),""))*(IFERROR(FIND($K7,$D$4:$D$33),"")))&amp;"건"</f>
        <v>1건</v>
      </c>
      <c r="O7" s="6"/>
      <c r="P7" s="6"/>
      <c r="Q7" s="6"/>
    </row>
    <row r="8" spans="1:17">
      <c r="A8" s="6"/>
      <c r="B8" s="9" t="s">
        <v>126</v>
      </c>
      <c r="C8" s="3" t="s">
        <v>107</v>
      </c>
      <c r="D8" s="3" t="s">
        <v>36</v>
      </c>
      <c r="E8" s="46">
        <v>45545</v>
      </c>
      <c r="F8" s="10">
        <v>69</v>
      </c>
      <c r="G8" s="10">
        <v>99</v>
      </c>
      <c r="H8" s="10" t="str">
        <f t="shared" si="0"/>
        <v>1년3개월</v>
      </c>
      <c r="I8" s="11" t="str" cm="1">
        <f t="array" ref="I8">fn비고(F8,G8)</f>
        <v>우수업체</v>
      </c>
      <c r="J8" s="6"/>
      <c r="K8" s="7"/>
      <c r="L8" s="7"/>
      <c r="M8" s="7"/>
      <c r="N8" s="6"/>
      <c r="O8" s="6"/>
      <c r="P8" s="6"/>
      <c r="Q8" s="6"/>
    </row>
    <row r="9" spans="1:17">
      <c r="A9" s="6"/>
      <c r="B9" s="9" t="s">
        <v>135</v>
      </c>
      <c r="C9" s="3" t="s">
        <v>106</v>
      </c>
      <c r="D9" s="3" t="s">
        <v>32</v>
      </c>
      <c r="E9" s="46">
        <v>45276</v>
      </c>
      <c r="F9" s="10">
        <v>69</v>
      </c>
      <c r="G9" s="10">
        <v>55</v>
      </c>
      <c r="H9" s="10" t="str">
        <f t="shared" si="0"/>
        <v>2년0개월</v>
      </c>
      <c r="I9" s="11" t="str" cm="1">
        <f t="array" ref="I9">fn비고(F9,G9)</f>
        <v/>
      </c>
      <c r="J9" s="6"/>
      <c r="K9" s="41" t="s">
        <v>38</v>
      </c>
      <c r="L9" s="7"/>
      <c r="M9" s="7"/>
      <c r="N9" s="6"/>
      <c r="O9" s="6"/>
      <c r="P9" s="6"/>
      <c r="Q9" s="6"/>
    </row>
    <row r="10" spans="1:17">
      <c r="A10" s="6"/>
      <c r="B10" s="9" t="s">
        <v>120</v>
      </c>
      <c r="C10" s="3" t="s">
        <v>108</v>
      </c>
      <c r="D10" s="3" t="s">
        <v>36</v>
      </c>
      <c r="E10" s="46">
        <v>45239</v>
      </c>
      <c r="F10" s="10">
        <v>69</v>
      </c>
      <c r="G10" s="10">
        <v>58</v>
      </c>
      <c r="H10" s="10" t="str">
        <f t="shared" si="0"/>
        <v>2년1개월</v>
      </c>
      <c r="I10" s="11" t="str" cm="1">
        <f t="array" ref="I10">fn비고(F10,G10)</f>
        <v/>
      </c>
      <c r="J10" s="6"/>
      <c r="K10" s="8" t="s">
        <v>116</v>
      </c>
      <c r="L10" s="16" t="s">
        <v>112</v>
      </c>
      <c r="M10" s="16" t="s">
        <v>113</v>
      </c>
      <c r="N10" s="6"/>
      <c r="O10" s="6"/>
      <c r="P10" s="6"/>
      <c r="Q10" s="6"/>
    </row>
    <row r="11" spans="1:17">
      <c r="A11" s="6"/>
      <c r="B11" s="9" t="s">
        <v>136</v>
      </c>
      <c r="C11" s="3" t="s">
        <v>108</v>
      </c>
      <c r="D11" s="3" t="s">
        <v>36</v>
      </c>
      <c r="E11" s="46">
        <v>45301</v>
      </c>
      <c r="F11" s="10">
        <v>70</v>
      </c>
      <c r="G11" s="10">
        <v>95</v>
      </c>
      <c r="H11" s="10" t="str">
        <f t="shared" si="0"/>
        <v>1년11개월</v>
      </c>
      <c r="I11" s="11" t="str" cm="1">
        <f t="array" ref="I11">fn비고(F11,G11)</f>
        <v>우수업체</v>
      </c>
      <c r="J11" s="6"/>
      <c r="K11" s="48" t="s">
        <v>117</v>
      </c>
      <c r="L11" s="48">
        <f t="shared" ref="L11:M13" si="1">COUNTIFS(F$4:F$33,"&gt;=70",$B$4:$B$33,"?"&amp;$K11&amp;"*")</f>
        <v>10</v>
      </c>
      <c r="M11" s="48">
        <f t="shared" si="1"/>
        <v>12</v>
      </c>
      <c r="N11" s="6"/>
      <c r="O11" s="6"/>
      <c r="P11" s="6"/>
      <c r="Q11" s="6"/>
    </row>
    <row r="12" spans="1:17">
      <c r="A12" s="6"/>
      <c r="B12" s="9" t="s">
        <v>137</v>
      </c>
      <c r="C12" s="3" t="s">
        <v>106</v>
      </c>
      <c r="D12" s="3" t="s">
        <v>35</v>
      </c>
      <c r="E12" s="46">
        <v>45418</v>
      </c>
      <c r="F12" s="10">
        <v>69</v>
      </c>
      <c r="G12" s="10">
        <v>78</v>
      </c>
      <c r="H12" s="10" t="str">
        <f t="shared" si="0"/>
        <v>1년7개월</v>
      </c>
      <c r="I12" s="11" t="str" cm="1">
        <f t="array" ref="I12">fn비고(F12,G12)</f>
        <v/>
      </c>
      <c r="J12" s="6"/>
      <c r="K12" s="48" t="s">
        <v>118</v>
      </c>
      <c r="L12" s="48">
        <f t="shared" si="1"/>
        <v>2</v>
      </c>
      <c r="M12" s="48">
        <f t="shared" si="1"/>
        <v>2</v>
      </c>
      <c r="N12" s="6"/>
      <c r="O12" s="6"/>
      <c r="P12" s="6"/>
      <c r="Q12" s="6"/>
    </row>
    <row r="13" spans="1:17">
      <c r="A13" s="6"/>
      <c r="B13" s="9" t="s">
        <v>138</v>
      </c>
      <c r="C13" s="3" t="s">
        <v>108</v>
      </c>
      <c r="D13" s="3" t="s">
        <v>36</v>
      </c>
      <c r="E13" s="46">
        <v>45206</v>
      </c>
      <c r="F13" s="10">
        <v>70</v>
      </c>
      <c r="G13" s="10">
        <v>74</v>
      </c>
      <c r="H13" s="10" t="str">
        <f t="shared" si="0"/>
        <v>2년2개월</v>
      </c>
      <c r="I13" s="11" t="str" cm="1">
        <f t="array" ref="I13">fn비고(F13,G13)</f>
        <v/>
      </c>
      <c r="J13" s="6"/>
      <c r="K13" s="48" t="s">
        <v>119</v>
      </c>
      <c r="L13" s="48">
        <f t="shared" si="1"/>
        <v>5</v>
      </c>
      <c r="M13" s="48">
        <f t="shared" si="1"/>
        <v>5</v>
      </c>
      <c r="N13" s="6"/>
      <c r="O13" s="6"/>
      <c r="P13" s="6"/>
      <c r="Q13" s="6"/>
    </row>
    <row r="14" spans="1:17">
      <c r="A14" s="6"/>
      <c r="B14" s="9" t="s">
        <v>139</v>
      </c>
      <c r="C14" s="3" t="s">
        <v>108</v>
      </c>
      <c r="D14" s="3" t="s">
        <v>32</v>
      </c>
      <c r="E14" s="46">
        <v>45635</v>
      </c>
      <c r="F14" s="10">
        <v>71</v>
      </c>
      <c r="G14" s="10">
        <v>90</v>
      </c>
      <c r="H14" s="10" t="str">
        <f t="shared" si="0"/>
        <v>1년0개월</v>
      </c>
      <c r="I14" s="11" t="str" cm="1">
        <f t="array" ref="I14">fn비고(F14,G14)</f>
        <v>우수업체</v>
      </c>
      <c r="J14" s="6"/>
      <c r="M14" s="7"/>
      <c r="N14" s="6"/>
      <c r="O14" s="6"/>
      <c r="P14" s="6"/>
      <c r="Q14" s="6"/>
    </row>
    <row r="15" spans="1:17">
      <c r="A15" s="6"/>
      <c r="B15" s="9" t="s">
        <v>121</v>
      </c>
      <c r="C15" s="3" t="s">
        <v>106</v>
      </c>
      <c r="D15" s="3" t="s">
        <v>35</v>
      </c>
      <c r="E15" s="46">
        <v>45579</v>
      </c>
      <c r="F15" s="10">
        <v>70</v>
      </c>
      <c r="G15" s="10">
        <v>98</v>
      </c>
      <c r="H15" s="10" t="str">
        <f t="shared" si="0"/>
        <v>1년2개월</v>
      </c>
      <c r="I15" s="11" t="str" cm="1">
        <f t="array" ref="I15">fn비고(F15,G15)</f>
        <v>우수업체</v>
      </c>
      <c r="J15" s="6"/>
      <c r="K15" s="51" t="s">
        <v>150</v>
      </c>
      <c r="M15" s="7"/>
      <c r="N15" s="6"/>
      <c r="O15" s="6"/>
      <c r="P15" s="6"/>
      <c r="Q15" s="6"/>
    </row>
    <row r="16" spans="1:17">
      <c r="A16" s="6"/>
      <c r="B16" s="9" t="s">
        <v>140</v>
      </c>
      <c r="C16" s="3" t="s">
        <v>108</v>
      </c>
      <c r="D16" s="3" t="s">
        <v>32</v>
      </c>
      <c r="E16" s="46">
        <v>45264</v>
      </c>
      <c r="F16" s="10">
        <v>35</v>
      </c>
      <c r="G16" s="10">
        <v>75</v>
      </c>
      <c r="H16" s="10" t="str">
        <f t="shared" si="0"/>
        <v>2년0개월</v>
      </c>
      <c r="I16" s="11" t="str" cm="1">
        <f t="array" ref="I16">fn비고(F16,G16)</f>
        <v/>
      </c>
      <c r="J16" s="6"/>
      <c r="K16" s="49" t="s">
        <v>151</v>
      </c>
      <c r="L16" s="16" t="s">
        <v>152</v>
      </c>
      <c r="M16" s="16" t="s">
        <v>153</v>
      </c>
      <c r="N16" s="16" t="s">
        <v>154</v>
      </c>
      <c r="O16" s="6"/>
      <c r="P16" s="6"/>
      <c r="Q16" s="6"/>
    </row>
    <row r="17" spans="1:17">
      <c r="A17" s="6"/>
      <c r="B17" s="9" t="s">
        <v>141</v>
      </c>
      <c r="C17" s="3" t="s">
        <v>106</v>
      </c>
      <c r="D17" s="3" t="s">
        <v>36</v>
      </c>
      <c r="E17" s="46">
        <v>45552</v>
      </c>
      <c r="F17" s="10">
        <v>69</v>
      </c>
      <c r="G17" s="10">
        <v>82</v>
      </c>
      <c r="H17" s="10" t="str">
        <f t="shared" si="0"/>
        <v>1년3개월</v>
      </c>
      <c r="I17" s="11" t="str" cm="1">
        <f t="array" ref="I17">fn비고(F17,G17)</f>
        <v>우수업체</v>
      </c>
      <c r="J17" s="6"/>
      <c r="K17" s="50">
        <v>2023</v>
      </c>
      <c r="L17" s="47">
        <f t="array" ref="L17">AVERAGE(IF((YEAR($E$4:$E$33)=$K17)*(LEFT($D$4:$D$33,3)=TRIM(L$16)),$F$4:$F$33))</f>
        <v>60.75</v>
      </c>
      <c r="M17" s="47">
        <f t="array" ref="M17">AVERAGE(IF((YEAR($E$4:$E$33)=$K17)*(LEFT($D$4:$D$33,3)=TRIM(M$16)),$F$4:$F$33))</f>
        <v>70</v>
      </c>
      <c r="N17" s="47">
        <f t="array" ref="N17">AVERAGE(IF((YEAR($E$4:$E$33)=$K17)*(LEFT($D$4:$D$33,3)=TRIM(N$16)),$F$4:$F$33))</f>
        <v>69</v>
      </c>
      <c r="O17" s="6"/>
      <c r="P17" s="6"/>
      <c r="Q17" s="6"/>
    </row>
    <row r="18" spans="1:17">
      <c r="A18" s="6"/>
      <c r="B18" s="9" t="s">
        <v>127</v>
      </c>
      <c r="C18" s="3" t="s">
        <v>105</v>
      </c>
      <c r="D18" s="3" t="s">
        <v>32</v>
      </c>
      <c r="E18" s="46">
        <v>45535</v>
      </c>
      <c r="F18" s="10">
        <v>90</v>
      </c>
      <c r="G18" s="10">
        <v>48</v>
      </c>
      <c r="H18" s="10" t="str">
        <f t="shared" si="0"/>
        <v>1년4개월</v>
      </c>
      <c r="I18" s="11" t="str" cm="1">
        <f t="array" ref="I18">fn비고(F18,G18)</f>
        <v/>
      </c>
      <c r="J18" s="6"/>
      <c r="K18" s="50">
        <v>2024</v>
      </c>
      <c r="L18" s="47">
        <f t="array" ref="L18">AVERAGE(IF((YEAR($E$4:$E$33)=$K18)*(LEFT($D$4:$D$33,3)=TRIM(L$16)),$F$4:$F$33))</f>
        <v>77</v>
      </c>
      <c r="M18" s="47">
        <f t="array" ref="M18">AVERAGE(IF((YEAR($E$4:$E$33)=$K18)*(LEFT($D$4:$D$33,3)=TRIM(M$16)),$F$4:$F$33))</f>
        <v>69.599999999999994</v>
      </c>
      <c r="N18" s="47">
        <f t="array" ref="N18">AVERAGE(IF((YEAR($E$4:$E$33)=$K18)*(LEFT($D$4:$D$33,3)=TRIM(N$16)),$F$4:$F$33))</f>
        <v>73</v>
      </c>
      <c r="O18" s="6"/>
      <c r="P18" s="6"/>
      <c r="Q18" s="6"/>
    </row>
    <row r="19" spans="1:17">
      <c r="A19" s="6"/>
      <c r="B19" s="9" t="s">
        <v>142</v>
      </c>
      <c r="C19" s="10" t="s">
        <v>108</v>
      </c>
      <c r="D19" s="3" t="s">
        <v>32</v>
      </c>
      <c r="E19" s="46">
        <v>45124</v>
      </c>
      <c r="F19" s="10">
        <v>70</v>
      </c>
      <c r="G19" s="10">
        <v>65</v>
      </c>
      <c r="H19" s="10" t="str">
        <f t="shared" si="0"/>
        <v>2년5개월</v>
      </c>
      <c r="I19" s="11" t="str" cm="1">
        <f t="array" ref="I19">fn비고(F19,G19)</f>
        <v/>
      </c>
      <c r="J19" s="6"/>
      <c r="K19" s="50">
        <v>2025</v>
      </c>
      <c r="L19" s="47">
        <f t="array" ref="L19">AVERAGE(IF((YEAR($E$4:$E$33)=$K19)*(LEFT($D$4:$D$33,3)=TRIM(L$16)),$F$4:$F$33))</f>
        <v>35</v>
      </c>
      <c r="M19" s="47">
        <f t="array" ref="M19">AVERAGE(IF((YEAR($E$4:$E$33)=$K19)*(LEFT($D$4:$D$33,3)=TRIM(M$16)),$F$4:$F$33))</f>
        <v>74.75</v>
      </c>
      <c r="N19" s="47">
        <f t="array" ref="N19">AVERAGE(IF((YEAR($E$4:$E$33)=$K19)*(LEFT($D$4:$D$33,3)=TRIM(N$16)),$F$4:$F$33))</f>
        <v>59</v>
      </c>
      <c r="O19" s="6"/>
      <c r="P19" s="6"/>
      <c r="Q19" s="6"/>
    </row>
    <row r="20" spans="1:17">
      <c r="A20" s="6"/>
      <c r="B20" s="9" t="s">
        <v>128</v>
      </c>
      <c r="C20" s="3" t="s">
        <v>107</v>
      </c>
      <c r="D20" s="3" t="s">
        <v>35</v>
      </c>
      <c r="E20" s="46">
        <v>45690</v>
      </c>
      <c r="F20" s="10">
        <v>70</v>
      </c>
      <c r="G20" s="10">
        <v>66</v>
      </c>
      <c r="H20" s="10" t="str">
        <f t="shared" si="0"/>
        <v>0년11개월</v>
      </c>
      <c r="I20" s="11" t="str" cm="1">
        <f t="array" ref="I20">fn비고(F20,G20)</f>
        <v/>
      </c>
      <c r="J20" s="6"/>
      <c r="N20" s="6"/>
      <c r="O20" s="6"/>
      <c r="P20" s="6"/>
      <c r="Q20" s="6"/>
    </row>
    <row r="21" spans="1:17">
      <c r="A21" s="6"/>
      <c r="B21" s="9" t="s">
        <v>143</v>
      </c>
      <c r="C21" s="3" t="s">
        <v>107</v>
      </c>
      <c r="D21" s="3" t="s">
        <v>36</v>
      </c>
      <c r="E21" s="46">
        <v>45719</v>
      </c>
      <c r="F21" s="10">
        <v>40</v>
      </c>
      <c r="G21" s="10">
        <v>77</v>
      </c>
      <c r="H21" s="10" t="str">
        <f t="shared" si="0"/>
        <v>0년10개월</v>
      </c>
      <c r="I21" s="11" t="str" cm="1">
        <f t="array" ref="I21">fn비고(F21,G21)</f>
        <v/>
      </c>
      <c r="J21" s="6"/>
      <c r="N21" s="6"/>
      <c r="O21" s="6"/>
      <c r="P21" s="6"/>
      <c r="Q21" s="6"/>
    </row>
    <row r="22" spans="1:17">
      <c r="A22" s="6"/>
      <c r="B22" s="9" t="s">
        <v>122</v>
      </c>
      <c r="C22" s="3" t="s">
        <v>108</v>
      </c>
      <c r="D22" s="3" t="s">
        <v>36</v>
      </c>
      <c r="E22" s="46">
        <v>45751</v>
      </c>
      <c r="F22" s="10">
        <v>70</v>
      </c>
      <c r="G22" s="10">
        <v>73</v>
      </c>
      <c r="H22" s="10" t="str">
        <f t="shared" si="0"/>
        <v>0년9개월</v>
      </c>
      <c r="I22" s="11" t="str" cm="1">
        <f t="array" ref="I22">fn비고(F22,G22)</f>
        <v/>
      </c>
      <c r="J22" s="6"/>
      <c r="N22" s="6"/>
      <c r="O22" s="6"/>
      <c r="P22" s="6"/>
      <c r="Q22" s="6"/>
    </row>
    <row r="23" spans="1:17">
      <c r="A23" s="6"/>
      <c r="B23" s="9" t="s">
        <v>144</v>
      </c>
      <c r="C23" s="3" t="s">
        <v>107</v>
      </c>
      <c r="D23" s="3" t="s">
        <v>35</v>
      </c>
      <c r="E23" s="46">
        <v>45607</v>
      </c>
      <c r="F23" s="10">
        <v>70</v>
      </c>
      <c r="G23" s="10">
        <v>88</v>
      </c>
      <c r="H23" s="10" t="str">
        <f t="shared" si="0"/>
        <v>1년1개월</v>
      </c>
      <c r="I23" s="11" t="str" cm="1">
        <f t="array" ref="I23">fn비고(F23,G23)</f>
        <v>우수업체</v>
      </c>
      <c r="J23" s="6"/>
      <c r="K23" s="6"/>
      <c r="L23" s="6"/>
      <c r="M23" s="6"/>
      <c r="N23" s="6"/>
      <c r="O23" s="6"/>
      <c r="P23" s="6"/>
      <c r="Q23" s="6"/>
    </row>
    <row r="24" spans="1:17">
      <c r="A24" s="6"/>
      <c r="B24" s="9" t="s">
        <v>145</v>
      </c>
      <c r="C24" s="3" t="s">
        <v>105</v>
      </c>
      <c r="D24" s="3" t="s">
        <v>35</v>
      </c>
      <c r="E24" s="46">
        <v>45575</v>
      </c>
      <c r="F24" s="10">
        <v>70</v>
      </c>
      <c r="G24" s="10">
        <v>84</v>
      </c>
      <c r="H24" s="10" t="str">
        <f t="shared" si="0"/>
        <v>1년2개월</v>
      </c>
      <c r="I24" s="11" t="str" cm="1">
        <f t="array" ref="I24">fn비고(F24,G24)</f>
        <v>우수업체</v>
      </c>
      <c r="J24" s="6"/>
      <c r="K24" s="7"/>
      <c r="L24" s="7"/>
      <c r="M24" s="6"/>
      <c r="N24" s="6"/>
      <c r="O24" s="6"/>
      <c r="P24" s="6"/>
      <c r="Q24" s="6"/>
    </row>
    <row r="25" spans="1:17">
      <c r="A25" s="6"/>
      <c r="B25" s="9" t="s">
        <v>131</v>
      </c>
      <c r="C25" s="3" t="s">
        <v>108</v>
      </c>
      <c r="D25" s="3" t="s">
        <v>36</v>
      </c>
      <c r="E25" s="46">
        <v>45178</v>
      </c>
      <c r="F25" s="10">
        <v>68</v>
      </c>
      <c r="G25" s="10">
        <v>55</v>
      </c>
      <c r="H25" s="10" t="str">
        <f t="shared" si="0"/>
        <v>2년3개월</v>
      </c>
      <c r="I25" s="11" t="str" cm="1">
        <f t="array" ref="I25">fn비고(F25,G25)</f>
        <v/>
      </c>
      <c r="J25" s="6"/>
      <c r="K25" s="7"/>
      <c r="L25" s="7"/>
      <c r="M25" s="6"/>
      <c r="N25" s="6"/>
      <c r="O25" s="6"/>
      <c r="P25" s="6"/>
      <c r="Q25" s="6"/>
    </row>
    <row r="26" spans="1:17">
      <c r="A26" s="6"/>
      <c r="B26" s="9" t="s">
        <v>130</v>
      </c>
      <c r="C26" s="3" t="s">
        <v>108</v>
      </c>
      <c r="D26" s="3" t="s">
        <v>32</v>
      </c>
      <c r="E26" s="46">
        <v>45146</v>
      </c>
      <c r="F26" s="10">
        <v>69</v>
      </c>
      <c r="G26" s="10">
        <v>93</v>
      </c>
      <c r="H26" s="10" t="str">
        <f t="shared" si="0"/>
        <v>2년4개월</v>
      </c>
      <c r="I26" s="11" t="str" cm="1">
        <f t="array" ref="I26">fn비고(F26,G26)</f>
        <v>우수업체</v>
      </c>
      <c r="J26" s="6"/>
      <c r="K26" s="7"/>
      <c r="L26" s="7"/>
      <c r="M26" s="6"/>
      <c r="N26" s="6"/>
      <c r="O26" s="6"/>
      <c r="P26" s="6"/>
      <c r="Q26" s="6"/>
    </row>
    <row r="27" spans="1:17">
      <c r="A27" s="6"/>
      <c r="B27" s="9" t="s">
        <v>146</v>
      </c>
      <c r="C27" s="10" t="s">
        <v>106</v>
      </c>
      <c r="D27" s="3" t="s">
        <v>36</v>
      </c>
      <c r="E27" s="46">
        <v>45480</v>
      </c>
      <c r="F27" s="10">
        <v>70</v>
      </c>
      <c r="G27" s="10">
        <v>41</v>
      </c>
      <c r="H27" s="10" t="str">
        <f t="shared" si="0"/>
        <v>1년5개월</v>
      </c>
      <c r="I27" s="11" t="str" cm="1">
        <f t="array" ref="I27">fn비고(F27,G27)</f>
        <v/>
      </c>
      <c r="J27" s="6"/>
      <c r="K27" s="7"/>
      <c r="L27" s="7"/>
      <c r="M27" s="7"/>
      <c r="N27" s="6"/>
      <c r="O27" s="6"/>
      <c r="P27" s="6"/>
      <c r="Q27" s="6"/>
    </row>
    <row r="28" spans="1:17">
      <c r="A28" s="6"/>
      <c r="B28" s="9" t="s">
        <v>129</v>
      </c>
      <c r="C28" s="3" t="s">
        <v>106</v>
      </c>
      <c r="D28" s="3" t="s">
        <v>36</v>
      </c>
      <c r="E28" s="46">
        <v>45449</v>
      </c>
      <c r="F28" s="10">
        <v>90</v>
      </c>
      <c r="G28" s="10">
        <v>70</v>
      </c>
      <c r="H28" s="10" t="str">
        <f t="shared" si="0"/>
        <v>1년6개월</v>
      </c>
      <c r="I28" s="11" t="str" cm="1">
        <f t="array" ref="I28">fn비고(F28,G28)</f>
        <v>우수업체</v>
      </c>
      <c r="J28" s="6"/>
      <c r="K28" s="7"/>
      <c r="L28" s="7"/>
      <c r="M28" s="7"/>
      <c r="N28" s="6"/>
      <c r="O28" s="6"/>
      <c r="P28" s="6"/>
      <c r="Q28" s="6"/>
    </row>
    <row r="29" spans="1:17">
      <c r="A29" s="6"/>
      <c r="B29" s="9" t="s">
        <v>147</v>
      </c>
      <c r="C29" s="3" t="s">
        <v>105</v>
      </c>
      <c r="D29" s="3" t="s">
        <v>35</v>
      </c>
      <c r="E29" s="46">
        <v>45782</v>
      </c>
      <c r="F29" s="10">
        <v>69</v>
      </c>
      <c r="G29" s="10">
        <v>56</v>
      </c>
      <c r="H29" s="10" t="str">
        <f t="shared" si="0"/>
        <v>0년8개월</v>
      </c>
      <c r="I29" s="11" t="str" cm="1">
        <f t="array" ref="I29">fn비고(F29,G29)</f>
        <v/>
      </c>
      <c r="J29" s="6"/>
      <c r="K29" s="7"/>
      <c r="L29" s="7"/>
      <c r="M29" s="7"/>
      <c r="N29" s="6"/>
      <c r="O29" s="6"/>
      <c r="P29" s="6"/>
      <c r="Q29" s="6"/>
    </row>
    <row r="30" spans="1:17">
      <c r="A30" s="6"/>
      <c r="B30" s="9" t="s">
        <v>148</v>
      </c>
      <c r="C30" s="10" t="s">
        <v>107</v>
      </c>
      <c r="D30" s="3" t="s">
        <v>35</v>
      </c>
      <c r="E30" s="46">
        <v>45751</v>
      </c>
      <c r="F30" s="10">
        <v>70</v>
      </c>
      <c r="G30" s="10">
        <v>88</v>
      </c>
      <c r="H30" s="10" t="str">
        <f t="shared" si="0"/>
        <v>0년9개월</v>
      </c>
      <c r="I30" s="11" t="str" cm="1">
        <f t="array" ref="I30">fn비고(F30,G30)</f>
        <v>우수업체</v>
      </c>
      <c r="J30" s="6"/>
      <c r="K30" s="7"/>
      <c r="L30" s="7"/>
      <c r="M30" s="7"/>
      <c r="N30" s="6"/>
      <c r="O30" s="6"/>
      <c r="P30" s="6"/>
      <c r="Q30" s="6"/>
    </row>
    <row r="31" spans="1:17">
      <c r="A31" s="6"/>
      <c r="B31" s="9" t="s">
        <v>123</v>
      </c>
      <c r="C31" s="3" t="s">
        <v>106</v>
      </c>
      <c r="D31" s="3" t="s">
        <v>36</v>
      </c>
      <c r="E31" s="46">
        <v>45747</v>
      </c>
      <c r="F31" s="10">
        <v>67</v>
      </c>
      <c r="G31" s="10">
        <v>60</v>
      </c>
      <c r="H31" s="10" t="str">
        <f t="shared" si="0"/>
        <v>0년9개월</v>
      </c>
      <c r="I31" s="11" t="str" cm="1">
        <f t="array" ref="I31">fn비고(F31,G31)</f>
        <v/>
      </c>
      <c r="J31" s="6"/>
      <c r="K31" s="7"/>
      <c r="L31" s="7"/>
      <c r="M31" s="7"/>
      <c r="N31" s="6"/>
      <c r="O31" s="6"/>
      <c r="P31" s="6"/>
      <c r="Q31" s="6"/>
    </row>
    <row r="32" spans="1:17">
      <c r="A32" s="6"/>
      <c r="B32" s="9" t="s">
        <v>149</v>
      </c>
      <c r="C32" s="3" t="s">
        <v>107</v>
      </c>
      <c r="D32" s="3" t="s">
        <v>32</v>
      </c>
      <c r="E32" s="46">
        <v>45690</v>
      </c>
      <c r="F32" s="10">
        <v>35</v>
      </c>
      <c r="G32" s="10">
        <v>69</v>
      </c>
      <c r="H32" s="10" t="str">
        <f t="shared" si="0"/>
        <v>0년11개월</v>
      </c>
      <c r="I32" s="11" t="str" cm="1">
        <f t="array" ref="I32">fn비고(F32,G32)</f>
        <v/>
      </c>
      <c r="J32" s="6"/>
      <c r="K32" s="7"/>
      <c r="L32" s="7"/>
      <c r="M32" s="7"/>
      <c r="N32" s="6"/>
      <c r="O32" s="6"/>
      <c r="P32" s="6"/>
      <c r="Q32" s="6"/>
    </row>
    <row r="33" spans="1:17">
      <c r="A33" s="6"/>
      <c r="B33" s="9" t="s">
        <v>132</v>
      </c>
      <c r="C33" s="3" t="s">
        <v>108</v>
      </c>
      <c r="D33" s="3" t="s">
        <v>35</v>
      </c>
      <c r="E33" s="46">
        <v>45322</v>
      </c>
      <c r="F33" s="10">
        <v>69</v>
      </c>
      <c r="G33" s="10">
        <v>63</v>
      </c>
      <c r="H33" s="10" t="str">
        <f t="shared" si="0"/>
        <v>1년11개월</v>
      </c>
      <c r="I33" s="11" t="str" cm="1">
        <f t="array" ref="I33">fn비고(F33,G33)</f>
        <v/>
      </c>
      <c r="J33" s="6"/>
      <c r="K33" s="7"/>
      <c r="L33" s="7"/>
      <c r="M33" s="7"/>
      <c r="N33" s="6"/>
      <c r="O33" s="6"/>
      <c r="P33" s="6"/>
      <c r="Q33" s="6"/>
    </row>
    <row r="34" spans="1:17">
      <c r="A34" s="6"/>
      <c r="B34" s="13"/>
      <c r="C34" s="14"/>
      <c r="D34" s="14"/>
      <c r="E34" s="14"/>
      <c r="F34" s="13"/>
      <c r="G34" s="13"/>
      <c r="H34" s="13"/>
      <c r="I34" s="12"/>
      <c r="J34" s="6"/>
      <c r="K34" s="7"/>
      <c r="L34" s="7"/>
      <c r="M34" s="7"/>
      <c r="N34" s="6"/>
      <c r="O34" s="6"/>
      <c r="P34" s="6"/>
      <c r="Q34" s="6"/>
    </row>
    <row r="35" spans="1:17">
      <c r="A35" s="6"/>
      <c r="B35" s="6"/>
      <c r="C35" s="6"/>
      <c r="D35" s="6"/>
      <c r="E35" s="6"/>
      <c r="F35" s="6"/>
      <c r="G35" s="6"/>
      <c r="H35" s="6"/>
      <c r="I35" s="6"/>
      <c r="J35" s="6"/>
      <c r="K35" s="7"/>
      <c r="L35" s="7"/>
      <c r="M35" s="7"/>
      <c r="N35" s="6"/>
      <c r="O35" s="6"/>
      <c r="P35" s="6"/>
      <c r="Q35" s="6"/>
    </row>
    <row r="36" spans="1:17">
      <c r="A36" s="6"/>
      <c r="B36" s="6"/>
      <c r="C36" s="6"/>
      <c r="D36" s="6"/>
      <c r="E36" s="6"/>
      <c r="F36" s="6"/>
      <c r="G36" s="6"/>
      <c r="H36" s="6"/>
      <c r="I36" s="6"/>
      <c r="J36" s="6"/>
      <c r="K36" s="7"/>
      <c r="L36" s="7"/>
      <c r="M36" s="7"/>
      <c r="N36" s="6"/>
      <c r="O36" s="6"/>
      <c r="P36" s="6"/>
      <c r="Q36" s="6"/>
    </row>
    <row r="37" spans="1:17">
      <c r="A37" s="6"/>
      <c r="B37" s="6"/>
      <c r="C37" s="6"/>
      <c r="D37" s="6"/>
      <c r="E37" s="6"/>
      <c r="F37" s="6"/>
      <c r="G37" s="6"/>
      <c r="H37" s="6"/>
      <c r="I37" s="6"/>
      <c r="J37" s="6"/>
      <c r="K37" s="7"/>
      <c r="L37" s="7"/>
      <c r="M37" s="7"/>
      <c r="N37" s="6"/>
      <c r="O37" s="6"/>
      <c r="P37" s="6"/>
      <c r="Q37" s="6"/>
    </row>
    <row r="38" spans="1:17">
      <c r="A38" s="6"/>
      <c r="B38" s="6"/>
      <c r="C38" s="6"/>
      <c r="D38" s="6"/>
      <c r="E38" s="6"/>
      <c r="F38" s="6"/>
      <c r="G38" s="6"/>
      <c r="H38" s="6"/>
      <c r="I38" s="6"/>
      <c r="J38" s="6"/>
      <c r="K38" s="7"/>
      <c r="L38" s="7"/>
      <c r="M38" s="7"/>
      <c r="N38" s="6"/>
      <c r="O38" s="6"/>
      <c r="P38" s="6"/>
      <c r="Q38" s="6"/>
    </row>
    <row r="39" spans="1:17">
      <c r="A39" s="6"/>
      <c r="B39" s="6"/>
      <c r="C39" s="6"/>
      <c r="D39" s="6"/>
      <c r="E39" s="6"/>
      <c r="F39" s="6"/>
      <c r="G39" s="6"/>
      <c r="H39" s="6"/>
      <c r="I39" s="6"/>
      <c r="J39" s="6"/>
      <c r="K39" s="7"/>
      <c r="L39" s="7"/>
      <c r="M39" s="7"/>
      <c r="N39" s="6"/>
      <c r="O39" s="6"/>
      <c r="P39" s="6"/>
      <c r="Q39" s="6"/>
    </row>
    <row r="40" spans="1:17">
      <c r="A40" s="6"/>
      <c r="B40" s="6"/>
      <c r="C40" s="6"/>
      <c r="D40" s="6"/>
      <c r="E40" s="6"/>
      <c r="F40" s="6"/>
      <c r="G40" s="6"/>
      <c r="H40" s="6"/>
      <c r="I40" s="6"/>
      <c r="J40" s="6"/>
      <c r="K40" s="7"/>
      <c r="L40" s="7"/>
      <c r="M40" s="7"/>
      <c r="N40" s="6"/>
      <c r="O40" s="6"/>
      <c r="P40" s="6"/>
      <c r="Q40" s="6"/>
    </row>
    <row r="41" spans="1:17">
      <c r="A41" s="6"/>
      <c r="B41" s="6"/>
      <c r="C41" s="6"/>
      <c r="D41" s="6"/>
      <c r="E41" s="6"/>
      <c r="F41" s="6"/>
      <c r="G41" s="6"/>
      <c r="H41" s="6"/>
      <c r="I41" s="6"/>
      <c r="J41" s="6"/>
      <c r="K41" s="7"/>
      <c r="L41" s="7"/>
      <c r="M41" s="7"/>
      <c r="N41" s="6"/>
      <c r="O41" s="6"/>
      <c r="P41" s="6"/>
      <c r="Q41" s="6"/>
    </row>
    <row r="42" spans="1:17">
      <c r="A42" s="6"/>
      <c r="B42" s="6"/>
      <c r="C42" s="6"/>
      <c r="D42" s="6"/>
      <c r="E42" s="6"/>
      <c r="F42" s="6"/>
      <c r="G42" s="6"/>
      <c r="H42" s="6"/>
      <c r="I42" s="6"/>
      <c r="J42" s="6"/>
      <c r="K42" s="7"/>
      <c r="L42" s="7"/>
      <c r="M42" s="7"/>
      <c r="N42" s="6"/>
      <c r="O42" s="6"/>
      <c r="P42" s="6"/>
      <c r="Q42" s="6"/>
    </row>
    <row r="43" spans="1:17">
      <c r="A43" s="6"/>
      <c r="B43" s="6"/>
      <c r="C43" s="6"/>
      <c r="D43" s="6"/>
      <c r="E43" s="6"/>
      <c r="F43" s="6"/>
      <c r="G43" s="6"/>
      <c r="H43" s="6"/>
      <c r="I43" s="6"/>
      <c r="J43" s="6"/>
      <c r="K43" s="7"/>
      <c r="L43" s="7"/>
      <c r="M43" s="7"/>
      <c r="N43" s="6"/>
      <c r="O43" s="6"/>
      <c r="P43" s="6"/>
      <c r="Q43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3:F12"/>
  <sheetViews>
    <sheetView workbookViewId="0"/>
  </sheetViews>
  <sheetFormatPr defaultRowHeight="16.5"/>
  <cols>
    <col min="2" max="2" width="11.375" bestFit="1" customWidth="1"/>
    <col min="3" max="3" width="10.75" bestFit="1" customWidth="1"/>
    <col min="4" max="4" width="10.625" customWidth="1"/>
    <col min="5" max="5" width="12.5" bestFit="1" customWidth="1"/>
    <col min="6" max="6" width="8.875" customWidth="1"/>
  </cols>
  <sheetData>
    <row r="3" spans="2:6">
      <c r="B3" s="29" t="s">
        <v>41</v>
      </c>
      <c r="C3" s="29" t="s">
        <v>40</v>
      </c>
      <c r="D3" t="s">
        <v>84</v>
      </c>
      <c r="E3" t="s">
        <v>85</v>
      </c>
      <c r="F3" t="s">
        <v>88</v>
      </c>
    </row>
    <row r="4" spans="2:6">
      <c r="B4" t="s">
        <v>9</v>
      </c>
      <c r="C4" t="s">
        <v>46</v>
      </c>
      <c r="D4" s="32">
        <v>58500</v>
      </c>
      <c r="E4" s="30">
        <v>135</v>
      </c>
      <c r="F4" s="31">
        <v>0.21676300578034682</v>
      </c>
    </row>
    <row r="5" spans="2:6">
      <c r="C5" t="s">
        <v>47</v>
      </c>
      <c r="D5" s="32">
        <v>11000</v>
      </c>
      <c r="E5" s="30">
        <v>110</v>
      </c>
      <c r="F5" s="31">
        <v>4.0758855787757522E-2</v>
      </c>
    </row>
    <row r="6" spans="2:6">
      <c r="B6" t="s">
        <v>86</v>
      </c>
      <c r="D6" s="32">
        <v>69500</v>
      </c>
      <c r="E6" s="30">
        <v>245</v>
      </c>
      <c r="F6" s="31">
        <v>0.25752186156810436</v>
      </c>
    </row>
    <row r="7" spans="2:6">
      <c r="B7" t="s">
        <v>13</v>
      </c>
      <c r="C7" t="s">
        <v>46</v>
      </c>
      <c r="D7" s="32">
        <v>24680</v>
      </c>
      <c r="E7" s="30">
        <v>74</v>
      </c>
      <c r="F7" s="31">
        <v>9.1448050985623239E-2</v>
      </c>
    </row>
    <row r="8" spans="2:6">
      <c r="C8" t="s">
        <v>48</v>
      </c>
      <c r="D8" s="32">
        <v>10000</v>
      </c>
      <c r="E8" s="30">
        <v>0</v>
      </c>
      <c r="F8" s="31">
        <v>3.7053505261597744E-2</v>
      </c>
    </row>
    <row r="9" spans="2:6">
      <c r="C9" t="s">
        <v>45</v>
      </c>
      <c r="D9" s="32">
        <v>0</v>
      </c>
      <c r="E9" s="30">
        <v>-200</v>
      </c>
      <c r="F9" s="31">
        <v>0</v>
      </c>
    </row>
    <row r="10" spans="2:6">
      <c r="C10" t="s">
        <v>47</v>
      </c>
      <c r="D10" s="32">
        <v>165700</v>
      </c>
      <c r="E10" s="30">
        <v>217</v>
      </c>
      <c r="F10" s="31">
        <v>0.61397658218467466</v>
      </c>
    </row>
    <row r="11" spans="2:6">
      <c r="B11" t="s">
        <v>87</v>
      </c>
      <c r="D11" s="32">
        <v>200380</v>
      </c>
      <c r="E11" s="30">
        <v>91</v>
      </c>
      <c r="F11" s="31">
        <v>0.7424781384318957</v>
      </c>
    </row>
    <row r="12" spans="2:6">
      <c r="B12" t="s">
        <v>83</v>
      </c>
      <c r="D12" s="32">
        <v>269880</v>
      </c>
      <c r="E12" s="30">
        <v>336</v>
      </c>
      <c r="F12" s="31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47E2-F4BF-4989-9255-3FD2DAAA33C8}">
  <sheetPr codeName="Sheet10"/>
  <dimension ref="A1:F31"/>
  <sheetViews>
    <sheetView workbookViewId="0"/>
  </sheetViews>
  <sheetFormatPr defaultRowHeight="16.5" outlineLevelRow="3"/>
  <sheetData>
    <row r="1" spans="1:6">
      <c r="A1" s="34" t="s">
        <v>40</v>
      </c>
      <c r="B1" s="34" t="s">
        <v>41</v>
      </c>
      <c r="C1" s="34" t="s">
        <v>42</v>
      </c>
      <c r="D1" s="34" t="s">
        <v>43</v>
      </c>
      <c r="E1" s="34" t="s">
        <v>44</v>
      </c>
      <c r="F1" s="34" t="s">
        <v>45</v>
      </c>
    </row>
    <row r="2" spans="1:6" outlineLevel="3">
      <c r="A2" s="35" t="s">
        <v>46</v>
      </c>
      <c r="B2" s="36" t="s">
        <v>9</v>
      </c>
      <c r="C2" s="35">
        <v>40</v>
      </c>
      <c r="D2" s="35">
        <v>40</v>
      </c>
      <c r="E2" s="35">
        <v>8000</v>
      </c>
      <c r="F2" s="35">
        <v>80</v>
      </c>
    </row>
    <row r="3" spans="1:6" outlineLevel="3">
      <c r="A3" s="35" t="s">
        <v>46</v>
      </c>
      <c r="B3" s="35" t="s">
        <v>9</v>
      </c>
      <c r="C3" s="35">
        <v>10</v>
      </c>
      <c r="D3" s="35">
        <v>10</v>
      </c>
      <c r="E3" s="35">
        <v>500</v>
      </c>
      <c r="F3" s="35">
        <v>5</v>
      </c>
    </row>
    <row r="4" spans="1:6" outlineLevel="3">
      <c r="A4" s="35" t="s">
        <v>46</v>
      </c>
      <c r="B4" s="37" t="s">
        <v>9</v>
      </c>
      <c r="C4" s="35">
        <v>20</v>
      </c>
      <c r="D4" s="35">
        <v>20</v>
      </c>
      <c r="E4" s="35">
        <v>40000</v>
      </c>
      <c r="F4" s="35">
        <v>40</v>
      </c>
    </row>
    <row r="5" spans="1:6" outlineLevel="2">
      <c r="A5" s="1" t="s">
        <v>93</v>
      </c>
      <c r="B5" s="37"/>
      <c r="C5" s="35">
        <f>SUBTOTAL(3,C2:C4)</f>
        <v>3</v>
      </c>
      <c r="D5" s="35"/>
      <c r="E5" s="35"/>
      <c r="F5" s="35"/>
    </row>
    <row r="6" spans="1:6" outlineLevel="3">
      <c r="A6" s="35" t="s">
        <v>47</v>
      </c>
      <c r="B6" s="35" t="s">
        <v>9</v>
      </c>
      <c r="C6" s="35">
        <v>100</v>
      </c>
      <c r="D6" s="35">
        <v>100</v>
      </c>
      <c r="E6" s="35">
        <v>10000</v>
      </c>
      <c r="F6" s="35">
        <v>100</v>
      </c>
    </row>
    <row r="7" spans="1:6" outlineLevel="3">
      <c r="A7" s="35" t="s">
        <v>47</v>
      </c>
      <c r="B7" s="35" t="s">
        <v>9</v>
      </c>
      <c r="C7" s="35">
        <v>50</v>
      </c>
      <c r="D7" s="35">
        <v>5</v>
      </c>
      <c r="E7" s="35">
        <v>30000</v>
      </c>
      <c r="F7" s="35">
        <v>30</v>
      </c>
    </row>
    <row r="8" spans="1:6" outlineLevel="2">
      <c r="A8" s="1" t="s">
        <v>94</v>
      </c>
      <c r="B8" s="35"/>
      <c r="C8" s="35">
        <f>SUBTOTAL(3,C6:C7)</f>
        <v>2</v>
      </c>
      <c r="D8" s="35"/>
      <c r="E8" s="35"/>
      <c r="F8" s="35"/>
    </row>
    <row r="9" spans="1:6" outlineLevel="1">
      <c r="A9" s="35"/>
      <c r="B9" s="1" t="s">
        <v>90</v>
      </c>
      <c r="C9" s="35"/>
      <c r="D9" s="35"/>
      <c r="E9" s="35">
        <f>SUBTOTAL(1,E2:E7)</f>
        <v>17700</v>
      </c>
      <c r="F9" s="35"/>
    </row>
    <row r="10" spans="1:6" outlineLevel="3">
      <c r="A10" s="35" t="s">
        <v>46</v>
      </c>
      <c r="B10" s="36" t="s">
        <v>13</v>
      </c>
      <c r="C10" s="35">
        <v>10</v>
      </c>
      <c r="D10" s="35">
        <v>10</v>
      </c>
      <c r="E10" s="35">
        <v>200</v>
      </c>
      <c r="F10" s="35">
        <v>2</v>
      </c>
    </row>
    <row r="11" spans="1:6" outlineLevel="3">
      <c r="A11" s="35" t="s">
        <v>46</v>
      </c>
      <c r="B11" s="35" t="s">
        <v>13</v>
      </c>
      <c r="C11" s="35">
        <v>10</v>
      </c>
      <c r="D11" s="35">
        <v>20</v>
      </c>
      <c r="E11" s="35">
        <v>30</v>
      </c>
      <c r="F11" s="35">
        <v>3</v>
      </c>
    </row>
    <row r="12" spans="1:6" outlineLevel="3">
      <c r="A12" s="35" t="s">
        <v>46</v>
      </c>
      <c r="B12" s="35" t="s">
        <v>13</v>
      </c>
      <c r="C12" s="35">
        <v>50</v>
      </c>
      <c r="D12" s="35">
        <v>5</v>
      </c>
      <c r="E12" s="35">
        <v>1000</v>
      </c>
      <c r="F12" s="35">
        <v>10</v>
      </c>
    </row>
    <row r="13" spans="1:6" outlineLevel="3">
      <c r="A13" s="35" t="s">
        <v>46</v>
      </c>
      <c r="B13" s="35" t="s">
        <v>13</v>
      </c>
      <c r="C13" s="35">
        <v>15</v>
      </c>
      <c r="D13" s="35">
        <v>10</v>
      </c>
      <c r="E13" s="35">
        <v>10000</v>
      </c>
      <c r="F13" s="35">
        <v>10</v>
      </c>
    </row>
    <row r="14" spans="1:6" outlineLevel="3">
      <c r="A14" s="35" t="s">
        <v>46</v>
      </c>
      <c r="B14" s="35" t="s">
        <v>13</v>
      </c>
      <c r="C14" s="35">
        <v>50</v>
      </c>
      <c r="D14" s="35">
        <v>50</v>
      </c>
      <c r="E14" s="35">
        <v>2000</v>
      </c>
      <c r="F14" s="35">
        <v>20</v>
      </c>
    </row>
    <row r="15" spans="1:6" outlineLevel="2">
      <c r="A15" s="1" t="s">
        <v>93</v>
      </c>
      <c r="B15" s="35"/>
      <c r="C15" s="35">
        <f>SUBTOTAL(3,C10:C14)</f>
        <v>5</v>
      </c>
      <c r="D15" s="35"/>
      <c r="E15" s="35"/>
      <c r="F15" s="35"/>
    </row>
    <row r="16" spans="1:6" outlineLevel="3">
      <c r="A16" s="35" t="s">
        <v>47</v>
      </c>
      <c r="B16" s="35" t="s">
        <v>13</v>
      </c>
      <c r="C16" s="35">
        <v>10</v>
      </c>
      <c r="D16" s="35">
        <v>10</v>
      </c>
      <c r="E16" s="35">
        <v>2000</v>
      </c>
      <c r="F16" s="35">
        <v>20</v>
      </c>
    </row>
    <row r="17" spans="1:6" outlineLevel="3">
      <c r="A17" s="35" t="s">
        <v>47</v>
      </c>
      <c r="B17" s="35" t="s">
        <v>13</v>
      </c>
      <c r="C17" s="35">
        <v>15</v>
      </c>
      <c r="D17" s="35">
        <v>10</v>
      </c>
      <c r="E17" s="35">
        <v>200</v>
      </c>
      <c r="F17" s="35">
        <v>2</v>
      </c>
    </row>
    <row r="18" spans="1:6" outlineLevel="3">
      <c r="A18" s="35" t="s">
        <v>47</v>
      </c>
      <c r="B18" s="35" t="s">
        <v>13</v>
      </c>
      <c r="C18" s="35">
        <v>10</v>
      </c>
      <c r="D18" s="35">
        <v>5</v>
      </c>
      <c r="E18" s="35">
        <v>0</v>
      </c>
      <c r="F18" s="35">
        <v>0</v>
      </c>
    </row>
    <row r="19" spans="1:6" outlineLevel="3">
      <c r="A19" s="35" t="s">
        <v>47</v>
      </c>
      <c r="B19" s="37" t="s">
        <v>13</v>
      </c>
      <c r="C19" s="35">
        <v>50</v>
      </c>
      <c r="D19" s="35">
        <v>50</v>
      </c>
      <c r="E19" s="35">
        <v>2000</v>
      </c>
      <c r="F19" s="35">
        <v>20</v>
      </c>
    </row>
    <row r="20" spans="1:6" outlineLevel="2">
      <c r="A20" s="1" t="s">
        <v>94</v>
      </c>
      <c r="B20" s="37"/>
      <c r="C20" s="35">
        <f>SUBTOTAL(3,C16:C19)</f>
        <v>4</v>
      </c>
      <c r="D20" s="35"/>
      <c r="E20" s="35"/>
      <c r="F20" s="35"/>
    </row>
    <row r="21" spans="1:6" outlineLevel="1">
      <c r="A21" s="35"/>
      <c r="B21" s="38" t="s">
        <v>91</v>
      </c>
      <c r="C21" s="35"/>
      <c r="D21" s="35"/>
      <c r="E21" s="35">
        <f>SUBTOTAL(1,E10:E19)</f>
        <v>1936.6666666666667</v>
      </c>
      <c r="F21" s="35"/>
    </row>
    <row r="22" spans="1:6" outlineLevel="3">
      <c r="A22" s="35" t="s">
        <v>46</v>
      </c>
      <c r="B22" s="35" t="s">
        <v>97</v>
      </c>
      <c r="C22" s="35">
        <v>10</v>
      </c>
      <c r="D22" s="35">
        <v>0</v>
      </c>
      <c r="E22" s="35">
        <v>0</v>
      </c>
      <c r="F22" s="35">
        <v>0</v>
      </c>
    </row>
    <row r="23" spans="1:6" outlineLevel="3">
      <c r="A23" s="35" t="s">
        <v>46</v>
      </c>
      <c r="B23" s="35" t="s">
        <v>97</v>
      </c>
      <c r="C23" s="35">
        <v>50</v>
      </c>
      <c r="D23" s="35">
        <v>35</v>
      </c>
      <c r="E23" s="35">
        <v>10000</v>
      </c>
      <c r="F23" s="35">
        <v>10</v>
      </c>
    </row>
    <row r="24" spans="1:6" outlineLevel="3">
      <c r="A24" s="35" t="s">
        <v>46</v>
      </c>
      <c r="B24" s="37" t="s">
        <v>97</v>
      </c>
      <c r="C24" s="35">
        <v>10</v>
      </c>
      <c r="D24" s="35">
        <v>10</v>
      </c>
      <c r="E24" s="35">
        <v>100</v>
      </c>
      <c r="F24" s="35">
        <v>1</v>
      </c>
    </row>
    <row r="25" spans="1:6" outlineLevel="2">
      <c r="A25" s="1" t="s">
        <v>93</v>
      </c>
      <c r="B25" s="37"/>
      <c r="C25" s="35">
        <f>SUBTOTAL(3,C22:C24)</f>
        <v>3</v>
      </c>
      <c r="D25" s="35"/>
      <c r="E25" s="35"/>
      <c r="F25" s="35"/>
    </row>
    <row r="26" spans="1:6" outlineLevel="3">
      <c r="A26" s="35" t="s">
        <v>47</v>
      </c>
      <c r="B26" s="35" t="s">
        <v>97</v>
      </c>
      <c r="C26" s="35">
        <v>50</v>
      </c>
      <c r="D26" s="35">
        <v>50</v>
      </c>
      <c r="E26" s="35">
        <v>1000</v>
      </c>
      <c r="F26" s="35">
        <v>10</v>
      </c>
    </row>
    <row r="27" spans="1:6" outlineLevel="3">
      <c r="A27" s="35" t="s">
        <v>47</v>
      </c>
      <c r="B27" s="35" t="s">
        <v>97</v>
      </c>
      <c r="C27" s="35">
        <v>15</v>
      </c>
      <c r="D27" s="35">
        <v>15</v>
      </c>
      <c r="E27" s="35">
        <v>60000</v>
      </c>
      <c r="F27" s="35">
        <v>60</v>
      </c>
    </row>
    <row r="28" spans="1:6" outlineLevel="2">
      <c r="A28" s="40" t="s">
        <v>94</v>
      </c>
      <c r="B28" s="39"/>
      <c r="C28" s="39">
        <f>SUBTOTAL(3,C26:C27)</f>
        <v>2</v>
      </c>
      <c r="D28" s="39"/>
      <c r="E28" s="39"/>
      <c r="F28" s="39"/>
    </row>
    <row r="29" spans="1:6" outlineLevel="1">
      <c r="A29" s="39"/>
      <c r="B29" s="40" t="s">
        <v>98</v>
      </c>
      <c r="C29" s="39"/>
      <c r="D29" s="39"/>
      <c r="E29" s="39">
        <f>SUBTOTAL(1,E22:E27)</f>
        <v>14220</v>
      </c>
      <c r="F29" s="39"/>
    </row>
    <row r="30" spans="1:6">
      <c r="A30" s="40" t="s">
        <v>95</v>
      </c>
      <c r="B30" s="40"/>
      <c r="C30" s="39">
        <f>SUBTOTAL(3,C2:C27)</f>
        <v>19</v>
      </c>
      <c r="D30" s="39"/>
      <c r="E30" s="39"/>
      <c r="F30" s="39"/>
    </row>
    <row r="31" spans="1:6">
      <c r="A31" s="39"/>
      <c r="B31" s="40" t="s">
        <v>92</v>
      </c>
      <c r="C31" s="39"/>
      <c r="D31" s="39"/>
      <c r="E31" s="39">
        <f>SUBTOTAL(1,E2:E27)</f>
        <v>9317.3684210526317</v>
      </c>
      <c r="F31" s="39"/>
    </row>
  </sheetData>
  <sortState xmlns:xlrd2="http://schemas.microsoft.com/office/spreadsheetml/2017/richdata2" ref="A2:F27">
    <sortCondition ref="B2:B27" customList="로션,향수,마스크팩"/>
    <sortCondition ref="A2:A27"/>
    <sortCondition sortBy="fontColor" ref="B2:B27" dxfId="1"/>
    <sortCondition descending="1" sortBy="fontColor" ref="B2:B27" dxfId="0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N9"/>
  <sheetViews>
    <sheetView workbookViewId="0"/>
  </sheetViews>
  <sheetFormatPr defaultRowHeight="16.5"/>
  <sheetData>
    <row r="2" spans="2:14" ht="24">
      <c r="B2" s="52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</row>
    <row r="3" spans="2:14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>
      <c r="B4" s="21" t="s">
        <v>59</v>
      </c>
      <c r="C4" s="21" t="s">
        <v>60</v>
      </c>
      <c r="D4" s="21" t="s">
        <v>61</v>
      </c>
      <c r="E4" s="21" t="s">
        <v>62</v>
      </c>
      <c r="F4" s="21" t="s">
        <v>63</v>
      </c>
      <c r="G4" s="21" t="s">
        <v>64</v>
      </c>
      <c r="H4" s="21" t="s">
        <v>65</v>
      </c>
      <c r="I4" s="21" t="s">
        <v>66</v>
      </c>
      <c r="J4" s="21" t="s">
        <v>67</v>
      </c>
      <c r="K4" s="21" t="s">
        <v>68</v>
      </c>
      <c r="L4" s="21" t="s">
        <v>69</v>
      </c>
      <c r="M4" s="21" t="s">
        <v>70</v>
      </c>
      <c r="N4" s="21" t="s">
        <v>71</v>
      </c>
    </row>
    <row r="5" spans="2:14">
      <c r="B5" s="21" t="s">
        <v>96</v>
      </c>
      <c r="C5" s="21">
        <v>9</v>
      </c>
      <c r="D5" s="21">
        <v>32</v>
      </c>
      <c r="E5" s="21">
        <v>14</v>
      </c>
      <c r="F5" s="21">
        <v>4</v>
      </c>
      <c r="G5" s="21">
        <v>12</v>
      </c>
      <c r="H5" s="21">
        <v>13</v>
      </c>
      <c r="I5" s="21">
        <v>-7</v>
      </c>
      <c r="J5" s="22">
        <v>12</v>
      </c>
      <c r="K5" s="22">
        <v>10</v>
      </c>
      <c r="L5" s="22">
        <v>4</v>
      </c>
      <c r="M5" s="22">
        <v>-2</v>
      </c>
      <c r="N5" s="22">
        <v>6</v>
      </c>
    </row>
    <row r="6" spans="2:14">
      <c r="B6" s="21" t="s">
        <v>72</v>
      </c>
      <c r="C6" s="21">
        <v>17</v>
      </c>
      <c r="D6" s="21">
        <v>31</v>
      </c>
      <c r="E6" s="21">
        <v>5</v>
      </c>
      <c r="F6" s="21">
        <v>-8</v>
      </c>
      <c r="G6" s="21">
        <v>6</v>
      </c>
      <c r="H6" s="21">
        <v>11</v>
      </c>
      <c r="I6" s="21">
        <v>-10</v>
      </c>
      <c r="J6" s="21">
        <v>6</v>
      </c>
      <c r="K6" s="22">
        <v>14</v>
      </c>
      <c r="L6" s="22">
        <v>10</v>
      </c>
      <c r="M6" s="22">
        <v>-12</v>
      </c>
      <c r="N6" s="22">
        <v>-1</v>
      </c>
    </row>
    <row r="7" spans="2:14">
      <c r="B7" s="21" t="s">
        <v>73</v>
      </c>
      <c r="C7" s="21">
        <v>24</v>
      </c>
      <c r="D7" s="21">
        <v>40</v>
      </c>
      <c r="E7" s="21">
        <v>16</v>
      </c>
      <c r="F7" s="21">
        <v>-1</v>
      </c>
      <c r="G7" s="21">
        <v>5</v>
      </c>
      <c r="H7" s="21">
        <v>5</v>
      </c>
      <c r="I7" s="21">
        <v>-8</v>
      </c>
      <c r="J7" s="21">
        <v>25</v>
      </c>
      <c r="K7" s="22">
        <v>22</v>
      </c>
      <c r="L7" s="22">
        <v>9</v>
      </c>
      <c r="M7" s="22">
        <v>-1</v>
      </c>
      <c r="N7" s="22">
        <v>9</v>
      </c>
    </row>
    <row r="8" spans="2:14">
      <c r="B8" s="21" t="s">
        <v>74</v>
      </c>
      <c r="C8" s="21">
        <v>21</v>
      </c>
      <c r="D8" s="21">
        <v>33</v>
      </c>
      <c r="E8" s="21">
        <v>7</v>
      </c>
      <c r="F8" s="21">
        <v>-7</v>
      </c>
      <c r="G8" s="21">
        <v>8</v>
      </c>
      <c r="H8" s="21">
        <v>8</v>
      </c>
      <c r="I8" s="21">
        <v>-6</v>
      </c>
      <c r="J8" s="21">
        <v>10</v>
      </c>
      <c r="K8" s="22">
        <v>15</v>
      </c>
      <c r="L8" s="22">
        <v>11</v>
      </c>
      <c r="M8" s="22">
        <v>-4</v>
      </c>
      <c r="N8" s="22">
        <v>8</v>
      </c>
    </row>
    <row r="9" spans="2:14">
      <c r="B9" s="21" t="s">
        <v>75</v>
      </c>
      <c r="C9" s="21">
        <v>25</v>
      </c>
      <c r="D9" s="21">
        <v>41</v>
      </c>
      <c r="E9" s="21">
        <v>11</v>
      </c>
      <c r="F9" s="21">
        <v>-4</v>
      </c>
      <c r="G9" s="21">
        <v>7</v>
      </c>
      <c r="H9" s="21">
        <v>9</v>
      </c>
      <c r="I9" s="21">
        <v>-14</v>
      </c>
      <c r="J9" s="21">
        <v>20</v>
      </c>
      <c r="K9" s="22">
        <v>7</v>
      </c>
      <c r="L9" s="22">
        <v>5</v>
      </c>
      <c r="M9" s="22">
        <v>1</v>
      </c>
      <c r="N9" s="22">
        <v>11</v>
      </c>
    </row>
  </sheetData>
  <mergeCells count="1">
    <mergeCell ref="B2:N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G16"/>
  <sheetViews>
    <sheetView workbookViewId="0"/>
  </sheetViews>
  <sheetFormatPr defaultRowHeight="16.5"/>
  <cols>
    <col min="1" max="1" width="9.625" customWidth="1"/>
    <col min="2" max="2" width="10.75" bestFit="1" customWidth="1"/>
    <col min="3" max="7" width="9.625" customWidth="1"/>
  </cols>
  <sheetData>
    <row r="1" spans="2:7" ht="24">
      <c r="B1" s="53" t="s">
        <v>49</v>
      </c>
      <c r="C1" s="53"/>
      <c r="D1" s="53"/>
      <c r="E1" s="53"/>
      <c r="F1" s="53"/>
      <c r="G1" s="53"/>
    </row>
    <row r="2" spans="2:7">
      <c r="B2" s="6"/>
      <c r="C2" s="7"/>
      <c r="D2" s="6"/>
      <c r="E2" s="6"/>
      <c r="F2" s="6"/>
      <c r="G2" s="6"/>
    </row>
    <row r="3" spans="2:7">
      <c r="B3" s="1" t="s">
        <v>50</v>
      </c>
      <c r="C3" s="17" t="s">
        <v>51</v>
      </c>
      <c r="D3" s="17" t="s">
        <v>42</v>
      </c>
      <c r="E3" s="17" t="s">
        <v>52</v>
      </c>
      <c r="F3" s="17" t="s">
        <v>53</v>
      </c>
      <c r="G3" s="17" t="s">
        <v>54</v>
      </c>
    </row>
    <row r="4" spans="2:7">
      <c r="B4" s="18">
        <v>45662</v>
      </c>
      <c r="C4" s="27" t="s">
        <v>55</v>
      </c>
      <c r="D4" s="33">
        <v>6</v>
      </c>
      <c r="E4" s="20">
        <v>24</v>
      </c>
      <c r="F4" s="20">
        <f>(D4*E4)+4</f>
        <v>148</v>
      </c>
      <c r="G4" s="20">
        <f>INT(F4*0.1)</f>
        <v>14</v>
      </c>
    </row>
    <row r="5" spans="2:7">
      <c r="B5" s="18">
        <v>45663</v>
      </c>
      <c r="C5" s="27" t="s">
        <v>56</v>
      </c>
      <c r="D5" s="33">
        <v>11</v>
      </c>
      <c r="E5" s="20">
        <v>64</v>
      </c>
      <c r="F5" s="20">
        <f t="shared" ref="F5:F16" si="0">(D5*E5)+4</f>
        <v>708</v>
      </c>
      <c r="G5" s="20">
        <f t="shared" ref="G5:G16" si="1">INT(F5*0.1)</f>
        <v>70</v>
      </c>
    </row>
    <row r="6" spans="2:7">
      <c r="B6" s="18">
        <v>45664</v>
      </c>
      <c r="C6" s="27" t="s">
        <v>56</v>
      </c>
      <c r="D6" s="33">
        <v>6</v>
      </c>
      <c r="E6" s="20">
        <v>54</v>
      </c>
      <c r="F6" s="20">
        <f t="shared" si="0"/>
        <v>328</v>
      </c>
      <c r="G6" s="20">
        <f t="shared" si="1"/>
        <v>32</v>
      </c>
    </row>
    <row r="7" spans="2:7">
      <c r="B7" s="18">
        <v>45665</v>
      </c>
      <c r="C7" s="27" t="s">
        <v>57</v>
      </c>
      <c r="D7" s="33">
        <v>9</v>
      </c>
      <c r="E7" s="20">
        <v>204</v>
      </c>
      <c r="F7" s="20">
        <f t="shared" si="0"/>
        <v>1840</v>
      </c>
      <c r="G7" s="20">
        <f t="shared" si="1"/>
        <v>184</v>
      </c>
    </row>
    <row r="8" spans="2:7">
      <c r="B8" s="18">
        <v>45666</v>
      </c>
      <c r="C8" s="27" t="s">
        <v>56</v>
      </c>
      <c r="D8" s="33">
        <v>14</v>
      </c>
      <c r="E8" s="20">
        <v>104</v>
      </c>
      <c r="F8" s="20">
        <f t="shared" si="0"/>
        <v>1460</v>
      </c>
      <c r="G8" s="20">
        <f t="shared" si="1"/>
        <v>146</v>
      </c>
    </row>
    <row r="9" spans="2:7">
      <c r="B9" s="18">
        <v>45667</v>
      </c>
      <c r="C9" s="27" t="s">
        <v>56</v>
      </c>
      <c r="D9" s="33">
        <v>8</v>
      </c>
      <c r="E9" s="20">
        <v>204</v>
      </c>
      <c r="F9" s="20">
        <f t="shared" si="0"/>
        <v>1636</v>
      </c>
      <c r="G9" s="20">
        <f t="shared" si="1"/>
        <v>163</v>
      </c>
    </row>
    <row r="10" spans="2:7">
      <c r="B10" s="18">
        <v>45668</v>
      </c>
      <c r="C10" s="27" t="s">
        <v>57</v>
      </c>
      <c r="D10" s="33">
        <v>9</v>
      </c>
      <c r="E10" s="20">
        <v>304</v>
      </c>
      <c r="F10" s="20">
        <f t="shared" si="0"/>
        <v>2740</v>
      </c>
      <c r="G10" s="20">
        <f t="shared" si="1"/>
        <v>274</v>
      </c>
    </row>
    <row r="11" spans="2:7">
      <c r="B11" s="18">
        <v>45669</v>
      </c>
      <c r="C11" s="27" t="s">
        <v>55</v>
      </c>
      <c r="D11" s="33">
        <v>10</v>
      </c>
      <c r="E11" s="20">
        <v>404</v>
      </c>
      <c r="F11" s="20">
        <f t="shared" si="0"/>
        <v>4044</v>
      </c>
      <c r="G11" s="20">
        <f t="shared" si="1"/>
        <v>404</v>
      </c>
    </row>
    <row r="12" spans="2:7">
      <c r="B12" s="18">
        <v>45670</v>
      </c>
      <c r="C12" s="27" t="s">
        <v>55</v>
      </c>
      <c r="D12" s="33">
        <v>5</v>
      </c>
      <c r="E12" s="20">
        <v>604</v>
      </c>
      <c r="F12" s="20">
        <f t="shared" si="0"/>
        <v>3024</v>
      </c>
      <c r="G12" s="20">
        <f t="shared" si="1"/>
        <v>302</v>
      </c>
    </row>
    <row r="13" spans="2:7">
      <c r="B13" s="18">
        <v>45671</v>
      </c>
      <c r="C13" s="27" t="s">
        <v>57</v>
      </c>
      <c r="D13" s="33">
        <v>6</v>
      </c>
      <c r="E13" s="20">
        <v>29</v>
      </c>
      <c r="F13" s="20">
        <f t="shared" si="0"/>
        <v>178</v>
      </c>
      <c r="G13" s="20">
        <f t="shared" si="1"/>
        <v>17</v>
      </c>
    </row>
    <row r="14" spans="2:7">
      <c r="B14" s="18">
        <v>45672</v>
      </c>
      <c r="C14" s="27" t="s">
        <v>55</v>
      </c>
      <c r="D14" s="33">
        <v>12</v>
      </c>
      <c r="E14" s="20">
        <v>24</v>
      </c>
      <c r="F14" s="20">
        <f t="shared" si="0"/>
        <v>292</v>
      </c>
      <c r="G14" s="20">
        <f t="shared" si="1"/>
        <v>29</v>
      </c>
    </row>
    <row r="15" spans="2:7">
      <c r="B15" s="18">
        <v>45673</v>
      </c>
      <c r="C15" s="27" t="s">
        <v>55</v>
      </c>
      <c r="D15" s="33">
        <v>4</v>
      </c>
      <c r="E15" s="20">
        <v>34</v>
      </c>
      <c r="F15" s="20">
        <f t="shared" si="0"/>
        <v>140</v>
      </c>
      <c r="G15" s="20">
        <f t="shared" si="1"/>
        <v>14</v>
      </c>
    </row>
    <row r="16" spans="2:7">
      <c r="B16" s="18">
        <v>45674</v>
      </c>
      <c r="C16" s="27" t="s">
        <v>57</v>
      </c>
      <c r="D16" s="33">
        <v>9</v>
      </c>
      <c r="E16" s="20">
        <v>204</v>
      </c>
      <c r="F16" s="20">
        <f t="shared" si="0"/>
        <v>1840</v>
      </c>
      <c r="G16" s="20">
        <f t="shared" si="1"/>
        <v>184</v>
      </c>
    </row>
  </sheetData>
  <mergeCells count="1">
    <mergeCell ref="B1:G1"/>
  </mergeCells>
  <phoneticPr fontId="1" type="noConversion"/>
  <conditionalFormatting sqref="G4:G16">
    <cfRule type="iconSet" priority="1">
      <iconSet iconSet="5Quarters">
        <cfvo type="percent" val="0"/>
        <cfvo type="percent" val="20"/>
        <cfvo type="percent" val="40"/>
        <cfvo type="percent" val="70"/>
        <cfvo type="percent" val="90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L11"/>
  <sheetViews>
    <sheetView workbookViewId="0"/>
  </sheetViews>
  <sheetFormatPr defaultRowHeight="16.5"/>
  <cols>
    <col min="2" max="4" width="12.125" customWidth="1"/>
    <col min="5" max="6" width="14.625" customWidth="1"/>
    <col min="11" max="11" width="14.875" bestFit="1" customWidth="1"/>
    <col min="12" max="12" width="11.625" bestFit="1" customWidth="1"/>
  </cols>
  <sheetData>
    <row r="2" spans="1:12">
      <c r="A2" s="6" t="s">
        <v>76</v>
      </c>
      <c r="B2" s="23"/>
      <c r="C2" s="24"/>
      <c r="D2" s="23"/>
      <c r="E2" s="23"/>
      <c r="F2" s="23"/>
    </row>
    <row r="3" spans="1:12">
      <c r="A3" s="6"/>
      <c r="B3" s="25" t="s">
        <v>77</v>
      </c>
      <c r="C3" s="26" t="s">
        <v>99</v>
      </c>
      <c r="D3" s="25" t="s">
        <v>79</v>
      </c>
      <c r="E3" s="25" t="s">
        <v>78</v>
      </c>
      <c r="F3" s="25" t="s">
        <v>80</v>
      </c>
      <c r="K3" s="15" t="s">
        <v>81</v>
      </c>
      <c r="L3" s="15" t="s">
        <v>82</v>
      </c>
    </row>
    <row r="4" spans="1:12">
      <c r="A4" s="6"/>
      <c r="B4" s="19"/>
      <c r="C4" s="27"/>
      <c r="D4" s="19"/>
      <c r="E4" s="19"/>
      <c r="F4" s="19"/>
      <c r="K4" s="20" t="s">
        <v>103</v>
      </c>
      <c r="L4" s="28">
        <v>5500000</v>
      </c>
    </row>
    <row r="5" spans="1:12">
      <c r="A5" s="6"/>
      <c r="B5" s="19"/>
      <c r="C5" s="27"/>
      <c r="D5" s="19"/>
      <c r="E5" s="19"/>
      <c r="F5" s="19"/>
      <c r="K5" s="20" t="s">
        <v>101</v>
      </c>
      <c r="L5" s="28">
        <v>14000000</v>
      </c>
    </row>
    <row r="6" spans="1:12">
      <c r="A6" s="6"/>
      <c r="B6" s="19"/>
      <c r="C6" s="27"/>
      <c r="D6" s="19"/>
      <c r="E6" s="19"/>
      <c r="F6" s="19"/>
      <c r="K6" s="20" t="s">
        <v>104</v>
      </c>
      <c r="L6" s="28">
        <v>17690000</v>
      </c>
    </row>
    <row r="7" spans="1:12">
      <c r="A7" s="6"/>
      <c r="B7" s="19"/>
      <c r="C7" s="27"/>
      <c r="D7" s="19"/>
      <c r="E7" s="19"/>
      <c r="F7" s="19"/>
      <c r="K7" s="20" t="s">
        <v>102</v>
      </c>
      <c r="L7" s="28">
        <v>26500000</v>
      </c>
    </row>
    <row r="8" spans="1:12">
      <c r="A8" s="6"/>
      <c r="B8" s="19"/>
      <c r="C8" s="27"/>
      <c r="D8" s="19"/>
      <c r="E8" s="19"/>
      <c r="F8" s="19"/>
      <c r="K8" s="20" t="s">
        <v>100</v>
      </c>
      <c r="L8" s="28">
        <v>64900000</v>
      </c>
    </row>
    <row r="9" spans="1:12">
      <c r="A9" s="6"/>
      <c r="B9" s="19"/>
      <c r="C9" s="27"/>
      <c r="D9" s="19"/>
      <c r="E9" s="19"/>
      <c r="F9" s="19"/>
    </row>
    <row r="10" spans="1:12">
      <c r="A10" s="6"/>
      <c r="B10" s="19"/>
      <c r="C10" s="27"/>
      <c r="D10" s="19"/>
      <c r="E10" s="19"/>
      <c r="F10" s="19"/>
    </row>
    <row r="11" spans="1:12">
      <c r="A11" s="6"/>
      <c r="B11" s="19"/>
      <c r="C11" s="27"/>
      <c r="D11" s="19"/>
      <c r="E11" s="19"/>
      <c r="F11" s="19"/>
    </row>
  </sheetData>
  <sortState xmlns:xlrd2="http://schemas.microsoft.com/office/spreadsheetml/2017/richdata2" ref="K4:L8">
    <sortCondition ref="L4:L8"/>
  </sortState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렌트입력">
          <controlPr defaultSize="0" autoLine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647700</xdr:colOff>
                <xdr:row>4</xdr:row>
                <xdr:rowOff>104775</xdr:rowOff>
              </to>
            </anchor>
          </controlPr>
        </control>
      </mc:Choice>
      <mc:Fallback>
        <control shapeId="7169" r:id="rId3" name="Cmd렌트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차트작업</vt:lpstr>
      <vt:lpstr>매크로</vt:lpstr>
      <vt:lpstr>렌트입력</vt:lpstr>
      <vt:lpstr>'기본작업-1'!Criteria</vt:lpstr>
      <vt:lpstr>'기본작업-1'!Extract</vt:lpstr>
      <vt:lpstr>'기본작업-1'!MS_Access_Database_Query_1</vt:lpstr>
      <vt:lpstr>매크로!MS_Access_Database_Query_1</vt:lpstr>
      <vt:lpstr>'기본작업-2'!MS_Access_Database_Query_2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2020-07-29T09:42:21Z</cp:lastPrinted>
  <dcterms:created xsi:type="dcterms:W3CDTF">2020-04-07T06:00:22Z</dcterms:created>
  <dcterms:modified xsi:type="dcterms:W3CDTF">2023-08-11T12:40:58Z</dcterms:modified>
</cp:coreProperties>
</file>