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1급\24년1급실기\1권_스프레드시트\기출변형문제\"/>
    </mc:Choice>
  </mc:AlternateContent>
  <xr:revisionPtr revIDLastSave="0" documentId="13_ncr:1_{D73110DD-9E10-41FA-B9AF-C76339DB01E6}" xr6:coauthVersionLast="47" xr6:coauthVersionMax="47" xr10:uidLastSave="{00000000-0000-0000-0000-000000000000}"/>
  <bookViews>
    <workbookView xWindow="720" yWindow="1580" windowWidth="19150" windowHeight="18470" tabRatio="1000" xr2:uid="{00000000-000D-0000-FFFF-FFFF00000000}"/>
  </bookViews>
  <sheets>
    <sheet name="기본작업-1" sheetId="2" r:id="rId1"/>
    <sheet name="기본작업-2" sheetId="9" r:id="rId2"/>
    <sheet name="계산작업" sheetId="12" r:id="rId3"/>
    <sheet name="분석작업-1" sheetId="4" r:id="rId4"/>
    <sheet name="분석작업-2" sheetId="5" r:id="rId5"/>
    <sheet name="기타작업-1" sheetId="6" r:id="rId6"/>
    <sheet name="기타작업-2" sheetId="10" r:id="rId7"/>
    <sheet name="기타작업-3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3" i="5" l="1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5" i="5"/>
  <c r="G4" i="5"/>
  <c r="G3" i="5"/>
  <c r="G24" i="5" s="1"/>
  <c r="C27" i="5"/>
</calcChain>
</file>

<file path=xl/sharedStrings.xml><?xml version="1.0" encoding="utf-8"?>
<sst xmlns="http://schemas.openxmlformats.org/spreadsheetml/2006/main" count="501" uniqueCount="215">
  <si>
    <t>[표1]</t>
    <phoneticPr fontId="4" type="noConversion"/>
  </si>
  <si>
    <t>영업팀 직급별 연봉 현황</t>
    <phoneticPr fontId="4" type="noConversion"/>
  </si>
  <si>
    <t>입사일</t>
    <phoneticPr fontId="4" type="noConversion"/>
  </si>
  <si>
    <t>성명</t>
    <phoneticPr fontId="4" type="noConversion"/>
  </si>
  <si>
    <t>부서</t>
    <phoneticPr fontId="4" type="noConversion"/>
  </si>
  <si>
    <t>직급</t>
    <phoneticPr fontId="4" type="noConversion"/>
  </si>
  <si>
    <t>주민번호</t>
    <phoneticPr fontId="4" type="noConversion"/>
  </si>
  <si>
    <t>연봉</t>
    <phoneticPr fontId="4" type="noConversion"/>
  </si>
  <si>
    <t>김경원</t>
  </si>
  <si>
    <t>영업3팀</t>
  </si>
  <si>
    <t>과장</t>
  </si>
  <si>
    <t>841213-1123456</t>
    <phoneticPr fontId="1" type="noConversion"/>
  </si>
  <si>
    <t>김규진</t>
  </si>
  <si>
    <t>영업1팀</t>
    <phoneticPr fontId="4" type="noConversion"/>
  </si>
  <si>
    <t>대리</t>
  </si>
  <si>
    <t>김기대</t>
  </si>
  <si>
    <t>김기도</t>
  </si>
  <si>
    <t>영업1팀</t>
    <phoneticPr fontId="4" type="noConversion"/>
  </si>
  <si>
    <t>사원</t>
  </si>
  <si>
    <t>김무영</t>
  </si>
  <si>
    <t>영업2팀</t>
  </si>
  <si>
    <t>김상국</t>
  </si>
  <si>
    <t>김석영</t>
  </si>
  <si>
    <t>김수찬</t>
  </si>
  <si>
    <t>김식상</t>
  </si>
  <si>
    <t>부장</t>
  </si>
  <si>
    <t>671018-1123456</t>
    <phoneticPr fontId="1" type="noConversion"/>
  </si>
  <si>
    <t>김아슬</t>
  </si>
  <si>
    <t>김학종</t>
  </si>
  <si>
    <t>문일규</t>
  </si>
  <si>
    <t>691010-2123456</t>
    <phoneticPr fontId="1" type="noConversion"/>
  </si>
  <si>
    <t>박용화</t>
  </si>
  <si>
    <t>서필기</t>
  </si>
  <si>
    <t>700823-1123456</t>
    <phoneticPr fontId="1" type="noConversion"/>
  </si>
  <si>
    <t>안채상</t>
  </si>
  <si>
    <t>860108-1123456</t>
    <phoneticPr fontId="1" type="noConversion"/>
  </si>
  <si>
    <t>양은주</t>
  </si>
  <si>
    <t>유희만</t>
  </si>
  <si>
    <t>윤호도</t>
  </si>
  <si>
    <t>721212-1123456</t>
    <phoneticPr fontId="1" type="noConversion"/>
  </si>
  <si>
    <t>이상얼</t>
  </si>
  <si>
    <t>이우중</t>
  </si>
  <si>
    <t>이주신</t>
  </si>
  <si>
    <t>장선용</t>
  </si>
  <si>
    <t>조현성</t>
  </si>
  <si>
    <t>최덕희</t>
  </si>
  <si>
    <t>한정수</t>
    <phoneticPr fontId="4" type="noConversion"/>
  </si>
  <si>
    <t>영진통신</t>
  </si>
  <si>
    <t>한국통신</t>
  </si>
  <si>
    <t>판매조건</t>
  </si>
  <si>
    <t>통신사</t>
  </si>
  <si>
    <t>단말기가격</t>
  </si>
  <si>
    <t>기타비용</t>
  </si>
  <si>
    <t>기변</t>
  </si>
  <si>
    <t>나래통신</t>
  </si>
  <si>
    <t>번호이동</t>
  </si>
  <si>
    <t>보상</t>
  </si>
  <si>
    <t>신규</t>
  </si>
  <si>
    <t>KR도메인수(연도별) (수치)</t>
  </si>
  <si>
    <t>분류</t>
  </si>
  <si>
    <t>KR도메인수</t>
  </si>
  <si>
    <t>증감</t>
  </si>
  <si>
    <t>납부일</t>
    <phoneticPr fontId="4" type="noConversion"/>
  </si>
  <si>
    <t>요금코드</t>
    <phoneticPr fontId="4" type="noConversion"/>
  </si>
  <si>
    <t>통신사</t>
    <phoneticPr fontId="4" type="noConversion"/>
  </si>
  <si>
    <r>
      <t>사용시간(초</t>
    </r>
    <r>
      <rPr>
        <sz val="11"/>
        <color theme="1"/>
        <rFont val="맑은 고딕"/>
        <family val="3"/>
        <charset val="129"/>
        <scheme val="minor"/>
      </rPr>
      <t>)</t>
    </r>
    <phoneticPr fontId="4" type="noConversion"/>
  </si>
  <si>
    <t>기본요금</t>
    <phoneticPr fontId="4" type="noConversion"/>
  </si>
  <si>
    <t>사용요금</t>
    <phoneticPr fontId="4" type="noConversion"/>
  </si>
  <si>
    <t>[참조표]</t>
    <phoneticPr fontId="4" type="noConversion"/>
  </si>
  <si>
    <t>요금코드</t>
    <phoneticPr fontId="4" type="noConversion"/>
  </si>
  <si>
    <t>통신사</t>
    <phoneticPr fontId="4" type="noConversion"/>
  </si>
  <si>
    <t>A001</t>
    <phoneticPr fontId="4" type="noConversion"/>
  </si>
  <si>
    <t>영진통신</t>
    <phoneticPr fontId="4" type="noConversion"/>
  </si>
  <si>
    <t>A002</t>
    <phoneticPr fontId="4" type="noConversion"/>
  </si>
  <si>
    <t>제일통신</t>
    <phoneticPr fontId="4" type="noConversion"/>
  </si>
  <si>
    <t>A003</t>
  </si>
  <si>
    <r>
      <t>K</t>
    </r>
    <r>
      <rPr>
        <sz val="11"/>
        <color theme="1"/>
        <rFont val="맑은 고딕"/>
        <family val="3"/>
        <charset val="129"/>
        <scheme val="minor"/>
      </rPr>
      <t>G통신</t>
    </r>
    <phoneticPr fontId="4" type="noConversion"/>
  </si>
  <si>
    <t>A004</t>
  </si>
  <si>
    <r>
      <t>K</t>
    </r>
    <r>
      <rPr>
        <sz val="11"/>
        <color theme="1"/>
        <rFont val="맑은 고딕"/>
        <family val="3"/>
        <charset val="129"/>
        <scheme val="minor"/>
      </rPr>
      <t>NOU통신</t>
    </r>
    <phoneticPr fontId="4" type="noConversion"/>
  </si>
  <si>
    <t>A005</t>
  </si>
  <si>
    <t>한국통신</t>
    <phoneticPr fontId="4" type="noConversion"/>
  </si>
  <si>
    <t>A006</t>
  </si>
  <si>
    <t>국제통신</t>
    <phoneticPr fontId="4" type="noConversion"/>
  </si>
  <si>
    <t>[표1]</t>
    <phoneticPr fontId="1" type="noConversion"/>
  </si>
  <si>
    <t>등급</t>
    <phoneticPr fontId="4" type="noConversion"/>
  </si>
  <si>
    <t>성별</t>
    <phoneticPr fontId="4" type="noConversion"/>
  </si>
  <si>
    <t>생년월일</t>
    <phoneticPr fontId="4" type="noConversion"/>
  </si>
  <si>
    <t>감은영</t>
    <phoneticPr fontId="4" type="noConversion"/>
  </si>
  <si>
    <t>그린</t>
    <phoneticPr fontId="4" type="noConversion"/>
  </si>
  <si>
    <t>여자</t>
  </si>
  <si>
    <t>김경남</t>
    <phoneticPr fontId="4" type="noConversion"/>
  </si>
  <si>
    <t>남자</t>
  </si>
  <si>
    <t>김미진</t>
    <phoneticPr fontId="4" type="noConversion"/>
  </si>
  <si>
    <t>레드</t>
    <phoneticPr fontId="4" type="noConversion"/>
  </si>
  <si>
    <t>김수철</t>
    <phoneticPr fontId="4" type="noConversion"/>
  </si>
  <si>
    <t>김인정</t>
    <phoneticPr fontId="4" type="noConversion"/>
  </si>
  <si>
    <t>김현호</t>
    <phoneticPr fontId="4" type="noConversion"/>
  </si>
  <si>
    <t>블루</t>
    <phoneticPr fontId="4" type="noConversion"/>
  </si>
  <si>
    <t>김호철</t>
    <phoneticPr fontId="4" type="noConversion"/>
  </si>
  <si>
    <t>나경은</t>
    <phoneticPr fontId="4" type="noConversion"/>
  </si>
  <si>
    <t>박영옥</t>
    <phoneticPr fontId="4" type="noConversion"/>
  </si>
  <si>
    <t>실버</t>
    <phoneticPr fontId="4" type="noConversion"/>
  </si>
  <si>
    <t>박주철</t>
    <phoneticPr fontId="4" type="noConversion"/>
  </si>
  <si>
    <t>서승현</t>
    <phoneticPr fontId="4" type="noConversion"/>
  </si>
  <si>
    <t>안수진</t>
    <phoneticPr fontId="4" type="noConversion"/>
  </si>
  <si>
    <t>이강우</t>
    <phoneticPr fontId="4" type="noConversion"/>
  </si>
  <si>
    <t>이미연</t>
    <phoneticPr fontId="4" type="noConversion"/>
  </si>
  <si>
    <t>이영호</t>
    <phoneticPr fontId="4" type="noConversion"/>
  </si>
  <si>
    <t>이혜원</t>
    <phoneticPr fontId="4" type="noConversion"/>
  </si>
  <si>
    <t>정명화</t>
    <phoneticPr fontId="4" type="noConversion"/>
  </si>
  <si>
    <t>차동철</t>
    <phoneticPr fontId="4" type="noConversion"/>
  </si>
  <si>
    <t>박영희</t>
    <phoneticPr fontId="4" type="noConversion"/>
  </si>
  <si>
    <t>박재원</t>
    <phoneticPr fontId="4" type="noConversion"/>
  </si>
  <si>
    <t>제품코드</t>
    <phoneticPr fontId="1" type="noConversion"/>
  </si>
  <si>
    <t>SA-1</t>
    <phoneticPr fontId="1" type="noConversion"/>
  </si>
  <si>
    <t>SA-2</t>
  </si>
  <si>
    <t>SA-3</t>
  </si>
  <si>
    <t>SA-4</t>
  </si>
  <si>
    <t>SA-5</t>
  </si>
  <si>
    <t>SA-6</t>
  </si>
  <si>
    <t>SA-7</t>
  </si>
  <si>
    <t>SA-8</t>
  </si>
  <si>
    <t>SA-9</t>
  </si>
  <si>
    <t>SA-10</t>
  </si>
  <si>
    <t>SA-11</t>
  </si>
  <si>
    <t>SA-12</t>
  </si>
  <si>
    <t>SA-13</t>
  </si>
  <si>
    <t>SA-14</t>
  </si>
  <si>
    <t>SA-15</t>
  </si>
  <si>
    <t>SA-16</t>
  </si>
  <si>
    <t>SA-17</t>
  </si>
  <si>
    <t>SA-18</t>
  </si>
  <si>
    <t>SA-19</t>
  </si>
  <si>
    <t>SA-20</t>
  </si>
  <si>
    <t>SA-21</t>
  </si>
  <si>
    <t>SA-22</t>
  </si>
  <si>
    <t>SA-23</t>
  </si>
  <si>
    <t>SA-24</t>
  </si>
  <si>
    <t>SA-25</t>
  </si>
  <si>
    <t>SA-26</t>
  </si>
  <si>
    <t>SA-27</t>
  </si>
  <si>
    <t>SA-28</t>
  </si>
  <si>
    <t>SA-29</t>
  </si>
  <si>
    <t>SA-30</t>
  </si>
  <si>
    <t>SA-31</t>
  </si>
  <si>
    <t>SA-32</t>
  </si>
  <si>
    <t>할인율</t>
    <phoneticPr fontId="1" type="noConversion"/>
  </si>
  <si>
    <t>이용횟수</t>
    <phoneticPr fontId="4" type="noConversion"/>
  </si>
  <si>
    <t>포인트</t>
    <phoneticPr fontId="4" type="noConversion"/>
  </si>
  <si>
    <t>적립금</t>
    <phoneticPr fontId="1" type="noConversion"/>
  </si>
  <si>
    <t>변경적립금</t>
    <phoneticPr fontId="1" type="noConversion"/>
  </si>
  <si>
    <t>적립률</t>
    <phoneticPr fontId="1" type="noConversion"/>
  </si>
  <si>
    <t>포인트 합계</t>
    <phoneticPr fontId="1" type="noConversion"/>
  </si>
  <si>
    <t>[표3]</t>
    <phoneticPr fontId="1" type="noConversion"/>
  </si>
  <si>
    <t>주문코드</t>
    <phoneticPr fontId="1" type="noConversion"/>
  </si>
  <si>
    <t>결제방법</t>
    <phoneticPr fontId="1" type="noConversion"/>
  </si>
  <si>
    <t>매출액</t>
    <phoneticPr fontId="1" type="noConversion"/>
  </si>
  <si>
    <t>할부기간</t>
    <phoneticPr fontId="1" type="noConversion"/>
  </si>
  <si>
    <t>주문방법</t>
    <phoneticPr fontId="1" type="noConversion"/>
  </si>
  <si>
    <t>결제수수료</t>
    <phoneticPr fontId="1" type="noConversion"/>
  </si>
  <si>
    <t>주문건수</t>
    <phoneticPr fontId="1" type="noConversion"/>
  </si>
  <si>
    <t>T001</t>
    <phoneticPr fontId="1" type="noConversion"/>
  </si>
  <si>
    <t>나라카드</t>
    <phoneticPr fontId="1" type="noConversion"/>
  </si>
  <si>
    <t>O002</t>
  </si>
  <si>
    <t>한국카드</t>
    <phoneticPr fontId="1" type="noConversion"/>
  </si>
  <si>
    <t>V006</t>
    <phoneticPr fontId="1" type="noConversion"/>
  </si>
  <si>
    <t>V003</t>
    <phoneticPr fontId="1" type="noConversion"/>
  </si>
  <si>
    <t>대한카드</t>
    <phoneticPr fontId="1" type="noConversion"/>
  </si>
  <si>
    <t>T004</t>
    <phoneticPr fontId="1" type="noConversion"/>
  </si>
  <si>
    <t>O005</t>
  </si>
  <si>
    <t>[표4]</t>
    <phoneticPr fontId="1" type="noConversion"/>
  </si>
  <si>
    <t>1위</t>
    <phoneticPr fontId="1" type="noConversion"/>
  </si>
  <si>
    <t>2위</t>
  </si>
  <si>
    <t>3위</t>
  </si>
  <si>
    <t>V002</t>
    <phoneticPr fontId="1" type="noConversion"/>
  </si>
  <si>
    <t>V005</t>
    <phoneticPr fontId="1" type="noConversion"/>
  </si>
  <si>
    <t>[표5]</t>
    <phoneticPr fontId="1" type="noConversion"/>
  </si>
  <si>
    <t>T007</t>
    <phoneticPr fontId="1" type="noConversion"/>
  </si>
  <si>
    <t>성명</t>
  </si>
  <si>
    <t>키</t>
  </si>
  <si>
    <t>몸무게</t>
  </si>
  <si>
    <t>체질량지수</t>
    <phoneticPr fontId="1" type="noConversion"/>
  </si>
  <si>
    <t>김문근</t>
    <phoneticPr fontId="1" type="noConversion"/>
  </si>
  <si>
    <t>백미화</t>
    <phoneticPr fontId="1" type="noConversion"/>
  </si>
  <si>
    <t>위견</t>
    <phoneticPr fontId="1" type="noConversion"/>
  </si>
  <si>
    <t>O003</t>
  </si>
  <si>
    <t>유명상</t>
    <phoneticPr fontId="1" type="noConversion"/>
  </si>
  <si>
    <t>박형선</t>
    <phoneticPr fontId="1" type="noConversion"/>
  </si>
  <si>
    <t>T005</t>
    <phoneticPr fontId="1" type="noConversion"/>
  </si>
  <si>
    <t>차준호</t>
    <phoneticPr fontId="1" type="noConversion"/>
  </si>
  <si>
    <t>최태웅</t>
    <phoneticPr fontId="1" type="noConversion"/>
  </si>
  <si>
    <t>윤지은</t>
    <phoneticPr fontId="1" type="noConversion"/>
  </si>
  <si>
    <t>V007</t>
    <phoneticPr fontId="1" type="noConversion"/>
  </si>
  <si>
    <t>위성신</t>
    <phoneticPr fontId="1" type="noConversion"/>
  </si>
  <si>
    <t>[표2] 할부기간별 수수료율</t>
    <phoneticPr fontId="1" type="noConversion"/>
  </si>
  <si>
    <t>기타카드</t>
    <phoneticPr fontId="1" type="noConversion"/>
  </si>
  <si>
    <t>990516-2123456</t>
    <phoneticPr fontId="1" type="noConversion"/>
  </si>
  <si>
    <t>980205-1123456</t>
    <phoneticPr fontId="1" type="noConversion"/>
  </si>
  <si>
    <t>970303-1123456</t>
    <phoneticPr fontId="1" type="noConversion"/>
  </si>
  <si>
    <t>000110-3123456</t>
    <phoneticPr fontId="1" type="noConversion"/>
  </si>
  <si>
    <t>930912-2123456</t>
    <phoneticPr fontId="1" type="noConversion"/>
  </si>
  <si>
    <t>881101-1123456</t>
    <phoneticPr fontId="1" type="noConversion"/>
  </si>
  <si>
    <t>010109-3123456</t>
    <phoneticPr fontId="1" type="noConversion"/>
  </si>
  <si>
    <t>020326-3123456</t>
    <phoneticPr fontId="1" type="noConversion"/>
  </si>
  <si>
    <t>920912-2123456</t>
    <phoneticPr fontId="1" type="noConversion"/>
  </si>
  <si>
    <t>991001-1123456</t>
    <phoneticPr fontId="1" type="noConversion"/>
  </si>
  <si>
    <t>720716-1123456</t>
    <phoneticPr fontId="1" type="noConversion"/>
  </si>
  <si>
    <t>890101-2123456</t>
    <phoneticPr fontId="1" type="noConversion"/>
  </si>
  <si>
    <t>711201-2123456</t>
    <phoneticPr fontId="1" type="noConversion"/>
  </si>
  <si>
    <t>850617-2123456</t>
    <phoneticPr fontId="1" type="noConversion"/>
  </si>
  <si>
    <t>901111-1123456</t>
    <phoneticPr fontId="1" type="noConversion"/>
  </si>
  <si>
    <t>951010-1123456</t>
    <phoneticPr fontId="1" type="noConversion"/>
  </si>
  <si>
    <t>911224-1123456</t>
    <phoneticPr fontId="1" type="noConversion"/>
  </si>
  <si>
    <t>990725-2123456</t>
    <phoneticPr fontId="1" type="noConversion"/>
  </si>
  <si>
    <t>830403-1123456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</si>
</sst>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yyyy\-mm\-dd"/>
    <numFmt numFmtId="177" formatCode="0\ \~"/>
    <numFmt numFmtId="178" formatCode="0.0%"/>
    <numFmt numFmtId="179" formatCode="0&quot;개월 이상&quot;"/>
    <numFmt numFmtId="180" formatCode="0&quot;개월 미만&quot;"/>
  </numFmts>
  <fonts count="1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5"/>
      <color indexed="9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b/>
      <sz val="11"/>
      <color indexed="28"/>
      <name val="맑은 고딕"/>
      <family val="3"/>
      <charset val="129"/>
      <scheme val="minor"/>
    </font>
    <font>
      <sz val="11"/>
      <color indexed="63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0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6" fillId="0" borderId="0"/>
    <xf numFmtId="0" fontId="6" fillId="0" borderId="0"/>
    <xf numFmtId="9" fontId="2" fillId="0" borderId="0" applyFont="0" applyFill="0" applyBorder="0" applyAlignment="0" applyProtection="0">
      <alignment vertical="center"/>
    </xf>
    <xf numFmtId="0" fontId="12" fillId="0" borderId="0"/>
  </cellStyleXfs>
  <cellXfs count="54">
    <xf numFmtId="0" fontId="0" fillId="0" borderId="0" xfId="0">
      <alignment vertical="center"/>
    </xf>
    <xf numFmtId="0" fontId="5" fillId="0" borderId="0" xfId="0" applyFont="1" applyAlignment="1">
      <alignment vertical="center"/>
    </xf>
    <xf numFmtId="0" fontId="7" fillId="0" borderId="1" xfId="2" applyFont="1" applyFill="1" applyBorder="1" applyAlignment="1">
      <alignment horizontal="center" vertical="center"/>
    </xf>
    <xf numFmtId="14" fontId="7" fillId="0" borderId="1" xfId="2" applyNumberFormat="1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41" fontId="7" fillId="0" borderId="1" xfId="1" applyFont="1" applyFill="1" applyBorder="1" applyAlignment="1">
      <alignment horizontal="left" vertical="center"/>
    </xf>
    <xf numFmtId="0" fontId="3" fillId="2" borderId="0" xfId="0" applyFont="1" applyFill="1" applyAlignment="1">
      <alignment vertical="center"/>
    </xf>
    <xf numFmtId="41" fontId="7" fillId="0" borderId="1" xfId="1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3" fontId="8" fillId="5" borderId="1" xfId="0" applyNumberFormat="1" applyFont="1" applyFill="1" applyBorder="1" applyAlignment="1">
      <alignment horizontal="right" vertical="center" wrapText="1"/>
    </xf>
    <xf numFmtId="49" fontId="10" fillId="5" borderId="1" xfId="0" applyNumberFormat="1" applyFont="1" applyFill="1" applyBorder="1" applyAlignment="1">
      <alignment horizontal="left" vertical="center" wrapText="1"/>
    </xf>
    <xf numFmtId="3" fontId="11" fillId="5" borderId="1" xfId="0" applyNumberFormat="1" applyFont="1" applyFill="1" applyBorder="1" applyAlignment="1">
      <alignment horizontal="right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7" fillId="0" borderId="0" xfId="3" applyFont="1" applyAlignment="1">
      <alignment vertical="center"/>
    </xf>
    <xf numFmtId="0" fontId="7" fillId="0" borderId="1" xfId="3" applyFont="1" applyBorder="1" applyAlignment="1">
      <alignment horizontal="center" vertical="center"/>
    </xf>
    <xf numFmtId="14" fontId="7" fillId="0" borderId="1" xfId="3" applyNumberFormat="1" applyFont="1" applyBorder="1" applyAlignment="1">
      <alignment vertical="center"/>
    </xf>
    <xf numFmtId="0" fontId="7" fillId="0" borderId="1" xfId="3" applyFont="1" applyBorder="1" applyAlignment="1">
      <alignment vertical="center"/>
    </xf>
    <xf numFmtId="41" fontId="7" fillId="0" borderId="1" xfId="1" applyFont="1" applyBorder="1" applyAlignment="1">
      <alignment vertical="center"/>
    </xf>
    <xf numFmtId="0" fontId="7" fillId="0" borderId="1" xfId="1" applyNumberFormat="1" applyFont="1" applyFill="1" applyBorder="1" applyAlignment="1">
      <alignment horizontal="right" vertical="center"/>
    </xf>
    <xf numFmtId="0" fontId="10" fillId="3" borderId="1" xfId="0" applyFont="1" applyFill="1" applyBorder="1" applyAlignment="1">
      <alignment horizontal="center" vertical="center" wrapText="1"/>
    </xf>
    <xf numFmtId="0" fontId="7" fillId="6" borderId="1" xfId="2" applyFont="1" applyFill="1" applyBorder="1" applyAlignment="1">
      <alignment horizontal="center" vertical="center"/>
    </xf>
    <xf numFmtId="0" fontId="7" fillId="0" borderId="1" xfId="2" applyFont="1" applyBorder="1" applyAlignment="1">
      <alignment horizontal="center" vertical="center"/>
    </xf>
    <xf numFmtId="176" fontId="7" fillId="0" borderId="1" xfId="2" applyNumberFormat="1" applyFont="1" applyBorder="1" applyAlignment="1">
      <alignment horizontal="center" vertical="center"/>
    </xf>
    <xf numFmtId="41" fontId="7" fillId="0" borderId="1" xfId="2" applyNumberFormat="1" applyFont="1" applyBorder="1" applyAlignment="1">
      <alignment horizontal="center" vertical="center"/>
    </xf>
    <xf numFmtId="0" fontId="7" fillId="3" borderId="1" xfId="2" applyFont="1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9" fontId="0" fillId="0" borderId="1" xfId="0" applyNumberFormat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5" fillId="0" borderId="1" xfId="1" applyFont="1" applyBorder="1" applyAlignment="1">
      <alignment vertical="center"/>
    </xf>
    <xf numFmtId="41" fontId="5" fillId="0" borderId="1" xfId="1" applyFont="1" applyBorder="1">
      <alignment vertical="center"/>
    </xf>
    <xf numFmtId="3" fontId="0" fillId="0" borderId="1" xfId="0" applyNumberFormat="1" applyBorder="1" applyAlignment="1">
      <alignment horizontal="right" vertical="center"/>
    </xf>
    <xf numFmtId="3" fontId="0" fillId="0" borderId="0" xfId="0" applyNumberFormat="1" applyAlignment="1">
      <alignment horizontal="right" vertical="center"/>
    </xf>
    <xf numFmtId="177" fontId="0" fillId="0" borderId="1" xfId="1" applyNumberFormat="1" applyFont="1" applyBorder="1">
      <alignment vertical="center"/>
    </xf>
    <xf numFmtId="0" fontId="0" fillId="0" borderId="1" xfId="0" applyBorder="1">
      <alignment vertical="center"/>
    </xf>
    <xf numFmtId="41" fontId="0" fillId="6" borderId="1" xfId="1" applyFont="1" applyFill="1" applyBorder="1" applyAlignment="1">
      <alignment horizontal="center" vertical="center"/>
    </xf>
    <xf numFmtId="41" fontId="5" fillId="0" borderId="1" xfId="1" applyFont="1" applyBorder="1" applyAlignment="1">
      <alignment horizontal="center" vertical="center"/>
    </xf>
    <xf numFmtId="0" fontId="13" fillId="7" borderId="1" xfId="5" applyFont="1" applyFill="1" applyBorder="1" applyAlignment="1">
      <alignment horizontal="center"/>
    </xf>
    <xf numFmtId="0" fontId="13" fillId="0" borderId="1" xfId="5" applyFont="1" applyBorder="1" applyAlignment="1">
      <alignment horizontal="center" wrapText="1"/>
    </xf>
    <xf numFmtId="178" fontId="0" fillId="0" borderId="1" xfId="4" applyNumberFormat="1" applyFont="1" applyBorder="1">
      <alignment vertical="center"/>
    </xf>
    <xf numFmtId="0" fontId="5" fillId="0" borderId="0" xfId="0" applyFont="1">
      <alignment vertical="center"/>
    </xf>
    <xf numFmtId="9" fontId="5" fillId="0" borderId="0" xfId="0" applyNumberFormat="1" applyFont="1">
      <alignment vertical="center"/>
    </xf>
    <xf numFmtId="0" fontId="5" fillId="0" borderId="1" xfId="0" applyFont="1" applyBorder="1" applyAlignment="1">
      <alignment horizontal="center" vertical="center"/>
    </xf>
    <xf numFmtId="179" fontId="5" fillId="0" borderId="1" xfId="0" applyNumberFormat="1" applyFont="1" applyBorder="1" applyAlignment="1">
      <alignment horizontal="center" vertical="center"/>
    </xf>
    <xf numFmtId="180" fontId="5" fillId="0" borderId="1" xfId="0" applyNumberFormat="1" applyFont="1" applyBorder="1" applyAlignment="1">
      <alignment horizontal="center" vertical="center"/>
    </xf>
    <xf numFmtId="9" fontId="5" fillId="0" borderId="1" xfId="0" applyNumberFormat="1" applyFont="1" applyBorder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7" fillId="0" borderId="2" xfId="2" applyFont="1" applyBorder="1" applyAlignment="1">
      <alignment horizontal="center" vertical="center"/>
    </xf>
    <xf numFmtId="0" fontId="7" fillId="0" borderId="3" xfId="2" applyFont="1" applyBorder="1" applyAlignment="1">
      <alignment horizontal="center" vertical="center"/>
    </xf>
    <xf numFmtId="0" fontId="7" fillId="0" borderId="4" xfId="2" applyFont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</cellXfs>
  <cellStyles count="6">
    <cellStyle name="백분율" xfId="4" builtinId="5"/>
    <cellStyle name="쉼표 [0]" xfId="1" builtinId="6"/>
    <cellStyle name="표준" xfId="0" builtinId="0"/>
    <cellStyle name="표준_Sheet2" xfId="5" xr:uid="{828806BE-CB28-40BD-89FF-43372F534FBD}"/>
    <cellStyle name="표준_데이터베이스함수" xfId="2" xr:uid="{00000000-0005-0000-0000-000002000000}"/>
    <cellStyle name="표준_합격다지기5회(정답)" xfId="3" xr:uid="{00000000-0005-0000-0000-000003000000}"/>
  </cellStyles>
  <dxfs count="2">
    <dxf>
      <font>
        <b/>
        <i/>
        <condense val="0"/>
        <extend val="0"/>
        <color indexed="10"/>
      </font>
    </dxf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'기타작업-1'!$B$4</c:f>
              <c:strCache>
                <c:ptCount val="1"/>
                <c:pt idx="0">
                  <c:v>KR도메인수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'기타작업-1'!$C$3:$H$3</c:f>
              <c:numCache>
                <c:formatCode>General</c:formatCode>
                <c:ptCount val="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numCache>
            </c:numRef>
          </c:cat>
          <c:val>
            <c:numRef>
              <c:f>'기타작업-1'!$C$4:$H$4</c:f>
              <c:numCache>
                <c:formatCode>#,##0</c:formatCode>
                <c:ptCount val="6"/>
                <c:pt idx="0">
                  <c:v>590800</c:v>
                </c:pt>
                <c:pt idx="1">
                  <c:v>642770</c:v>
                </c:pt>
                <c:pt idx="2">
                  <c:v>705775</c:v>
                </c:pt>
                <c:pt idx="3">
                  <c:v>930485</c:v>
                </c:pt>
                <c:pt idx="4">
                  <c:v>1001206</c:v>
                </c:pt>
                <c:pt idx="5">
                  <c:v>1004115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EF-4EEB-9F65-062691BBEBA1}"/>
            </c:ext>
          </c:extLst>
        </c:ser>
        <c:ser>
          <c:idx val="2"/>
          <c:order val="1"/>
          <c:tx>
            <c:strRef>
              <c:f>'기타작업-1'!$B$5</c:f>
              <c:strCache>
                <c:ptCount val="1"/>
                <c:pt idx="0">
                  <c:v>증감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'기타작업-1'!$C$3:$H$3</c:f>
              <c:numCache>
                <c:formatCode>General</c:formatCode>
                <c:ptCount val="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numCache>
            </c:numRef>
          </c:cat>
          <c:val>
            <c:numRef>
              <c:f>'기타작업-1'!$C$5:$H$5</c:f>
              <c:numCache>
                <c:formatCode>#,##0</c:formatCode>
                <c:ptCount val="6"/>
                <c:pt idx="0">
                  <c:v>-20748</c:v>
                </c:pt>
                <c:pt idx="1">
                  <c:v>51970</c:v>
                </c:pt>
                <c:pt idx="2">
                  <c:v>63005</c:v>
                </c:pt>
                <c:pt idx="3">
                  <c:v>224710</c:v>
                </c:pt>
                <c:pt idx="4">
                  <c:v>70721</c:v>
                </c:pt>
                <c:pt idx="5">
                  <c:v>2909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9EF-4EEB-9F65-062691BBEB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396791840"/>
        <c:axId val="396792256"/>
      </c:barChart>
      <c:catAx>
        <c:axId val="396791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96792256"/>
        <c:crosses val="autoZero"/>
        <c:auto val="1"/>
        <c:lblAlgn val="ctr"/>
        <c:lblOffset val="100"/>
        <c:noMultiLvlLbl val="0"/>
      </c:catAx>
      <c:valAx>
        <c:axId val="39679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96791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0</xdr:rowOff>
    </xdr:from>
    <xdr:to>
      <xdr:col>8</xdr:col>
      <xdr:colOff>0</xdr:colOff>
      <xdr:row>26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6350</xdr:colOff>
          <xdr:row>0</xdr:row>
          <xdr:rowOff>196850</xdr:rowOff>
        </xdr:from>
        <xdr:to>
          <xdr:col>6</xdr:col>
          <xdr:colOff>0</xdr:colOff>
          <xdr:row>2</xdr:row>
          <xdr:rowOff>152400</xdr:rowOff>
        </xdr:to>
        <xdr:sp macro="" textlink="">
          <xdr:nvSpPr>
            <xdr:cNvPr id="8193" name="cmd요금계산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F28"/>
  <sheetViews>
    <sheetView tabSelected="1" workbookViewId="0"/>
  </sheetViews>
  <sheetFormatPr defaultRowHeight="17"/>
  <cols>
    <col min="1" max="1" width="12.5" customWidth="1"/>
    <col min="2" max="4" width="10.5" customWidth="1"/>
    <col min="5" max="5" width="16.9140625" customWidth="1"/>
    <col min="6" max="6" width="14.58203125" customWidth="1"/>
  </cols>
  <sheetData>
    <row r="1" spans="1:6" ht="23">
      <c r="A1" s="6" t="s">
        <v>0</v>
      </c>
      <c r="B1" s="47" t="s">
        <v>1</v>
      </c>
      <c r="C1" s="47"/>
      <c r="D1" s="47"/>
      <c r="E1" s="47"/>
      <c r="F1" s="47"/>
    </row>
    <row r="2" spans="1:6">
      <c r="A2" s="1"/>
      <c r="B2" s="1"/>
      <c r="C2" s="1"/>
      <c r="D2" s="1"/>
      <c r="E2" s="1"/>
      <c r="F2" s="1"/>
    </row>
    <row r="3" spans="1:6">
      <c r="A3" s="2" t="s">
        <v>2</v>
      </c>
      <c r="B3" s="2" t="s">
        <v>3</v>
      </c>
      <c r="C3" s="2" t="s">
        <v>4</v>
      </c>
      <c r="D3" s="2" t="s">
        <v>5</v>
      </c>
      <c r="E3" s="2" t="s">
        <v>6</v>
      </c>
      <c r="F3" s="2" t="s">
        <v>7</v>
      </c>
    </row>
    <row r="4" spans="1:6">
      <c r="A4" s="3">
        <v>41978</v>
      </c>
      <c r="B4" s="4" t="s">
        <v>8</v>
      </c>
      <c r="C4" s="2" t="s">
        <v>9</v>
      </c>
      <c r="D4" s="2" t="s">
        <v>10</v>
      </c>
      <c r="E4" s="2" t="s">
        <v>11</v>
      </c>
      <c r="F4" s="5">
        <v>38500000</v>
      </c>
    </row>
    <row r="5" spans="1:6">
      <c r="A5" s="3">
        <v>42709</v>
      </c>
      <c r="B5" s="4" t="s">
        <v>12</v>
      </c>
      <c r="C5" s="2" t="s">
        <v>13</v>
      </c>
      <c r="D5" s="2" t="s">
        <v>14</v>
      </c>
      <c r="E5" s="2" t="s">
        <v>200</v>
      </c>
      <c r="F5" s="5">
        <v>30100000</v>
      </c>
    </row>
    <row r="6" spans="1:6">
      <c r="A6" s="3">
        <v>42337</v>
      </c>
      <c r="B6" s="4" t="s">
        <v>15</v>
      </c>
      <c r="C6" s="2" t="s">
        <v>13</v>
      </c>
      <c r="D6" s="2" t="s">
        <v>10</v>
      </c>
      <c r="E6" s="2" t="s">
        <v>201</v>
      </c>
      <c r="F6" s="5">
        <v>37200000</v>
      </c>
    </row>
    <row r="7" spans="1:6">
      <c r="A7" s="3">
        <v>44906</v>
      </c>
      <c r="B7" s="4" t="s">
        <v>16</v>
      </c>
      <c r="C7" s="2" t="s">
        <v>17</v>
      </c>
      <c r="D7" s="2" t="s">
        <v>18</v>
      </c>
      <c r="E7" s="2" t="s">
        <v>202</v>
      </c>
      <c r="F7" s="5">
        <v>26600000</v>
      </c>
    </row>
    <row r="8" spans="1:6">
      <c r="A8" s="3">
        <v>45265</v>
      </c>
      <c r="B8" s="4" t="s">
        <v>19</v>
      </c>
      <c r="C8" s="2" t="s">
        <v>20</v>
      </c>
      <c r="D8" s="2" t="s">
        <v>18</v>
      </c>
      <c r="E8" s="2" t="s">
        <v>203</v>
      </c>
      <c r="F8" s="5">
        <v>27800000</v>
      </c>
    </row>
    <row r="9" spans="1:6">
      <c r="A9" s="3">
        <v>44179</v>
      </c>
      <c r="B9" s="4" t="s">
        <v>21</v>
      </c>
      <c r="C9" s="2" t="s">
        <v>17</v>
      </c>
      <c r="D9" s="2" t="s">
        <v>18</v>
      </c>
      <c r="E9" s="2" t="s">
        <v>205</v>
      </c>
      <c r="F9" s="5">
        <v>27400000</v>
      </c>
    </row>
    <row r="10" spans="1:6">
      <c r="A10" s="3">
        <v>43431</v>
      </c>
      <c r="B10" s="4" t="s">
        <v>22</v>
      </c>
      <c r="C10" s="2" t="s">
        <v>20</v>
      </c>
      <c r="D10" s="2" t="s">
        <v>14</v>
      </c>
      <c r="E10" s="2" t="s">
        <v>204</v>
      </c>
      <c r="F10" s="5">
        <v>33500000</v>
      </c>
    </row>
    <row r="11" spans="1:6">
      <c r="A11" s="3">
        <v>33946</v>
      </c>
      <c r="B11" s="4" t="s">
        <v>23</v>
      </c>
      <c r="C11" s="2" t="s">
        <v>20</v>
      </c>
      <c r="D11" s="2" t="s">
        <v>10</v>
      </c>
      <c r="E11" s="2" t="s">
        <v>206</v>
      </c>
      <c r="F11" s="5">
        <v>35800000</v>
      </c>
    </row>
    <row r="12" spans="1:6">
      <c r="A12" s="3">
        <v>37577</v>
      </c>
      <c r="B12" s="4" t="s">
        <v>24</v>
      </c>
      <c r="C12" s="2" t="s">
        <v>17</v>
      </c>
      <c r="D12" s="2" t="s">
        <v>25</v>
      </c>
      <c r="E12" s="2" t="s">
        <v>26</v>
      </c>
      <c r="F12" s="5">
        <v>45300000</v>
      </c>
    </row>
    <row r="13" spans="1:6">
      <c r="A13" s="3">
        <v>43790</v>
      </c>
      <c r="B13" s="4" t="s">
        <v>27</v>
      </c>
      <c r="C13" s="2" t="s">
        <v>20</v>
      </c>
      <c r="D13" s="2" t="s">
        <v>14</v>
      </c>
      <c r="E13" s="2" t="s">
        <v>207</v>
      </c>
      <c r="F13" s="5">
        <v>29900000</v>
      </c>
    </row>
    <row r="14" spans="1:6">
      <c r="A14" s="3">
        <v>45257</v>
      </c>
      <c r="B14" s="4" t="s">
        <v>28</v>
      </c>
      <c r="C14" s="2" t="s">
        <v>9</v>
      </c>
      <c r="D14" s="2" t="s">
        <v>18</v>
      </c>
      <c r="E14" s="2" t="s">
        <v>199</v>
      </c>
      <c r="F14" s="5">
        <v>29300000</v>
      </c>
    </row>
    <row r="15" spans="1:6">
      <c r="A15" s="3">
        <v>36142</v>
      </c>
      <c r="B15" s="4" t="s">
        <v>29</v>
      </c>
      <c r="C15" s="2" t="s">
        <v>13</v>
      </c>
      <c r="D15" s="2" t="s">
        <v>25</v>
      </c>
      <c r="E15" s="2" t="s">
        <v>30</v>
      </c>
      <c r="F15" s="5">
        <v>46200000</v>
      </c>
    </row>
    <row r="16" spans="1:6">
      <c r="A16" s="3">
        <v>43045</v>
      </c>
      <c r="B16" s="4" t="s">
        <v>31</v>
      </c>
      <c r="C16" s="2" t="s">
        <v>20</v>
      </c>
      <c r="D16" s="2" t="s">
        <v>10</v>
      </c>
      <c r="E16" s="2" t="s">
        <v>208</v>
      </c>
      <c r="F16" s="5">
        <v>38100000</v>
      </c>
    </row>
    <row r="17" spans="1:6">
      <c r="A17" s="3">
        <v>36503</v>
      </c>
      <c r="B17" s="4" t="s">
        <v>32</v>
      </c>
      <c r="C17" s="2" t="s">
        <v>9</v>
      </c>
      <c r="D17" s="2" t="s">
        <v>25</v>
      </c>
      <c r="E17" s="2" t="s">
        <v>33</v>
      </c>
      <c r="F17" s="5">
        <v>33400000</v>
      </c>
    </row>
    <row r="18" spans="1:6">
      <c r="A18" s="3">
        <v>43795</v>
      </c>
      <c r="B18" s="4" t="s">
        <v>34</v>
      </c>
      <c r="C18" s="2" t="s">
        <v>9</v>
      </c>
      <c r="D18" s="2" t="s">
        <v>14</v>
      </c>
      <c r="E18" s="2" t="s">
        <v>35</v>
      </c>
      <c r="F18" s="5">
        <v>31300000</v>
      </c>
    </row>
    <row r="19" spans="1:6">
      <c r="A19" s="3">
        <v>40875</v>
      </c>
      <c r="B19" s="4" t="s">
        <v>36</v>
      </c>
      <c r="C19" s="2" t="s">
        <v>9</v>
      </c>
      <c r="D19" s="2" t="s">
        <v>10</v>
      </c>
      <c r="E19" s="2" t="s">
        <v>209</v>
      </c>
      <c r="F19" s="5">
        <v>35900000</v>
      </c>
    </row>
    <row r="20" spans="1:6">
      <c r="A20" s="3">
        <v>43079</v>
      </c>
      <c r="B20" s="4" t="s">
        <v>37</v>
      </c>
      <c r="C20" s="2" t="s">
        <v>20</v>
      </c>
      <c r="D20" s="2" t="s">
        <v>14</v>
      </c>
      <c r="E20" s="2" t="s">
        <v>210</v>
      </c>
      <c r="F20" s="5">
        <v>30500000</v>
      </c>
    </row>
    <row r="21" spans="1:6">
      <c r="A21" s="3">
        <v>38329</v>
      </c>
      <c r="B21" s="4" t="s">
        <v>38</v>
      </c>
      <c r="C21" s="2" t="s">
        <v>20</v>
      </c>
      <c r="D21" s="2" t="s">
        <v>25</v>
      </c>
      <c r="E21" s="2" t="s">
        <v>39</v>
      </c>
      <c r="F21" s="5">
        <v>43500000</v>
      </c>
    </row>
    <row r="22" spans="1:6">
      <c r="A22" s="3">
        <v>44902</v>
      </c>
      <c r="B22" s="4" t="s">
        <v>40</v>
      </c>
      <c r="C22" s="2" t="s">
        <v>9</v>
      </c>
      <c r="D22" s="2" t="s">
        <v>14</v>
      </c>
      <c r="E22" s="2" t="s">
        <v>211</v>
      </c>
      <c r="F22" s="5">
        <v>31600000</v>
      </c>
    </row>
    <row r="23" spans="1:6">
      <c r="A23" s="3">
        <v>45259</v>
      </c>
      <c r="B23" s="4" t="s">
        <v>41</v>
      </c>
      <c r="C23" s="2" t="s">
        <v>20</v>
      </c>
      <c r="D23" s="2" t="s">
        <v>18</v>
      </c>
      <c r="E23" s="2" t="s">
        <v>198</v>
      </c>
      <c r="F23" s="5">
        <v>31600000</v>
      </c>
    </row>
    <row r="24" spans="1:6">
      <c r="A24" s="3">
        <v>44533</v>
      </c>
      <c r="B24" s="4" t="s">
        <v>42</v>
      </c>
      <c r="C24" s="2" t="s">
        <v>17</v>
      </c>
      <c r="D24" s="2" t="s">
        <v>14</v>
      </c>
      <c r="E24" s="2" t="s">
        <v>212</v>
      </c>
      <c r="F24" s="5">
        <v>29500000</v>
      </c>
    </row>
    <row r="25" spans="1:6">
      <c r="A25" s="3">
        <v>45266</v>
      </c>
      <c r="B25" s="4" t="s">
        <v>43</v>
      </c>
      <c r="C25" s="2" t="s">
        <v>17</v>
      </c>
      <c r="D25" s="2" t="s">
        <v>18</v>
      </c>
      <c r="E25" s="2" t="s">
        <v>213</v>
      </c>
      <c r="F25" s="5">
        <v>28300000</v>
      </c>
    </row>
    <row r="26" spans="1:6">
      <c r="A26" s="3">
        <v>41250</v>
      </c>
      <c r="B26" s="4" t="s">
        <v>44</v>
      </c>
      <c r="C26" s="2" t="s">
        <v>13</v>
      </c>
      <c r="D26" s="2" t="s">
        <v>10</v>
      </c>
      <c r="E26" s="2" t="s">
        <v>214</v>
      </c>
      <c r="F26" s="5">
        <v>36200000</v>
      </c>
    </row>
    <row r="27" spans="1:6">
      <c r="A27" s="3">
        <v>44899</v>
      </c>
      <c r="B27" s="4" t="s">
        <v>45</v>
      </c>
      <c r="C27" s="2" t="s">
        <v>20</v>
      </c>
      <c r="D27" s="2" t="s">
        <v>18</v>
      </c>
      <c r="E27" s="2" t="s">
        <v>196</v>
      </c>
      <c r="F27" s="5">
        <v>27500000</v>
      </c>
    </row>
    <row r="28" spans="1:6">
      <c r="A28" s="3">
        <v>45246</v>
      </c>
      <c r="B28" s="4" t="s">
        <v>46</v>
      </c>
      <c r="C28" s="2" t="s">
        <v>9</v>
      </c>
      <c r="D28" s="2" t="s">
        <v>18</v>
      </c>
      <c r="E28" s="2" t="s">
        <v>197</v>
      </c>
      <c r="F28" s="5">
        <v>26900000</v>
      </c>
    </row>
  </sheetData>
  <mergeCells count="1">
    <mergeCell ref="B1:F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F28"/>
  <sheetViews>
    <sheetView workbookViewId="0"/>
  </sheetViews>
  <sheetFormatPr defaultRowHeight="17"/>
  <cols>
    <col min="1" max="1" width="12.5" customWidth="1"/>
    <col min="2" max="4" width="10.5" customWidth="1"/>
    <col min="5" max="5" width="16.9140625" customWidth="1"/>
    <col min="6" max="6" width="14.58203125" customWidth="1"/>
  </cols>
  <sheetData>
    <row r="1" spans="1:6" ht="23">
      <c r="A1" s="6" t="s">
        <v>0</v>
      </c>
      <c r="B1" s="47" t="s">
        <v>1</v>
      </c>
      <c r="C1" s="47"/>
      <c r="D1" s="47"/>
      <c r="E1" s="47"/>
      <c r="F1" s="47"/>
    </row>
    <row r="2" spans="1:6">
      <c r="A2" s="1"/>
      <c r="B2" s="1"/>
      <c r="C2" s="1"/>
      <c r="D2" s="1"/>
      <c r="E2" s="1"/>
      <c r="F2" s="1"/>
    </row>
    <row r="3" spans="1:6">
      <c r="A3" s="2" t="s">
        <v>2</v>
      </c>
      <c r="B3" s="2" t="s">
        <v>3</v>
      </c>
      <c r="C3" s="2" t="s">
        <v>4</v>
      </c>
      <c r="D3" s="2" t="s">
        <v>5</v>
      </c>
      <c r="E3" s="2" t="s">
        <v>6</v>
      </c>
      <c r="F3" s="2" t="s">
        <v>7</v>
      </c>
    </row>
    <row r="4" spans="1:6">
      <c r="A4" s="3">
        <v>41978</v>
      </c>
      <c r="B4" s="4" t="s">
        <v>8</v>
      </c>
      <c r="C4" s="2" t="s">
        <v>9</v>
      </c>
      <c r="D4" s="2" t="s">
        <v>10</v>
      </c>
      <c r="E4" s="2" t="s">
        <v>11</v>
      </c>
      <c r="F4" s="5">
        <v>38500000</v>
      </c>
    </row>
    <row r="5" spans="1:6">
      <c r="A5" s="3">
        <v>42709</v>
      </c>
      <c r="B5" s="4" t="s">
        <v>12</v>
      </c>
      <c r="C5" s="2" t="s">
        <v>13</v>
      </c>
      <c r="D5" s="2" t="s">
        <v>14</v>
      </c>
      <c r="E5" s="2" t="s">
        <v>200</v>
      </c>
      <c r="F5" s="5">
        <v>30100000</v>
      </c>
    </row>
    <row r="6" spans="1:6">
      <c r="A6" s="3">
        <v>42337</v>
      </c>
      <c r="B6" s="4" t="s">
        <v>15</v>
      </c>
      <c r="C6" s="2" t="s">
        <v>13</v>
      </c>
      <c r="D6" s="2" t="s">
        <v>10</v>
      </c>
      <c r="E6" s="2" t="s">
        <v>201</v>
      </c>
      <c r="F6" s="5">
        <v>37200000</v>
      </c>
    </row>
    <row r="7" spans="1:6">
      <c r="A7" s="3">
        <v>44906</v>
      </c>
      <c r="B7" s="4" t="s">
        <v>16</v>
      </c>
      <c r="C7" s="2" t="s">
        <v>13</v>
      </c>
      <c r="D7" s="2" t="s">
        <v>18</v>
      </c>
      <c r="E7" s="2" t="s">
        <v>202</v>
      </c>
      <c r="F7" s="5">
        <v>26600000</v>
      </c>
    </row>
    <row r="8" spans="1:6">
      <c r="A8" s="3">
        <v>45265</v>
      </c>
      <c r="B8" s="4" t="s">
        <v>19</v>
      </c>
      <c r="C8" s="2" t="s">
        <v>20</v>
      </c>
      <c r="D8" s="2" t="s">
        <v>18</v>
      </c>
      <c r="E8" s="2" t="s">
        <v>203</v>
      </c>
      <c r="F8" s="5">
        <v>27800000</v>
      </c>
    </row>
    <row r="9" spans="1:6">
      <c r="A9" s="3">
        <v>44179</v>
      </c>
      <c r="B9" s="4" t="s">
        <v>21</v>
      </c>
      <c r="C9" s="2" t="s">
        <v>13</v>
      </c>
      <c r="D9" s="2" t="s">
        <v>18</v>
      </c>
      <c r="E9" s="2" t="s">
        <v>205</v>
      </c>
      <c r="F9" s="5">
        <v>27400000</v>
      </c>
    </row>
    <row r="10" spans="1:6">
      <c r="A10" s="3">
        <v>43431</v>
      </c>
      <c r="B10" s="4" t="s">
        <v>22</v>
      </c>
      <c r="C10" s="2" t="s">
        <v>20</v>
      </c>
      <c r="D10" s="2" t="s">
        <v>14</v>
      </c>
      <c r="E10" s="2" t="s">
        <v>204</v>
      </c>
      <c r="F10" s="5">
        <v>33500000</v>
      </c>
    </row>
    <row r="11" spans="1:6">
      <c r="A11" s="3">
        <v>33946</v>
      </c>
      <c r="B11" s="4" t="s">
        <v>23</v>
      </c>
      <c r="C11" s="2" t="s">
        <v>20</v>
      </c>
      <c r="D11" s="2" t="s">
        <v>10</v>
      </c>
      <c r="E11" s="2" t="s">
        <v>206</v>
      </c>
      <c r="F11" s="5">
        <v>35800000</v>
      </c>
    </row>
    <row r="12" spans="1:6">
      <c r="A12" s="3">
        <v>37577</v>
      </c>
      <c r="B12" s="4" t="s">
        <v>24</v>
      </c>
      <c r="C12" s="2" t="s">
        <v>13</v>
      </c>
      <c r="D12" s="2" t="s">
        <v>25</v>
      </c>
      <c r="E12" s="2" t="s">
        <v>26</v>
      </c>
      <c r="F12" s="5">
        <v>45300000</v>
      </c>
    </row>
    <row r="13" spans="1:6">
      <c r="A13" s="3">
        <v>43790</v>
      </c>
      <c r="B13" s="4" t="s">
        <v>27</v>
      </c>
      <c r="C13" s="2" t="s">
        <v>20</v>
      </c>
      <c r="D13" s="2" t="s">
        <v>14</v>
      </c>
      <c r="E13" s="2" t="s">
        <v>207</v>
      </c>
      <c r="F13" s="5">
        <v>29900000</v>
      </c>
    </row>
    <row r="14" spans="1:6">
      <c r="A14" s="3">
        <v>45257</v>
      </c>
      <c r="B14" s="4" t="s">
        <v>28</v>
      </c>
      <c r="C14" s="2" t="s">
        <v>9</v>
      </c>
      <c r="D14" s="2" t="s">
        <v>18</v>
      </c>
      <c r="E14" s="2" t="s">
        <v>199</v>
      </c>
      <c r="F14" s="5">
        <v>29300000</v>
      </c>
    </row>
    <row r="15" spans="1:6">
      <c r="A15" s="3">
        <v>36142</v>
      </c>
      <c r="B15" s="4" t="s">
        <v>29</v>
      </c>
      <c r="C15" s="2" t="s">
        <v>13</v>
      </c>
      <c r="D15" s="2" t="s">
        <v>25</v>
      </c>
      <c r="E15" s="2" t="s">
        <v>30</v>
      </c>
      <c r="F15" s="5">
        <v>46200000</v>
      </c>
    </row>
    <row r="16" spans="1:6">
      <c r="A16" s="3">
        <v>43045</v>
      </c>
      <c r="B16" s="4" t="s">
        <v>31</v>
      </c>
      <c r="C16" s="2" t="s">
        <v>20</v>
      </c>
      <c r="D16" s="2" t="s">
        <v>10</v>
      </c>
      <c r="E16" s="2" t="s">
        <v>208</v>
      </c>
      <c r="F16" s="5">
        <v>38100000</v>
      </c>
    </row>
    <row r="17" spans="1:6">
      <c r="A17" s="3">
        <v>36503</v>
      </c>
      <c r="B17" s="4" t="s">
        <v>32</v>
      </c>
      <c r="C17" s="2" t="s">
        <v>9</v>
      </c>
      <c r="D17" s="2" t="s">
        <v>25</v>
      </c>
      <c r="E17" s="2" t="s">
        <v>33</v>
      </c>
      <c r="F17" s="5">
        <v>33400000</v>
      </c>
    </row>
    <row r="18" spans="1:6">
      <c r="A18" s="3">
        <v>43795</v>
      </c>
      <c r="B18" s="4" t="s">
        <v>34</v>
      </c>
      <c r="C18" s="2" t="s">
        <v>9</v>
      </c>
      <c r="D18" s="2" t="s">
        <v>14</v>
      </c>
      <c r="E18" s="2" t="s">
        <v>35</v>
      </c>
      <c r="F18" s="5">
        <v>31300000</v>
      </c>
    </row>
    <row r="19" spans="1:6">
      <c r="A19" s="3">
        <v>40875</v>
      </c>
      <c r="B19" s="4" t="s">
        <v>36</v>
      </c>
      <c r="C19" s="2" t="s">
        <v>9</v>
      </c>
      <c r="D19" s="2" t="s">
        <v>10</v>
      </c>
      <c r="E19" s="2" t="s">
        <v>209</v>
      </c>
      <c r="F19" s="5">
        <v>35900000</v>
      </c>
    </row>
    <row r="20" spans="1:6">
      <c r="A20" s="3">
        <v>43079</v>
      </c>
      <c r="B20" s="4" t="s">
        <v>37</v>
      </c>
      <c r="C20" s="2" t="s">
        <v>20</v>
      </c>
      <c r="D20" s="2" t="s">
        <v>14</v>
      </c>
      <c r="E20" s="2" t="s">
        <v>210</v>
      </c>
      <c r="F20" s="5">
        <v>30500000</v>
      </c>
    </row>
    <row r="21" spans="1:6">
      <c r="A21" s="3">
        <v>38329</v>
      </c>
      <c r="B21" s="4" t="s">
        <v>38</v>
      </c>
      <c r="C21" s="2" t="s">
        <v>20</v>
      </c>
      <c r="D21" s="2" t="s">
        <v>25</v>
      </c>
      <c r="E21" s="2" t="s">
        <v>39</v>
      </c>
      <c r="F21" s="5">
        <v>43500000</v>
      </c>
    </row>
    <row r="22" spans="1:6">
      <c r="A22" s="3">
        <v>44902</v>
      </c>
      <c r="B22" s="4" t="s">
        <v>40</v>
      </c>
      <c r="C22" s="2" t="s">
        <v>9</v>
      </c>
      <c r="D22" s="2" t="s">
        <v>14</v>
      </c>
      <c r="E22" s="2" t="s">
        <v>211</v>
      </c>
      <c r="F22" s="5">
        <v>31600000</v>
      </c>
    </row>
    <row r="23" spans="1:6">
      <c r="A23" s="3">
        <v>45259</v>
      </c>
      <c r="B23" s="4" t="s">
        <v>41</v>
      </c>
      <c r="C23" s="2" t="s">
        <v>20</v>
      </c>
      <c r="D23" s="2" t="s">
        <v>18</v>
      </c>
      <c r="E23" s="2" t="s">
        <v>198</v>
      </c>
      <c r="F23" s="5">
        <v>31600000</v>
      </c>
    </row>
    <row r="24" spans="1:6">
      <c r="A24" s="3">
        <v>44533</v>
      </c>
      <c r="B24" s="4" t="s">
        <v>42</v>
      </c>
      <c r="C24" s="2" t="s">
        <v>13</v>
      </c>
      <c r="D24" s="2" t="s">
        <v>14</v>
      </c>
      <c r="E24" s="2" t="s">
        <v>212</v>
      </c>
      <c r="F24" s="5">
        <v>29500000</v>
      </c>
    </row>
    <row r="25" spans="1:6">
      <c r="A25" s="3">
        <v>45266</v>
      </c>
      <c r="B25" s="4" t="s">
        <v>43</v>
      </c>
      <c r="C25" s="2" t="s">
        <v>13</v>
      </c>
      <c r="D25" s="2" t="s">
        <v>18</v>
      </c>
      <c r="E25" s="2" t="s">
        <v>213</v>
      </c>
      <c r="F25" s="5">
        <v>28300000</v>
      </c>
    </row>
    <row r="26" spans="1:6">
      <c r="A26" s="3">
        <v>41250</v>
      </c>
      <c r="B26" s="4" t="s">
        <v>44</v>
      </c>
      <c r="C26" s="2" t="s">
        <v>13</v>
      </c>
      <c r="D26" s="2" t="s">
        <v>10</v>
      </c>
      <c r="E26" s="2" t="s">
        <v>214</v>
      </c>
      <c r="F26" s="5">
        <v>36200000</v>
      </c>
    </row>
    <row r="27" spans="1:6">
      <c r="A27" s="3">
        <v>44899</v>
      </c>
      <c r="B27" s="4" t="s">
        <v>45</v>
      </c>
      <c r="C27" s="2" t="s">
        <v>20</v>
      </c>
      <c r="D27" s="2" t="s">
        <v>18</v>
      </c>
      <c r="E27" s="2" t="s">
        <v>196</v>
      </c>
      <c r="F27" s="5">
        <v>27500000</v>
      </c>
    </row>
    <row r="28" spans="1:6">
      <c r="A28" s="3">
        <v>45246</v>
      </c>
      <c r="B28" s="4" t="s">
        <v>46</v>
      </c>
      <c r="C28" s="2" t="s">
        <v>9</v>
      </c>
      <c r="D28" s="2" t="s">
        <v>18</v>
      </c>
      <c r="E28" s="2" t="s">
        <v>197</v>
      </c>
      <c r="F28" s="5">
        <v>26900000</v>
      </c>
    </row>
  </sheetData>
  <mergeCells count="1">
    <mergeCell ref="B1:F1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8118D-BD47-4D94-809A-5D8F56D5E711}">
  <sheetPr codeName="Sheet5"/>
  <dimension ref="A1:K31"/>
  <sheetViews>
    <sheetView workbookViewId="0"/>
  </sheetViews>
  <sheetFormatPr defaultRowHeight="17"/>
  <cols>
    <col min="2" max="2" width="10.4140625" customWidth="1"/>
    <col min="3" max="3" width="12.5" customWidth="1"/>
    <col min="4" max="4" width="11.25" bestFit="1" customWidth="1"/>
    <col min="5" max="5" width="12.1640625" customWidth="1"/>
    <col min="6" max="6" width="11.5" customWidth="1"/>
    <col min="7" max="7" width="2.58203125" customWidth="1"/>
    <col min="8" max="9" width="10.58203125" bestFit="1" customWidth="1"/>
    <col min="10" max="10" width="14.33203125" bestFit="1" customWidth="1"/>
    <col min="11" max="11" width="10.58203125" bestFit="1" customWidth="1"/>
  </cols>
  <sheetData>
    <row r="1" spans="1:11">
      <c r="A1" t="s">
        <v>83</v>
      </c>
      <c r="H1" t="s">
        <v>153</v>
      </c>
    </row>
    <row r="2" spans="1:11">
      <c r="A2" s="29" t="s">
        <v>154</v>
      </c>
      <c r="B2" s="29" t="s">
        <v>155</v>
      </c>
      <c r="C2" s="29" t="s">
        <v>156</v>
      </c>
      <c r="D2" s="29" t="s">
        <v>157</v>
      </c>
      <c r="E2" s="27" t="s">
        <v>158</v>
      </c>
      <c r="F2" s="27" t="s">
        <v>159</v>
      </c>
      <c r="G2" s="28"/>
      <c r="H2" s="48" t="s">
        <v>156</v>
      </c>
      <c r="I2" s="48"/>
      <c r="J2" s="27" t="s">
        <v>160</v>
      </c>
    </row>
    <row r="3" spans="1:11">
      <c r="A3" s="29" t="s">
        <v>161</v>
      </c>
      <c r="B3" s="43" t="s">
        <v>162</v>
      </c>
      <c r="C3" s="30">
        <v>1650000</v>
      </c>
      <c r="D3" s="31">
        <v>6</v>
      </c>
      <c r="E3" s="29"/>
      <c r="F3" s="32"/>
      <c r="G3" s="33"/>
      <c r="H3" s="34">
        <v>0</v>
      </c>
      <c r="I3" s="25">
        <v>1000000</v>
      </c>
      <c r="J3" s="35"/>
    </row>
    <row r="4" spans="1:11">
      <c r="A4" s="29" t="s">
        <v>163</v>
      </c>
      <c r="B4" s="43" t="s">
        <v>164</v>
      </c>
      <c r="C4" s="30">
        <v>1560000</v>
      </c>
      <c r="D4" s="31">
        <v>12</v>
      </c>
      <c r="E4" s="29"/>
      <c r="F4" s="32"/>
      <c r="G4" s="33"/>
      <c r="H4" s="34">
        <v>1000001</v>
      </c>
      <c r="I4" s="25">
        <v>2000000</v>
      </c>
      <c r="J4" s="35"/>
    </row>
    <row r="5" spans="1:11">
      <c r="A5" s="29" t="s">
        <v>165</v>
      </c>
      <c r="B5" s="43" t="s">
        <v>164</v>
      </c>
      <c r="C5" s="30">
        <v>1280000</v>
      </c>
      <c r="D5" s="31">
        <v>3</v>
      </c>
      <c r="E5" s="29"/>
      <c r="F5" s="32"/>
      <c r="G5" s="33"/>
      <c r="H5" s="34">
        <v>2000001</v>
      </c>
      <c r="I5" s="25">
        <v>3000000</v>
      </c>
      <c r="J5" s="35"/>
    </row>
    <row r="6" spans="1:11">
      <c r="A6" s="29" t="s">
        <v>166</v>
      </c>
      <c r="B6" s="43" t="s">
        <v>167</v>
      </c>
      <c r="C6" s="30">
        <v>2540000</v>
      </c>
      <c r="D6" s="31">
        <v>12</v>
      </c>
      <c r="E6" s="29"/>
      <c r="F6" s="32"/>
      <c r="G6" s="33"/>
      <c r="H6" s="34">
        <v>3000001</v>
      </c>
      <c r="I6" s="25">
        <v>4000000</v>
      </c>
      <c r="J6" s="35"/>
    </row>
    <row r="7" spans="1:11">
      <c r="A7" s="29" t="s">
        <v>168</v>
      </c>
      <c r="B7" s="43" t="s">
        <v>162</v>
      </c>
      <c r="C7" s="30">
        <v>3210000</v>
      </c>
      <c r="D7" s="31">
        <v>6</v>
      </c>
      <c r="E7" s="29"/>
      <c r="F7" s="32"/>
      <c r="G7" s="33"/>
      <c r="H7" s="34">
        <v>4000001</v>
      </c>
      <c r="I7" s="25">
        <v>5000000</v>
      </c>
      <c r="J7" s="35"/>
    </row>
    <row r="8" spans="1:11">
      <c r="A8" s="29" t="s">
        <v>169</v>
      </c>
      <c r="B8" s="43" t="s">
        <v>164</v>
      </c>
      <c r="C8" s="30">
        <v>4210000</v>
      </c>
      <c r="D8" s="31">
        <v>12</v>
      </c>
      <c r="E8" s="29"/>
      <c r="F8" s="32"/>
      <c r="G8" s="33"/>
    </row>
    <row r="9" spans="1:11">
      <c r="A9" s="29" t="s">
        <v>165</v>
      </c>
      <c r="B9" s="43" t="s">
        <v>162</v>
      </c>
      <c r="C9" s="30">
        <v>2840000</v>
      </c>
      <c r="D9" s="31">
        <v>12</v>
      </c>
      <c r="E9" s="29"/>
      <c r="F9" s="32"/>
      <c r="G9" s="33"/>
      <c r="H9" t="s">
        <v>170</v>
      </c>
    </row>
    <row r="10" spans="1:11">
      <c r="A10" s="29" t="s">
        <v>169</v>
      </c>
      <c r="B10" s="43" t="s">
        <v>162</v>
      </c>
      <c r="C10" s="30">
        <v>3130000</v>
      </c>
      <c r="D10" s="31">
        <v>12</v>
      </c>
      <c r="E10" s="29"/>
      <c r="F10" s="32"/>
      <c r="G10" s="33"/>
      <c r="H10" s="29" t="s">
        <v>155</v>
      </c>
      <c r="I10" s="36" t="s">
        <v>171</v>
      </c>
      <c r="J10" s="36" t="s">
        <v>172</v>
      </c>
      <c r="K10" s="36" t="s">
        <v>173</v>
      </c>
    </row>
    <row r="11" spans="1:11">
      <c r="A11" s="29" t="s">
        <v>174</v>
      </c>
      <c r="B11" s="43" t="s">
        <v>167</v>
      </c>
      <c r="C11" s="30">
        <v>857000</v>
      </c>
      <c r="D11" s="31">
        <v>3</v>
      </c>
      <c r="E11" s="29"/>
      <c r="F11" s="32"/>
      <c r="G11" s="33"/>
      <c r="H11" s="27" t="s">
        <v>162</v>
      </c>
      <c r="I11" s="25"/>
      <c r="J11" s="25"/>
      <c r="K11" s="25"/>
    </row>
    <row r="12" spans="1:11">
      <c r="A12" s="29" t="s">
        <v>166</v>
      </c>
      <c r="B12" s="43" t="s">
        <v>164</v>
      </c>
      <c r="C12" s="30">
        <v>840000</v>
      </c>
      <c r="D12" s="31">
        <v>12</v>
      </c>
      <c r="E12" s="29"/>
      <c r="F12" s="32"/>
      <c r="G12" s="33"/>
      <c r="H12" s="27" t="s">
        <v>167</v>
      </c>
      <c r="I12" s="25"/>
      <c r="J12" s="25"/>
      <c r="K12" s="25"/>
    </row>
    <row r="13" spans="1:11">
      <c r="A13" s="29" t="s">
        <v>161</v>
      </c>
      <c r="B13" s="43" t="s">
        <v>167</v>
      </c>
      <c r="C13" s="30">
        <v>3540000</v>
      </c>
      <c r="D13" s="31">
        <v>6</v>
      </c>
      <c r="E13" s="29"/>
      <c r="F13" s="32"/>
      <c r="G13" s="33"/>
      <c r="H13" s="27" t="s">
        <v>164</v>
      </c>
      <c r="I13" s="25"/>
      <c r="J13" s="25"/>
      <c r="K13" s="25"/>
    </row>
    <row r="14" spans="1:11">
      <c r="A14" s="29" t="s">
        <v>163</v>
      </c>
      <c r="B14" s="43" t="s">
        <v>162</v>
      </c>
      <c r="C14" s="37">
        <v>1586000</v>
      </c>
      <c r="D14" s="37">
        <v>12</v>
      </c>
      <c r="E14" s="29"/>
      <c r="F14" s="32"/>
      <c r="G14" s="33"/>
    </row>
    <row r="15" spans="1:11">
      <c r="A15" s="29" t="s">
        <v>175</v>
      </c>
      <c r="B15" s="43" t="s">
        <v>164</v>
      </c>
      <c r="C15" s="37">
        <v>857000</v>
      </c>
      <c r="D15" s="37">
        <v>6</v>
      </c>
      <c r="E15" s="29"/>
      <c r="F15" s="32"/>
      <c r="G15" s="33"/>
      <c r="H15" t="s">
        <v>176</v>
      </c>
    </row>
    <row r="16" spans="1:11">
      <c r="A16" s="29" t="s">
        <v>177</v>
      </c>
      <c r="B16" s="43" t="s">
        <v>164</v>
      </c>
      <c r="C16" s="37">
        <v>2541000</v>
      </c>
      <c r="D16" s="37">
        <v>6</v>
      </c>
      <c r="E16" s="29"/>
      <c r="F16" s="32"/>
      <c r="G16" s="33"/>
      <c r="H16" s="38" t="s">
        <v>178</v>
      </c>
      <c r="I16" s="38" t="s">
        <v>179</v>
      </c>
      <c r="J16" s="38" t="s">
        <v>180</v>
      </c>
      <c r="K16" s="27" t="s">
        <v>181</v>
      </c>
    </row>
    <row r="17" spans="1:11">
      <c r="A17" s="29" t="s">
        <v>163</v>
      </c>
      <c r="B17" s="43" t="s">
        <v>167</v>
      </c>
      <c r="C17" s="37">
        <v>3147000</v>
      </c>
      <c r="D17" s="37">
        <v>7</v>
      </c>
      <c r="E17" s="29"/>
      <c r="F17" s="32"/>
      <c r="G17" s="33"/>
      <c r="H17" s="4" t="s">
        <v>182</v>
      </c>
      <c r="I17" s="39">
        <v>185</v>
      </c>
      <c r="J17" s="39">
        <v>80</v>
      </c>
      <c r="K17" s="40"/>
    </row>
    <row r="18" spans="1:11">
      <c r="A18" s="29" t="s">
        <v>165</v>
      </c>
      <c r="B18" s="43" t="s">
        <v>162</v>
      </c>
      <c r="C18" s="37">
        <v>954000</v>
      </c>
      <c r="D18" s="37">
        <v>10</v>
      </c>
      <c r="E18" s="29"/>
      <c r="F18" s="32"/>
      <c r="G18" s="33"/>
      <c r="H18" s="4" t="s">
        <v>183</v>
      </c>
      <c r="I18" s="39">
        <v>156</v>
      </c>
      <c r="J18" s="39">
        <v>55</v>
      </c>
      <c r="K18" s="40"/>
    </row>
    <row r="19" spans="1:11">
      <c r="A19" s="29" t="s">
        <v>161</v>
      </c>
      <c r="B19" s="43" t="s">
        <v>164</v>
      </c>
      <c r="C19" s="37">
        <v>1879000</v>
      </c>
      <c r="D19" s="37">
        <v>6</v>
      </c>
      <c r="E19" s="29"/>
      <c r="F19" s="32"/>
      <c r="G19" s="33"/>
      <c r="H19" s="4" t="s">
        <v>184</v>
      </c>
      <c r="I19" s="39">
        <v>171</v>
      </c>
      <c r="J19" s="39">
        <v>68</v>
      </c>
      <c r="K19" s="40"/>
    </row>
    <row r="20" spans="1:11">
      <c r="A20" s="29" t="s">
        <v>185</v>
      </c>
      <c r="B20" s="43" t="s">
        <v>162</v>
      </c>
      <c r="C20" s="37">
        <v>4150000</v>
      </c>
      <c r="D20" s="37">
        <v>12</v>
      </c>
      <c r="E20" s="29"/>
      <c r="F20" s="32"/>
      <c r="G20" s="33"/>
      <c r="H20" s="4" t="s">
        <v>186</v>
      </c>
      <c r="I20" s="39">
        <v>176</v>
      </c>
      <c r="J20" s="39">
        <v>70</v>
      </c>
      <c r="K20" s="40"/>
    </row>
    <row r="21" spans="1:11">
      <c r="A21" s="29" t="s">
        <v>175</v>
      </c>
      <c r="B21" s="43" t="s">
        <v>162</v>
      </c>
      <c r="C21" s="37">
        <v>2741000</v>
      </c>
      <c r="D21" s="37">
        <v>8</v>
      </c>
      <c r="E21" s="29"/>
      <c r="F21" s="32"/>
      <c r="G21" s="33"/>
      <c r="H21" s="4" t="s">
        <v>187</v>
      </c>
      <c r="I21" s="39">
        <v>181</v>
      </c>
      <c r="J21" s="39">
        <v>75</v>
      </c>
      <c r="K21" s="40"/>
    </row>
    <row r="22" spans="1:11">
      <c r="A22" s="29" t="s">
        <v>188</v>
      </c>
      <c r="B22" s="43" t="s">
        <v>167</v>
      </c>
      <c r="C22" s="37">
        <v>1238000</v>
      </c>
      <c r="D22" s="37">
        <v>9</v>
      </c>
      <c r="E22" s="29"/>
      <c r="F22" s="32"/>
      <c r="G22" s="33"/>
      <c r="H22" s="4" t="s">
        <v>189</v>
      </c>
      <c r="I22" s="39">
        <v>178</v>
      </c>
      <c r="J22" s="39">
        <v>90</v>
      </c>
      <c r="K22" s="40"/>
    </row>
    <row r="23" spans="1:11">
      <c r="A23" s="29" t="s">
        <v>169</v>
      </c>
      <c r="B23" s="43" t="s">
        <v>164</v>
      </c>
      <c r="C23" s="37">
        <v>2574000</v>
      </c>
      <c r="D23" s="37">
        <v>11</v>
      </c>
      <c r="E23" s="29"/>
      <c r="F23" s="32"/>
      <c r="G23" s="33"/>
      <c r="H23" s="4" t="s">
        <v>190</v>
      </c>
      <c r="I23" s="39">
        <v>175</v>
      </c>
      <c r="J23" s="39">
        <v>85</v>
      </c>
      <c r="K23" s="40"/>
    </row>
    <row r="24" spans="1:11">
      <c r="A24" s="29" t="s">
        <v>165</v>
      </c>
      <c r="B24" s="43" t="s">
        <v>167</v>
      </c>
      <c r="C24" s="37">
        <v>4784000</v>
      </c>
      <c r="D24" s="37">
        <v>4</v>
      </c>
      <c r="E24" s="29"/>
      <c r="F24" s="32"/>
      <c r="G24" s="33"/>
      <c r="H24" s="39" t="s">
        <v>191</v>
      </c>
      <c r="I24" s="39">
        <v>160</v>
      </c>
      <c r="J24" s="39">
        <v>59</v>
      </c>
      <c r="K24" s="40"/>
    </row>
    <row r="25" spans="1:11">
      <c r="A25" s="29" t="s">
        <v>192</v>
      </c>
      <c r="B25" s="43" t="s">
        <v>162</v>
      </c>
      <c r="C25" s="37">
        <v>1297000</v>
      </c>
      <c r="D25" s="37">
        <v>5</v>
      </c>
      <c r="E25" s="29"/>
      <c r="F25" s="32"/>
      <c r="G25" s="33"/>
      <c r="H25" s="39" t="s">
        <v>193</v>
      </c>
      <c r="I25" s="39">
        <v>169</v>
      </c>
      <c r="J25" s="39">
        <v>50</v>
      </c>
      <c r="K25" s="40"/>
    </row>
    <row r="27" spans="1:11">
      <c r="A27" s="41" t="s">
        <v>194</v>
      </c>
      <c r="E27" s="42"/>
    </row>
    <row r="28" spans="1:11">
      <c r="A28" s="49" t="s">
        <v>157</v>
      </c>
      <c r="B28" s="44">
        <v>0</v>
      </c>
      <c r="C28" s="44">
        <v>3</v>
      </c>
      <c r="D28" s="44">
        <v>6</v>
      </c>
      <c r="E28" s="44">
        <v>12</v>
      </c>
    </row>
    <row r="29" spans="1:11">
      <c r="A29" s="49"/>
      <c r="B29" s="45">
        <v>2</v>
      </c>
      <c r="C29" s="45">
        <v>6</v>
      </c>
      <c r="D29" s="45">
        <v>11</v>
      </c>
      <c r="E29" s="45"/>
    </row>
    <row r="30" spans="1:11">
      <c r="A30" s="43" t="s">
        <v>164</v>
      </c>
      <c r="B30" s="46">
        <v>0</v>
      </c>
      <c r="C30" s="46">
        <v>0.03</v>
      </c>
      <c r="D30" s="46">
        <v>0.05</v>
      </c>
      <c r="E30" s="46">
        <v>7.0000000000000007E-2</v>
      </c>
    </row>
    <row r="31" spans="1:11">
      <c r="A31" s="43" t="s">
        <v>195</v>
      </c>
      <c r="B31" s="46">
        <v>0</v>
      </c>
      <c r="C31" s="46">
        <v>0.02</v>
      </c>
      <c r="D31" s="46">
        <v>0.04</v>
      </c>
      <c r="E31" s="46">
        <v>0.06</v>
      </c>
    </row>
  </sheetData>
  <mergeCells count="2">
    <mergeCell ref="H2:I2"/>
    <mergeCell ref="A28:A29"/>
  </mergeCells>
  <phoneticPr fontId="1" type="noConversion"/>
  <conditionalFormatting sqref="A25 A21:D24">
    <cfRule type="expression" dxfId="1" priority="2" stopIfTrue="1">
      <formula>AND(#REF!&gt;=90, OR(MID($A21,3,1)="M", MID($A21,3,1)="G"))</formula>
    </cfRule>
  </conditionalFormatting>
  <conditionalFormatting sqref="H17:H23">
    <cfRule type="expression" dxfId="0" priority="1" stopIfTrue="1">
      <formula>2009-YEAR($A17)&gt;=15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"/>
  <sheetViews>
    <sheetView workbookViewId="0"/>
  </sheetViews>
  <sheetFormatPr defaultRowHeight="17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B1:G27"/>
  <sheetViews>
    <sheetView workbookViewId="0"/>
  </sheetViews>
  <sheetFormatPr defaultRowHeight="17"/>
  <cols>
    <col min="3" max="3" width="10.4140625" bestFit="1" customWidth="1"/>
    <col min="5" max="5" width="10.75" bestFit="1" customWidth="1"/>
    <col min="7" max="7" width="10.75" bestFit="1" customWidth="1"/>
  </cols>
  <sheetData>
    <row r="1" spans="2:7">
      <c r="B1" t="s">
        <v>83</v>
      </c>
    </row>
    <row r="2" spans="2:7">
      <c r="B2" s="20" t="s">
        <v>3</v>
      </c>
      <c r="C2" s="20" t="s">
        <v>84</v>
      </c>
      <c r="D2" s="20" t="s">
        <v>85</v>
      </c>
      <c r="E2" s="20" t="s">
        <v>86</v>
      </c>
      <c r="F2" s="20" t="s">
        <v>147</v>
      </c>
      <c r="G2" s="20" t="s">
        <v>148</v>
      </c>
    </row>
    <row r="3" spans="2:7">
      <c r="B3" s="21" t="s">
        <v>87</v>
      </c>
      <c r="C3" s="21" t="s">
        <v>88</v>
      </c>
      <c r="D3" s="21" t="s">
        <v>89</v>
      </c>
      <c r="E3" s="22">
        <v>34063</v>
      </c>
      <c r="F3" s="4">
        <v>5</v>
      </c>
      <c r="G3" s="23">
        <f>F3*$C$27</f>
        <v>6000</v>
      </c>
    </row>
    <row r="4" spans="2:7">
      <c r="B4" s="21" t="s">
        <v>90</v>
      </c>
      <c r="C4" s="21" t="s">
        <v>88</v>
      </c>
      <c r="D4" s="21" t="s">
        <v>91</v>
      </c>
      <c r="E4" s="22">
        <v>31329</v>
      </c>
      <c r="F4" s="4">
        <v>7</v>
      </c>
      <c r="G4" s="23">
        <f t="shared" ref="G4:G23" si="0">F4*$C$27</f>
        <v>8400</v>
      </c>
    </row>
    <row r="5" spans="2:7">
      <c r="B5" s="21" t="s">
        <v>92</v>
      </c>
      <c r="C5" s="21" t="s">
        <v>93</v>
      </c>
      <c r="D5" s="21" t="s">
        <v>89</v>
      </c>
      <c r="E5" s="22">
        <v>35039</v>
      </c>
      <c r="F5" s="4">
        <v>11</v>
      </c>
      <c r="G5" s="23">
        <f t="shared" si="0"/>
        <v>13200</v>
      </c>
    </row>
    <row r="6" spans="2:7">
      <c r="B6" s="21" t="s">
        <v>94</v>
      </c>
      <c r="C6" s="21" t="s">
        <v>88</v>
      </c>
      <c r="D6" s="21" t="s">
        <v>91</v>
      </c>
      <c r="E6" s="22">
        <v>21728</v>
      </c>
      <c r="F6" s="4">
        <v>18</v>
      </c>
      <c r="G6" s="23">
        <f t="shared" si="0"/>
        <v>21600</v>
      </c>
    </row>
    <row r="7" spans="2:7">
      <c r="B7" s="21" t="s">
        <v>95</v>
      </c>
      <c r="C7" s="21" t="s">
        <v>93</v>
      </c>
      <c r="D7" s="21" t="s">
        <v>89</v>
      </c>
      <c r="E7" s="22">
        <v>28346</v>
      </c>
      <c r="F7" s="4">
        <v>3</v>
      </c>
      <c r="G7" s="23">
        <f t="shared" si="0"/>
        <v>3600</v>
      </c>
    </row>
    <row r="8" spans="2:7">
      <c r="B8" s="21" t="s">
        <v>96</v>
      </c>
      <c r="C8" s="21" t="s">
        <v>97</v>
      </c>
      <c r="D8" s="21" t="s">
        <v>91</v>
      </c>
      <c r="E8" s="22">
        <v>27429</v>
      </c>
      <c r="F8" s="4">
        <v>21</v>
      </c>
      <c r="G8" s="23">
        <f t="shared" si="0"/>
        <v>25200</v>
      </c>
    </row>
    <row r="9" spans="2:7">
      <c r="B9" s="21" t="s">
        <v>98</v>
      </c>
      <c r="C9" s="21" t="s">
        <v>97</v>
      </c>
      <c r="D9" s="21" t="s">
        <v>91</v>
      </c>
      <c r="E9" s="22">
        <v>26026</v>
      </c>
      <c r="F9" s="4">
        <v>25</v>
      </c>
      <c r="G9" s="23">
        <f t="shared" si="0"/>
        <v>30000</v>
      </c>
    </row>
    <row r="10" spans="2:7">
      <c r="B10" s="21" t="s">
        <v>99</v>
      </c>
      <c r="C10" s="21" t="s">
        <v>93</v>
      </c>
      <c r="D10" s="21" t="s">
        <v>89</v>
      </c>
      <c r="E10" s="22">
        <v>26353</v>
      </c>
      <c r="F10" s="4">
        <v>16</v>
      </c>
      <c r="G10" s="23">
        <f t="shared" si="0"/>
        <v>19200</v>
      </c>
    </row>
    <row r="11" spans="2:7">
      <c r="B11" s="21" t="s">
        <v>100</v>
      </c>
      <c r="C11" s="21" t="s">
        <v>101</v>
      </c>
      <c r="D11" s="21" t="s">
        <v>89</v>
      </c>
      <c r="E11" s="22">
        <v>27004</v>
      </c>
      <c r="F11" s="4">
        <v>17</v>
      </c>
      <c r="G11" s="23">
        <f t="shared" si="0"/>
        <v>20400</v>
      </c>
    </row>
    <row r="12" spans="2:7">
      <c r="B12" s="21" t="s">
        <v>102</v>
      </c>
      <c r="C12" s="21" t="s">
        <v>101</v>
      </c>
      <c r="D12" s="21" t="s">
        <v>91</v>
      </c>
      <c r="E12" s="22">
        <v>28611</v>
      </c>
      <c r="F12" s="4">
        <v>12</v>
      </c>
      <c r="G12" s="23">
        <f t="shared" si="0"/>
        <v>14400</v>
      </c>
    </row>
    <row r="13" spans="2:7">
      <c r="B13" s="21" t="s">
        <v>103</v>
      </c>
      <c r="C13" s="21" t="s">
        <v>101</v>
      </c>
      <c r="D13" s="21" t="s">
        <v>91</v>
      </c>
      <c r="E13" s="22">
        <v>35496</v>
      </c>
      <c r="F13" s="4">
        <v>22</v>
      </c>
      <c r="G13" s="23">
        <f t="shared" si="0"/>
        <v>26400</v>
      </c>
    </row>
    <row r="14" spans="2:7">
      <c r="B14" s="21" t="s">
        <v>104</v>
      </c>
      <c r="C14" s="21" t="s">
        <v>88</v>
      </c>
      <c r="D14" s="21" t="s">
        <v>89</v>
      </c>
      <c r="E14" s="22">
        <v>31947</v>
      </c>
      <c r="F14" s="4">
        <v>6</v>
      </c>
      <c r="G14" s="23">
        <f t="shared" si="0"/>
        <v>7200</v>
      </c>
    </row>
    <row r="15" spans="2:7">
      <c r="B15" s="21" t="s">
        <v>111</v>
      </c>
      <c r="C15" s="21" t="s">
        <v>93</v>
      </c>
      <c r="D15" s="21" t="s">
        <v>89</v>
      </c>
      <c r="E15" s="22">
        <v>26028</v>
      </c>
      <c r="F15" s="4">
        <v>13</v>
      </c>
      <c r="G15" s="23">
        <f t="shared" si="0"/>
        <v>15600</v>
      </c>
    </row>
    <row r="16" spans="2:7">
      <c r="B16" s="21" t="s">
        <v>105</v>
      </c>
      <c r="C16" s="21" t="s">
        <v>93</v>
      </c>
      <c r="D16" s="21" t="s">
        <v>91</v>
      </c>
      <c r="E16" s="22">
        <v>24174</v>
      </c>
      <c r="F16" s="4">
        <v>14</v>
      </c>
      <c r="G16" s="23">
        <f t="shared" si="0"/>
        <v>16800</v>
      </c>
    </row>
    <row r="17" spans="2:7">
      <c r="B17" s="21" t="s">
        <v>106</v>
      </c>
      <c r="C17" s="21" t="s">
        <v>88</v>
      </c>
      <c r="D17" s="21" t="s">
        <v>89</v>
      </c>
      <c r="E17" s="22">
        <v>26917</v>
      </c>
      <c r="F17" s="4">
        <v>15</v>
      </c>
      <c r="G17" s="23">
        <f t="shared" si="0"/>
        <v>18000</v>
      </c>
    </row>
    <row r="18" spans="2:7">
      <c r="B18" s="21" t="s">
        <v>107</v>
      </c>
      <c r="C18" s="21" t="s">
        <v>101</v>
      </c>
      <c r="D18" s="21" t="s">
        <v>91</v>
      </c>
      <c r="E18" s="22">
        <v>36185</v>
      </c>
      <c r="F18" s="4">
        <v>9</v>
      </c>
      <c r="G18" s="23">
        <f t="shared" si="0"/>
        <v>10800</v>
      </c>
    </row>
    <row r="19" spans="2:7">
      <c r="B19" s="21" t="s">
        <v>90</v>
      </c>
      <c r="C19" s="21" t="s">
        <v>88</v>
      </c>
      <c r="D19" s="21" t="s">
        <v>91</v>
      </c>
      <c r="E19" s="22">
        <v>29868</v>
      </c>
      <c r="F19" s="4">
        <v>19</v>
      </c>
      <c r="G19" s="23">
        <f t="shared" si="0"/>
        <v>22800</v>
      </c>
    </row>
    <row r="20" spans="2:7">
      <c r="B20" s="21" t="s">
        <v>112</v>
      </c>
      <c r="C20" s="21" t="s">
        <v>93</v>
      </c>
      <c r="D20" s="21" t="s">
        <v>91</v>
      </c>
      <c r="E20" s="22">
        <v>23158</v>
      </c>
      <c r="F20" s="4">
        <v>20</v>
      </c>
      <c r="G20" s="23">
        <f t="shared" si="0"/>
        <v>24000</v>
      </c>
    </row>
    <row r="21" spans="2:7">
      <c r="B21" s="21" t="s">
        <v>108</v>
      </c>
      <c r="C21" s="21" t="s">
        <v>88</v>
      </c>
      <c r="D21" s="21" t="s">
        <v>89</v>
      </c>
      <c r="E21" s="22">
        <v>33240</v>
      </c>
      <c r="F21" s="4">
        <v>1</v>
      </c>
      <c r="G21" s="23">
        <f t="shared" si="0"/>
        <v>1200</v>
      </c>
    </row>
    <row r="22" spans="2:7">
      <c r="B22" s="21" t="s">
        <v>109</v>
      </c>
      <c r="C22" s="21" t="s">
        <v>97</v>
      </c>
      <c r="D22" s="21" t="s">
        <v>89</v>
      </c>
      <c r="E22" s="22">
        <v>28484</v>
      </c>
      <c r="F22" s="4">
        <v>2</v>
      </c>
      <c r="G22" s="23">
        <f t="shared" si="0"/>
        <v>2400</v>
      </c>
    </row>
    <row r="23" spans="2:7">
      <c r="B23" s="21" t="s">
        <v>110</v>
      </c>
      <c r="C23" s="21" t="s">
        <v>97</v>
      </c>
      <c r="D23" s="21" t="s">
        <v>91</v>
      </c>
      <c r="E23" s="22">
        <v>32586</v>
      </c>
      <c r="F23" s="4">
        <v>4</v>
      </c>
      <c r="G23" s="23">
        <f t="shared" si="0"/>
        <v>4800</v>
      </c>
    </row>
    <row r="24" spans="2:7">
      <c r="B24" s="50" t="s">
        <v>152</v>
      </c>
      <c r="C24" s="51"/>
      <c r="D24" s="51"/>
      <c r="E24" s="51"/>
      <c r="F24" s="52"/>
      <c r="G24" s="23">
        <f>SUM(G3:G23)</f>
        <v>312000</v>
      </c>
    </row>
    <row r="26" spans="2:7">
      <c r="B26" s="24" t="s">
        <v>149</v>
      </c>
      <c r="C26" s="24" t="s">
        <v>150</v>
      </c>
      <c r="D26" s="24" t="s">
        <v>151</v>
      </c>
    </row>
    <row r="27" spans="2:7">
      <c r="B27" s="25">
        <v>1000</v>
      </c>
      <c r="C27" s="25">
        <f>B27+B27*D27</f>
        <v>1200</v>
      </c>
      <c r="D27" s="26">
        <v>0.2</v>
      </c>
    </row>
  </sheetData>
  <mergeCells count="1">
    <mergeCell ref="B24:F24"/>
  </mergeCells>
  <phoneticPr fontId="1" type="noConversion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1F8FC9A5-C5A5-4940-BFAB-10C412E5BDE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G3:G23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1:H5"/>
  <sheetViews>
    <sheetView workbookViewId="0"/>
  </sheetViews>
  <sheetFormatPr defaultRowHeight="17"/>
  <cols>
    <col min="2" max="2" width="12.58203125" customWidth="1"/>
    <col min="3" max="8" width="11.9140625" customWidth="1"/>
  </cols>
  <sheetData>
    <row r="1" spans="2:8" ht="23">
      <c r="B1" s="53" t="s">
        <v>58</v>
      </c>
      <c r="C1" s="53"/>
      <c r="D1" s="53"/>
      <c r="E1" s="53"/>
      <c r="F1" s="53"/>
      <c r="G1" s="53"/>
      <c r="H1" s="53"/>
    </row>
    <row r="2" spans="2:8">
      <c r="B2" s="9"/>
      <c r="C2" s="9"/>
      <c r="D2" s="9"/>
      <c r="E2" s="9"/>
      <c r="F2" s="9"/>
      <c r="G2" s="9"/>
      <c r="H2" s="1"/>
    </row>
    <row r="3" spans="2:8">
      <c r="B3" s="12" t="s">
        <v>59</v>
      </c>
      <c r="C3" s="19">
        <v>2020</v>
      </c>
      <c r="D3" s="19">
        <v>2021</v>
      </c>
      <c r="E3" s="19">
        <v>2022</v>
      </c>
      <c r="F3" s="19">
        <v>2023</v>
      </c>
      <c r="G3" s="19">
        <v>2024</v>
      </c>
      <c r="H3" s="19">
        <v>2025</v>
      </c>
    </row>
    <row r="4" spans="2:8">
      <c r="B4" s="10" t="s">
        <v>60</v>
      </c>
      <c r="C4" s="11">
        <v>590800</v>
      </c>
      <c r="D4" s="11">
        <v>642770</v>
      </c>
      <c r="E4" s="11">
        <v>705775</v>
      </c>
      <c r="F4" s="11">
        <v>930485</v>
      </c>
      <c r="G4" s="11">
        <v>1001206</v>
      </c>
      <c r="H4" s="11">
        <v>1004115</v>
      </c>
    </row>
    <row r="5" spans="2:8">
      <c r="B5" s="10" t="s">
        <v>61</v>
      </c>
      <c r="C5" s="11">
        <v>-20748</v>
      </c>
      <c r="D5" s="11">
        <v>51970</v>
      </c>
      <c r="E5" s="11">
        <v>63005</v>
      </c>
      <c r="F5" s="11">
        <v>224710</v>
      </c>
      <c r="G5" s="11">
        <v>70721</v>
      </c>
      <c r="H5" s="11">
        <v>2909</v>
      </c>
    </row>
  </sheetData>
  <mergeCells count="1">
    <mergeCell ref="B1:H1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B5:G37"/>
  <sheetViews>
    <sheetView workbookViewId="0"/>
  </sheetViews>
  <sheetFormatPr defaultRowHeight="17"/>
  <cols>
    <col min="5" max="5" width="10.4140625" bestFit="1" customWidth="1"/>
    <col min="7" max="7" width="13.58203125" customWidth="1"/>
  </cols>
  <sheetData>
    <row r="5" spans="2:7">
      <c r="B5" s="8" t="s">
        <v>113</v>
      </c>
      <c r="C5" s="8" t="s">
        <v>49</v>
      </c>
      <c r="D5" s="8" t="s">
        <v>50</v>
      </c>
      <c r="E5" s="8" t="s">
        <v>51</v>
      </c>
      <c r="F5" s="8" t="s">
        <v>52</v>
      </c>
      <c r="G5" s="8" t="s">
        <v>146</v>
      </c>
    </row>
    <row r="6" spans="2:7">
      <c r="B6" s="8" t="s">
        <v>114</v>
      </c>
      <c r="C6" s="8" t="s">
        <v>53</v>
      </c>
      <c r="D6" s="8" t="s">
        <v>54</v>
      </c>
      <c r="E6" s="7">
        <v>500000</v>
      </c>
      <c r="F6" s="7">
        <v>0</v>
      </c>
      <c r="G6" s="18">
        <v>0.03</v>
      </c>
    </row>
    <row r="7" spans="2:7">
      <c r="B7" s="8" t="s">
        <v>115</v>
      </c>
      <c r="C7" s="8" t="s">
        <v>55</v>
      </c>
      <c r="D7" s="8" t="s">
        <v>54</v>
      </c>
      <c r="E7" s="7">
        <v>450000</v>
      </c>
      <c r="F7" s="7">
        <v>20000</v>
      </c>
      <c r="G7" s="18">
        <v>-0.01</v>
      </c>
    </row>
    <row r="8" spans="2:7">
      <c r="B8" s="8" t="s">
        <v>116</v>
      </c>
      <c r="C8" s="8" t="s">
        <v>56</v>
      </c>
      <c r="D8" s="8" t="s">
        <v>54</v>
      </c>
      <c r="E8" s="7">
        <v>350000</v>
      </c>
      <c r="F8" s="7">
        <v>60000</v>
      </c>
      <c r="G8" s="18">
        <v>0</v>
      </c>
    </row>
    <row r="9" spans="2:7">
      <c r="B9" s="8" t="s">
        <v>117</v>
      </c>
      <c r="C9" s="8" t="s">
        <v>57</v>
      </c>
      <c r="D9" s="8" t="s">
        <v>54</v>
      </c>
      <c r="E9" s="7">
        <v>150000</v>
      </c>
      <c r="F9" s="7">
        <v>80000</v>
      </c>
      <c r="G9" s="18">
        <v>2.5000000000000001E-2</v>
      </c>
    </row>
    <row r="10" spans="2:7">
      <c r="B10" s="8" t="s">
        <v>118</v>
      </c>
      <c r="C10" s="8" t="s">
        <v>53</v>
      </c>
      <c r="D10" s="8" t="s">
        <v>48</v>
      </c>
      <c r="E10" s="7">
        <v>600000</v>
      </c>
      <c r="F10" s="7">
        <v>0</v>
      </c>
      <c r="G10" s="18">
        <v>-0.05</v>
      </c>
    </row>
    <row r="11" spans="2:7">
      <c r="B11" s="8" t="s">
        <v>119</v>
      </c>
      <c r="C11" s="8" t="s">
        <v>55</v>
      </c>
      <c r="D11" s="8" t="s">
        <v>48</v>
      </c>
      <c r="E11" s="7">
        <v>500000</v>
      </c>
      <c r="F11" s="7">
        <v>20000</v>
      </c>
      <c r="G11" s="18">
        <v>0.03</v>
      </c>
    </row>
    <row r="12" spans="2:7">
      <c r="B12" s="8" t="s">
        <v>120</v>
      </c>
      <c r="C12" s="8" t="s">
        <v>56</v>
      </c>
      <c r="D12" s="8" t="s">
        <v>48</v>
      </c>
      <c r="E12" s="7">
        <v>400000</v>
      </c>
      <c r="F12" s="7">
        <v>60000</v>
      </c>
      <c r="G12" s="18">
        <v>0.04</v>
      </c>
    </row>
    <row r="13" spans="2:7">
      <c r="B13" s="8" t="s">
        <v>121</v>
      </c>
      <c r="C13" s="8" t="s">
        <v>57</v>
      </c>
      <c r="D13" s="8" t="s">
        <v>48</v>
      </c>
      <c r="E13" s="7">
        <v>250000</v>
      </c>
      <c r="F13" s="7">
        <v>80000</v>
      </c>
      <c r="G13" s="18">
        <v>0.02</v>
      </c>
    </row>
    <row r="14" spans="2:7">
      <c r="B14" s="8" t="s">
        <v>122</v>
      </c>
      <c r="C14" s="8" t="s">
        <v>53</v>
      </c>
      <c r="D14" s="8" t="s">
        <v>48</v>
      </c>
      <c r="E14" s="7">
        <v>220000</v>
      </c>
      <c r="F14" s="7">
        <v>0</v>
      </c>
      <c r="G14" s="18">
        <v>0.01</v>
      </c>
    </row>
    <row r="15" spans="2:7">
      <c r="B15" s="8" t="s">
        <v>123</v>
      </c>
      <c r="C15" s="8" t="s">
        <v>55</v>
      </c>
      <c r="D15" s="8" t="s">
        <v>48</v>
      </c>
      <c r="E15" s="7">
        <v>190000</v>
      </c>
      <c r="F15" s="7">
        <v>20000</v>
      </c>
      <c r="G15" s="18">
        <v>4.4999999999999998E-2</v>
      </c>
    </row>
    <row r="16" spans="2:7">
      <c r="B16" s="8" t="s">
        <v>124</v>
      </c>
      <c r="C16" s="8" t="s">
        <v>56</v>
      </c>
      <c r="D16" s="8" t="s">
        <v>48</v>
      </c>
      <c r="E16" s="7">
        <v>150000</v>
      </c>
      <c r="F16" s="7">
        <v>60000</v>
      </c>
      <c r="G16" s="18">
        <v>-3.5000000000000003E-2</v>
      </c>
    </row>
    <row r="17" spans="2:7">
      <c r="B17" s="8" t="s">
        <v>125</v>
      </c>
      <c r="C17" s="8" t="s">
        <v>57</v>
      </c>
      <c r="D17" s="8" t="s">
        <v>48</v>
      </c>
      <c r="E17" s="7">
        <v>350000</v>
      </c>
      <c r="F17" s="7">
        <v>80000</v>
      </c>
      <c r="G17" s="18">
        <v>0.02</v>
      </c>
    </row>
    <row r="18" spans="2:7">
      <c r="B18" s="8" t="s">
        <v>126</v>
      </c>
      <c r="C18" s="8" t="s">
        <v>53</v>
      </c>
      <c r="D18" s="8" t="s">
        <v>47</v>
      </c>
      <c r="E18" s="7">
        <v>350000</v>
      </c>
      <c r="F18" s="7">
        <v>0</v>
      </c>
      <c r="G18" s="18">
        <v>0</v>
      </c>
    </row>
    <row r="19" spans="2:7">
      <c r="B19" s="8" t="s">
        <v>127</v>
      </c>
      <c r="C19" s="8" t="s">
        <v>55</v>
      </c>
      <c r="D19" s="8" t="s">
        <v>47</v>
      </c>
      <c r="E19" s="7">
        <v>300000</v>
      </c>
      <c r="F19" s="7">
        <v>20000</v>
      </c>
      <c r="G19" s="18">
        <v>0</v>
      </c>
    </row>
    <row r="20" spans="2:7">
      <c r="B20" s="8" t="s">
        <v>128</v>
      </c>
      <c r="C20" s="8" t="s">
        <v>56</v>
      </c>
      <c r="D20" s="8" t="s">
        <v>47</v>
      </c>
      <c r="E20" s="7">
        <v>280000</v>
      </c>
      <c r="F20" s="7">
        <v>60000</v>
      </c>
      <c r="G20" s="18">
        <v>0</v>
      </c>
    </row>
    <row r="21" spans="2:7">
      <c r="B21" s="8" t="s">
        <v>129</v>
      </c>
      <c r="C21" s="8" t="s">
        <v>57</v>
      </c>
      <c r="D21" s="8" t="s">
        <v>47</v>
      </c>
      <c r="E21" s="7">
        <v>400000</v>
      </c>
      <c r="F21" s="7">
        <v>80000</v>
      </c>
      <c r="G21" s="18">
        <v>0</v>
      </c>
    </row>
    <row r="22" spans="2:7">
      <c r="B22" s="8" t="s">
        <v>130</v>
      </c>
      <c r="C22" s="8" t="s">
        <v>53</v>
      </c>
      <c r="D22" s="8" t="s">
        <v>47</v>
      </c>
      <c r="E22" s="7">
        <v>480000</v>
      </c>
      <c r="F22" s="7">
        <v>0</v>
      </c>
      <c r="G22" s="18">
        <v>0.01</v>
      </c>
    </row>
    <row r="23" spans="2:7">
      <c r="B23" s="8" t="s">
        <v>131</v>
      </c>
      <c r="C23" s="8" t="s">
        <v>55</v>
      </c>
      <c r="D23" s="8" t="s">
        <v>47</v>
      </c>
      <c r="E23" s="7">
        <v>400000</v>
      </c>
      <c r="F23" s="7">
        <v>20000</v>
      </c>
      <c r="G23" s="18">
        <v>0.05</v>
      </c>
    </row>
    <row r="24" spans="2:7">
      <c r="B24" s="8" t="s">
        <v>132</v>
      </c>
      <c r="C24" s="8" t="s">
        <v>56</v>
      </c>
      <c r="D24" s="8" t="s">
        <v>47</v>
      </c>
      <c r="E24" s="7">
        <v>380000</v>
      </c>
      <c r="F24" s="7">
        <v>60000</v>
      </c>
      <c r="G24" s="18">
        <v>0.03</v>
      </c>
    </row>
    <row r="25" spans="2:7">
      <c r="B25" s="8" t="s">
        <v>133</v>
      </c>
      <c r="C25" s="8" t="s">
        <v>57</v>
      </c>
      <c r="D25" s="8" t="s">
        <v>47</v>
      </c>
      <c r="E25" s="7">
        <v>600000</v>
      </c>
      <c r="F25" s="7">
        <v>80000</v>
      </c>
      <c r="G25" s="18">
        <v>0.02</v>
      </c>
    </row>
    <row r="26" spans="2:7">
      <c r="B26" s="8" t="s">
        <v>134</v>
      </c>
      <c r="C26" s="8" t="s">
        <v>53</v>
      </c>
      <c r="D26" s="8" t="s">
        <v>47</v>
      </c>
      <c r="E26" s="7">
        <v>650000</v>
      </c>
      <c r="F26" s="7">
        <v>0</v>
      </c>
      <c r="G26" s="18">
        <v>2.5000000000000001E-2</v>
      </c>
    </row>
    <row r="27" spans="2:7">
      <c r="B27" s="8" t="s">
        <v>135</v>
      </c>
      <c r="C27" s="8" t="s">
        <v>55</v>
      </c>
      <c r="D27" s="8" t="s">
        <v>47</v>
      </c>
      <c r="E27" s="7">
        <v>500000</v>
      </c>
      <c r="F27" s="7">
        <v>10000</v>
      </c>
      <c r="G27" s="18">
        <v>-0.03</v>
      </c>
    </row>
    <row r="28" spans="2:7">
      <c r="B28" s="8" t="s">
        <v>136</v>
      </c>
      <c r="C28" s="8" t="s">
        <v>56</v>
      </c>
      <c r="D28" s="8" t="s">
        <v>47</v>
      </c>
      <c r="E28" s="7">
        <v>400000</v>
      </c>
      <c r="F28" s="7">
        <v>30000</v>
      </c>
      <c r="G28" s="18">
        <v>0.04</v>
      </c>
    </row>
    <row r="29" spans="2:7">
      <c r="B29" s="8" t="s">
        <v>137</v>
      </c>
      <c r="C29" s="8" t="s">
        <v>57</v>
      </c>
      <c r="D29" s="8" t="s">
        <v>47</v>
      </c>
      <c r="E29" s="7">
        <v>200000</v>
      </c>
      <c r="F29" s="7">
        <v>40000</v>
      </c>
      <c r="G29" s="18">
        <v>0.04</v>
      </c>
    </row>
    <row r="30" spans="2:7">
      <c r="B30" s="8" t="s">
        <v>138</v>
      </c>
      <c r="C30" s="8" t="s">
        <v>53</v>
      </c>
      <c r="D30" s="8" t="s">
        <v>48</v>
      </c>
      <c r="E30" s="7">
        <v>170000</v>
      </c>
      <c r="F30" s="7">
        <v>0</v>
      </c>
      <c r="G30" s="18">
        <v>0.03</v>
      </c>
    </row>
    <row r="31" spans="2:7">
      <c r="B31" s="8" t="s">
        <v>139</v>
      </c>
      <c r="C31" s="8" t="s">
        <v>55</v>
      </c>
      <c r="D31" s="8" t="s">
        <v>48</v>
      </c>
      <c r="E31" s="7">
        <v>150000</v>
      </c>
      <c r="F31" s="7">
        <v>10000</v>
      </c>
      <c r="G31" s="18">
        <v>1.4999999999999999E-2</v>
      </c>
    </row>
    <row r="32" spans="2:7">
      <c r="B32" s="8" t="s">
        <v>140</v>
      </c>
      <c r="C32" s="8" t="s">
        <v>56</v>
      </c>
      <c r="D32" s="8" t="s">
        <v>48</v>
      </c>
      <c r="E32" s="7">
        <v>100000</v>
      </c>
      <c r="F32" s="7">
        <v>30000</v>
      </c>
      <c r="G32" s="18">
        <v>1.7999999999999999E-2</v>
      </c>
    </row>
    <row r="33" spans="2:7">
      <c r="B33" s="8" t="s">
        <v>141</v>
      </c>
      <c r="C33" s="8" t="s">
        <v>57</v>
      </c>
      <c r="D33" s="8" t="s">
        <v>48</v>
      </c>
      <c r="E33" s="7">
        <v>250000</v>
      </c>
      <c r="F33" s="7">
        <v>40000</v>
      </c>
      <c r="G33" s="18">
        <v>0.02</v>
      </c>
    </row>
    <row r="34" spans="2:7">
      <c r="B34" s="8" t="s">
        <v>142</v>
      </c>
      <c r="C34" s="8" t="s">
        <v>53</v>
      </c>
      <c r="D34" s="8" t="s">
        <v>54</v>
      </c>
      <c r="E34" s="7">
        <v>550000</v>
      </c>
      <c r="F34" s="7">
        <v>0</v>
      </c>
      <c r="G34" s="18">
        <v>-1.4999999999999999E-2</v>
      </c>
    </row>
    <row r="35" spans="2:7">
      <c r="B35" s="8" t="s">
        <v>143</v>
      </c>
      <c r="C35" s="8" t="s">
        <v>55</v>
      </c>
      <c r="D35" s="8" t="s">
        <v>54</v>
      </c>
      <c r="E35" s="7">
        <v>480000</v>
      </c>
      <c r="F35" s="7">
        <v>20000</v>
      </c>
      <c r="G35" s="18">
        <v>0.05</v>
      </c>
    </row>
    <row r="36" spans="2:7">
      <c r="B36" s="8" t="s">
        <v>144</v>
      </c>
      <c r="C36" s="8" t="s">
        <v>56</v>
      </c>
      <c r="D36" s="8" t="s">
        <v>54</v>
      </c>
      <c r="E36" s="7">
        <v>320000</v>
      </c>
      <c r="F36" s="7">
        <v>30000</v>
      </c>
      <c r="G36" s="18">
        <v>-2.5000000000000001E-2</v>
      </c>
    </row>
    <row r="37" spans="2:7">
      <c r="B37" s="8" t="s">
        <v>145</v>
      </c>
      <c r="C37" s="8" t="s">
        <v>57</v>
      </c>
      <c r="D37" s="8" t="s">
        <v>54</v>
      </c>
      <c r="E37" s="7">
        <v>550000</v>
      </c>
      <c r="F37" s="7">
        <v>40000</v>
      </c>
      <c r="G37" s="18">
        <v>7.0000000000000007E-2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/>
  <dimension ref="A4:J12"/>
  <sheetViews>
    <sheetView workbookViewId="0"/>
  </sheetViews>
  <sheetFormatPr defaultRowHeight="17"/>
  <cols>
    <col min="1" max="1" width="13.5" customWidth="1"/>
    <col min="2" max="6" width="12.5" customWidth="1"/>
    <col min="9" max="9" width="10" bestFit="1" customWidth="1"/>
  </cols>
  <sheetData>
    <row r="4" spans="1:10">
      <c r="A4" s="13" t="s">
        <v>0</v>
      </c>
      <c r="B4" s="13"/>
      <c r="C4" s="13"/>
      <c r="D4" s="13"/>
      <c r="E4" s="13"/>
      <c r="F4" s="13"/>
    </row>
    <row r="5" spans="1:10">
      <c r="A5" s="14" t="s">
        <v>62</v>
      </c>
      <c r="B5" s="14" t="s">
        <v>63</v>
      </c>
      <c r="C5" s="14" t="s">
        <v>64</v>
      </c>
      <c r="D5" s="14" t="s">
        <v>65</v>
      </c>
      <c r="E5" s="14" t="s">
        <v>66</v>
      </c>
      <c r="F5" s="14" t="s">
        <v>67</v>
      </c>
      <c r="H5" s="13" t="s">
        <v>68</v>
      </c>
      <c r="I5" s="13"/>
      <c r="J5" s="13"/>
    </row>
    <row r="6" spans="1:10">
      <c r="A6" s="15"/>
      <c r="B6" s="16"/>
      <c r="C6" s="16"/>
      <c r="D6" s="16"/>
      <c r="E6" s="17"/>
      <c r="F6" s="17"/>
      <c r="H6" s="16" t="s">
        <v>69</v>
      </c>
      <c r="I6" s="16" t="s">
        <v>70</v>
      </c>
      <c r="J6" s="16" t="s">
        <v>66</v>
      </c>
    </row>
    <row r="7" spans="1:10">
      <c r="A7" s="16"/>
      <c r="B7" s="16"/>
      <c r="C7" s="16"/>
      <c r="D7" s="16"/>
      <c r="E7" s="17"/>
      <c r="F7" s="17"/>
      <c r="H7" s="16" t="s">
        <v>71</v>
      </c>
      <c r="I7" s="16" t="s">
        <v>72</v>
      </c>
      <c r="J7" s="17">
        <v>10</v>
      </c>
    </row>
    <row r="8" spans="1:10">
      <c r="A8" s="16"/>
      <c r="B8" s="16"/>
      <c r="C8" s="16"/>
      <c r="D8" s="16"/>
      <c r="E8" s="17"/>
      <c r="F8" s="17"/>
      <c r="H8" s="16" t="s">
        <v>73</v>
      </c>
      <c r="I8" s="16" t="s">
        <v>74</v>
      </c>
      <c r="J8" s="17">
        <v>11</v>
      </c>
    </row>
    <row r="9" spans="1:10">
      <c r="A9" s="16"/>
      <c r="B9" s="16"/>
      <c r="C9" s="16"/>
      <c r="D9" s="16"/>
      <c r="E9" s="17"/>
      <c r="F9" s="17"/>
      <c r="H9" s="16" t="s">
        <v>75</v>
      </c>
      <c r="I9" s="16" t="s">
        <v>76</v>
      </c>
      <c r="J9" s="17">
        <v>12</v>
      </c>
    </row>
    <row r="10" spans="1:10">
      <c r="A10" s="16"/>
      <c r="B10" s="16"/>
      <c r="C10" s="16"/>
      <c r="D10" s="16"/>
      <c r="E10" s="17"/>
      <c r="F10" s="17"/>
      <c r="H10" s="16" t="s">
        <v>77</v>
      </c>
      <c r="I10" s="16" t="s">
        <v>78</v>
      </c>
      <c r="J10" s="17">
        <v>15</v>
      </c>
    </row>
    <row r="11" spans="1:10">
      <c r="A11" s="16"/>
      <c r="B11" s="16"/>
      <c r="C11" s="16"/>
      <c r="D11" s="16"/>
      <c r="E11" s="17"/>
      <c r="F11" s="17"/>
      <c r="H11" s="16" t="s">
        <v>79</v>
      </c>
      <c r="I11" s="16" t="s">
        <v>80</v>
      </c>
      <c r="J11" s="17">
        <v>20</v>
      </c>
    </row>
    <row r="12" spans="1:10">
      <c r="A12" s="16"/>
      <c r="B12" s="16"/>
      <c r="C12" s="16"/>
      <c r="D12" s="16"/>
      <c r="E12" s="17"/>
      <c r="F12" s="17"/>
      <c r="H12" s="16" t="s">
        <v>81</v>
      </c>
      <c r="I12" s="16" t="s">
        <v>82</v>
      </c>
      <c r="J12" s="17">
        <v>18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md요금계산">
          <controlPr defaultSize="0" autoLine="0" autoPict="0" r:id="rId4">
            <anchor moveWithCells="1">
              <from>
                <xdr:col>4</xdr:col>
                <xdr:colOff>6350</xdr:colOff>
                <xdr:row>0</xdr:row>
                <xdr:rowOff>196850</xdr:rowOff>
              </from>
              <to>
                <xdr:col>6</xdr:col>
                <xdr:colOff>0</xdr:colOff>
                <xdr:row>2</xdr:row>
                <xdr:rowOff>152400</xdr:rowOff>
              </to>
            </anchor>
          </controlPr>
        </control>
      </mc:Choice>
      <mc:Fallback>
        <control shapeId="8193" r:id="rId3" name="cmd요금계산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2020-04-07T06:00:22Z</dcterms:created>
  <dcterms:modified xsi:type="dcterms:W3CDTF">2023-04-23T07:19:54Z</dcterms:modified>
</cp:coreProperties>
</file>