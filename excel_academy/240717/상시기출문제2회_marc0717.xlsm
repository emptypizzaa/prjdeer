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Administrator\Desktop\2419컴1marc\prjdeer\prjdeer\excel_academy\240717\"/>
    </mc:Choice>
  </mc:AlternateContent>
  <xr:revisionPtr revIDLastSave="0" documentId="13_ncr:1_{7FB1F621-1B14-4FD1-90D0-0226A3626121}" xr6:coauthVersionLast="47" xr6:coauthVersionMax="47" xr10:uidLastSave="{00000000-0000-0000-0000-000000000000}"/>
  <bookViews>
    <workbookView xWindow="-120" yWindow="-120" windowWidth="29040" windowHeight="15840" tabRatio="912" firstSheet="1" activeTab="5" xr2:uid="{00000000-000D-0000-FFFF-FFFF00000000}"/>
  </bookViews>
  <sheets>
    <sheet name="기본작업-1" sheetId="1" r:id="rId1"/>
    <sheet name="기본작업-2" sheetId="10" r:id="rId2"/>
    <sheet name="계산작업" sheetId="11" r:id="rId3"/>
    <sheet name="분석작업-1" sheetId="3" r:id="rId4"/>
    <sheet name="분석작업-1 (2)" sheetId="15" r:id="rId5"/>
    <sheet name="분석작업-2" sheetId="4" r:id="rId6"/>
    <sheet name="분석작업-2 (2)" sheetId="16" r:id="rId7"/>
    <sheet name="기타작업-1" sheetId="5" r:id="rId8"/>
    <sheet name="기타작업-1 (2)" sheetId="17" r:id="rId9"/>
    <sheet name="기타작업-2" sheetId="6" r:id="rId10"/>
    <sheet name="기타작업-2 (2)" sheetId="18" r:id="rId11"/>
    <sheet name="기타작업-3" sheetId="7" r:id="rId12"/>
    <sheet name="기타작업-3 (2)" sheetId="19" r:id="rId13"/>
    <sheet name="기본작업-1 (2)" sheetId="12" r:id="rId14"/>
    <sheet name="기본작업-2 (2)" sheetId="13" r:id="rId15"/>
    <sheet name="계산작업 (2)" sheetId="14" r:id="rId16"/>
  </sheets>
  <externalReferences>
    <externalReference r:id="rId17"/>
  </externalReferences>
  <definedNames>
    <definedName name="_xlnm._FilterDatabase" localSheetId="2" hidden="1">계산작업!$B$2:$B$24</definedName>
    <definedName name="_xlnm._FilterDatabase" localSheetId="15" hidden="1">'계산작업 (2)'!$B$2:$B$24</definedName>
    <definedName name="_xlnm._FilterDatabase" localSheetId="13" hidden="1">'기본작업-1 (2)'!$A$2:$K$30</definedName>
    <definedName name="_xlnm.Criteria" localSheetId="13">'기본작업-1 (2)'!$A$32:$A$33</definedName>
    <definedName name="_xlnm.Extract" localSheetId="2">계산작업!#REF!</definedName>
    <definedName name="_xlnm.Extract" localSheetId="15">'계산작업 (2)'!#REF!</definedName>
    <definedName name="_xlnm.Extract" localSheetId="13">'기본작업-1 (2)'!$A$35:$K$35</definedName>
    <definedName name="_xlnm.Print_Area" localSheetId="1">'기본작업-2'!$A$1:$K$30</definedName>
    <definedName name="_xlnm.Print_Area" localSheetId="14">'기본작업-2 (2)'!$A$1:$K$41</definedName>
    <definedName name="_xlnm.Print_Titles" localSheetId="14">'기본작업-2 (2)'!$1:$2</definedName>
  </definedNames>
  <calcPr calcId="191029"/>
  <pivotCaches>
    <pivotCache cacheId="2" r:id="rId18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성적관리-f6e94f5c-f0d9-47d6-a061-7ee214f24510" name="성적관리" connection="성적관리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4" i="16" l="1"/>
  <c r="D33" i="16"/>
  <c r="E28" i="16"/>
  <c r="D27" i="16"/>
  <c r="E15" i="16"/>
  <c r="D14" i="16"/>
  <c r="E8" i="16"/>
  <c r="E36" i="16" s="1"/>
  <c r="D7" i="16"/>
  <c r="D35" i="16" s="1"/>
  <c r="F33" i="14" a="1"/>
  <c r="F33" i="14" s="1"/>
  <c r="F32" i="14" a="1"/>
  <c r="F32" i="14" s="1"/>
  <c r="F31" i="14" a="1"/>
  <c r="F31" i="14" s="1"/>
  <c r="F30" i="14" a="1"/>
  <c r="F30" i="14" s="1"/>
  <c r="C30" i="14" a="1"/>
  <c r="C30" i="14" s="1"/>
  <c r="F29" i="14" a="1"/>
  <c r="F29" i="14" s="1"/>
  <c r="C29" i="14" a="1"/>
  <c r="C29" i="14" s="1"/>
  <c r="F28" i="14" a="1"/>
  <c r="F28" i="14" s="1"/>
  <c r="C28" i="14" a="1"/>
  <c r="C28" i="14" s="1"/>
  <c r="I24" i="14" a="1"/>
  <c r="I24" i="14" s="1"/>
  <c r="H24" i="14"/>
  <c r="G24" i="14"/>
  <c r="I23" i="14" a="1"/>
  <c r="I23" i="14" s="1"/>
  <c r="H23" i="14"/>
  <c r="G23" i="14"/>
  <c r="I22" i="14" a="1"/>
  <c r="I22" i="14" s="1"/>
  <c r="H22" i="14"/>
  <c r="G22" i="14"/>
  <c r="I21" i="14" a="1"/>
  <c r="I21" i="14" s="1"/>
  <c r="H21" i="14"/>
  <c r="G21" i="14"/>
  <c r="I20" i="14" a="1"/>
  <c r="I20" i="14" s="1"/>
  <c r="H20" i="14"/>
  <c r="G20" i="14"/>
  <c r="I19" i="14" a="1"/>
  <c r="I19" i="14" s="1"/>
  <c r="H19" i="14"/>
  <c r="G19" i="14"/>
  <c r="I18" i="14" a="1"/>
  <c r="I18" i="14" s="1"/>
  <c r="H18" i="14"/>
  <c r="G18" i="14"/>
  <c r="I17" i="14" a="1"/>
  <c r="I17" i="14" s="1"/>
  <c r="H17" i="14"/>
  <c r="G17" i="14"/>
  <c r="I16" i="14" a="1"/>
  <c r="I16" i="14" s="1"/>
  <c r="H16" i="14"/>
  <c r="G16" i="14"/>
  <c r="I15" i="14" a="1"/>
  <c r="I15" i="14" s="1"/>
  <c r="H15" i="14"/>
  <c r="G15" i="14"/>
  <c r="I14" i="14" a="1"/>
  <c r="I14" i="14" s="1"/>
  <c r="H14" i="14"/>
  <c r="G14" i="14"/>
  <c r="I13" i="14" a="1"/>
  <c r="I13" i="14" s="1"/>
  <c r="H13" i="14"/>
  <c r="G13" i="14"/>
  <c r="I12" i="14" a="1"/>
  <c r="I12" i="14" s="1"/>
  <c r="H12" i="14"/>
  <c r="G12" i="14"/>
  <c r="I11" i="14" a="1"/>
  <c r="I11" i="14" s="1"/>
  <c r="H11" i="14"/>
  <c r="G11" i="14"/>
  <c r="I10" i="14" a="1"/>
  <c r="I10" i="14" s="1"/>
  <c r="H10" i="14"/>
  <c r="G10" i="14"/>
  <c r="I9" i="14" a="1"/>
  <c r="I9" i="14" s="1"/>
  <c r="H9" i="14"/>
  <c r="G9" i="14"/>
  <c r="I8" i="14" a="1"/>
  <c r="I8" i="14" s="1"/>
  <c r="H8" i="14"/>
  <c r="G8" i="14"/>
  <c r="I7" i="14" a="1"/>
  <c r="I7" i="14" s="1"/>
  <c r="H7" i="14"/>
  <c r="G7" i="14"/>
  <c r="I6" i="14" a="1"/>
  <c r="I6" i="14" s="1"/>
  <c r="H6" i="14"/>
  <c r="G6" i="14"/>
  <c r="I5" i="14" a="1"/>
  <c r="I5" i="14" s="1"/>
  <c r="H5" i="14"/>
  <c r="G5" i="14"/>
  <c r="I4" i="14" a="1"/>
  <c r="I4" i="14" s="1"/>
  <c r="H4" i="14"/>
  <c r="G4" i="14"/>
  <c r="I3" i="14" a="1"/>
  <c r="I3" i="14" s="1"/>
  <c r="H3" i="14"/>
  <c r="G3" i="14"/>
  <c r="I41" i="13"/>
  <c r="H41" i="13"/>
  <c r="I40" i="13"/>
  <c r="H40" i="13"/>
  <c r="I39" i="13"/>
  <c r="H39" i="13"/>
  <c r="I38" i="13"/>
  <c r="H38" i="13"/>
  <c r="I37" i="13"/>
  <c r="H37" i="13"/>
  <c r="I36" i="13"/>
  <c r="H36" i="13"/>
  <c r="I35" i="13"/>
  <c r="H35" i="13"/>
  <c r="I34" i="13"/>
  <c r="H34" i="13"/>
  <c r="I33" i="13"/>
  <c r="H33" i="13"/>
  <c r="I32" i="13"/>
  <c r="H32" i="13"/>
  <c r="I31" i="13"/>
  <c r="H31" i="13"/>
  <c r="I30" i="13"/>
  <c r="H30" i="13"/>
  <c r="I29" i="13"/>
  <c r="H29" i="13"/>
  <c r="I28" i="13"/>
  <c r="H28" i="13"/>
  <c r="I27" i="13"/>
  <c r="H27" i="13"/>
  <c r="I26" i="13"/>
  <c r="H26" i="13"/>
  <c r="I25" i="13"/>
  <c r="H25" i="13"/>
  <c r="I24" i="13"/>
  <c r="H24" i="13"/>
  <c r="I23" i="13"/>
  <c r="H23" i="13"/>
  <c r="I22" i="13"/>
  <c r="H22" i="13"/>
  <c r="I21" i="13"/>
  <c r="H21" i="13"/>
  <c r="I20" i="13"/>
  <c r="H20" i="13"/>
  <c r="I19" i="13"/>
  <c r="H19" i="13"/>
  <c r="I18" i="13"/>
  <c r="H18" i="13"/>
  <c r="I17" i="13"/>
  <c r="H17" i="13"/>
  <c r="I16" i="13"/>
  <c r="H16" i="13"/>
  <c r="I15" i="13"/>
  <c r="H15" i="13"/>
  <c r="I14" i="13"/>
  <c r="H14" i="13"/>
  <c r="I13" i="13"/>
  <c r="H13" i="13"/>
  <c r="I12" i="13"/>
  <c r="H12" i="13"/>
  <c r="I11" i="13"/>
  <c r="H11" i="13"/>
  <c r="I10" i="13"/>
  <c r="H10" i="13"/>
  <c r="I9" i="13"/>
  <c r="H9" i="13"/>
  <c r="I8" i="13"/>
  <c r="H8" i="13"/>
  <c r="I7" i="13"/>
  <c r="H7" i="13"/>
  <c r="I6" i="13"/>
  <c r="H6" i="13"/>
  <c r="I5" i="13"/>
  <c r="H5" i="13"/>
  <c r="I4" i="13"/>
  <c r="H4" i="13"/>
  <c r="I3" i="13"/>
  <c r="H3" i="13"/>
  <c r="A33" i="12"/>
  <c r="I30" i="12"/>
  <c r="H30" i="12"/>
  <c r="I29" i="12"/>
  <c r="H29" i="12"/>
  <c r="I28" i="12"/>
  <c r="H28" i="12"/>
  <c r="I27" i="12"/>
  <c r="H27" i="12"/>
  <c r="I26" i="12"/>
  <c r="H26" i="12"/>
  <c r="I25" i="12"/>
  <c r="H25" i="12"/>
  <c r="I24" i="12"/>
  <c r="H24" i="12"/>
  <c r="I23" i="12"/>
  <c r="H23" i="12"/>
  <c r="I22" i="12"/>
  <c r="H22" i="12"/>
  <c r="I21" i="12"/>
  <c r="H21" i="12"/>
  <c r="I20" i="12"/>
  <c r="H20" i="12"/>
  <c r="I19" i="12"/>
  <c r="H19" i="12"/>
  <c r="I18" i="12"/>
  <c r="H18" i="12"/>
  <c r="I17" i="12"/>
  <c r="H17" i="12"/>
  <c r="I16" i="12"/>
  <c r="H16" i="12"/>
  <c r="I15" i="12"/>
  <c r="H15" i="12"/>
  <c r="I14" i="12"/>
  <c r="H14" i="12"/>
  <c r="I13" i="12"/>
  <c r="H13" i="12"/>
  <c r="I12" i="12"/>
  <c r="H12" i="12"/>
  <c r="I11" i="12"/>
  <c r="H11" i="12"/>
  <c r="I10" i="12"/>
  <c r="H10" i="12"/>
  <c r="I9" i="12"/>
  <c r="H9" i="12"/>
  <c r="I8" i="12"/>
  <c r="H8" i="12"/>
  <c r="I7" i="12"/>
  <c r="H7" i="12"/>
  <c r="I6" i="12"/>
  <c r="H6" i="12"/>
  <c r="I5" i="12"/>
  <c r="H5" i="12"/>
  <c r="I4" i="12"/>
  <c r="H4" i="12"/>
  <c r="I3" i="12"/>
  <c r="H3" i="12"/>
  <c r="I13" i="1" l="1"/>
  <c r="H13" i="1"/>
  <c r="I12" i="1"/>
  <c r="H12" i="1"/>
  <c r="I11" i="1"/>
  <c r="H11" i="1"/>
  <c r="I10" i="1"/>
  <c r="H10" i="1"/>
  <c r="I9" i="1"/>
  <c r="H9" i="1"/>
  <c r="I8" i="1"/>
  <c r="H8" i="1"/>
  <c r="I7" i="1"/>
  <c r="H7" i="1"/>
  <c r="I6" i="1"/>
  <c r="H6" i="1"/>
  <c r="I5" i="1"/>
  <c r="H5" i="1"/>
  <c r="I4" i="1"/>
  <c r="H4" i="1"/>
  <c r="I3" i="1"/>
  <c r="H3" i="1"/>
  <c r="I41" i="10"/>
  <c r="H41" i="10"/>
  <c r="I40" i="10"/>
  <c r="H40" i="10"/>
  <c r="I39" i="10"/>
  <c r="H39" i="10"/>
  <c r="I38" i="10"/>
  <c r="H38" i="10"/>
  <c r="I37" i="10"/>
  <c r="H37" i="10"/>
  <c r="I36" i="10"/>
  <c r="H36" i="10"/>
  <c r="I35" i="10"/>
  <c r="H35" i="10"/>
  <c r="I34" i="10"/>
  <c r="H34" i="10"/>
  <c r="I33" i="10"/>
  <c r="H33" i="10"/>
  <c r="I32" i="10"/>
  <c r="H32" i="10"/>
  <c r="I31" i="10"/>
  <c r="H31" i="10"/>
  <c r="I30" i="10"/>
  <c r="H30" i="10"/>
  <c r="I29" i="10"/>
  <c r="H29" i="10"/>
  <c r="I28" i="10"/>
  <c r="H28" i="10"/>
  <c r="I27" i="10"/>
  <c r="H27" i="10"/>
  <c r="I26" i="10"/>
  <c r="H26" i="10"/>
  <c r="I25" i="10"/>
  <c r="H25" i="10"/>
  <c r="I24" i="10"/>
  <c r="H24" i="10"/>
  <c r="I23" i="10"/>
  <c r="H23" i="10"/>
  <c r="I22" i="10"/>
  <c r="H22" i="10"/>
  <c r="I21" i="10"/>
  <c r="H21" i="10"/>
  <c r="I20" i="10"/>
  <c r="H20" i="10"/>
  <c r="I19" i="10"/>
  <c r="H19" i="10"/>
  <c r="I18" i="10"/>
  <c r="H18" i="10"/>
  <c r="I17" i="10"/>
  <c r="H17" i="10"/>
  <c r="I16" i="10"/>
  <c r="H16" i="10"/>
  <c r="I15" i="10"/>
  <c r="H15" i="10"/>
  <c r="I14" i="10"/>
  <c r="H14" i="10"/>
  <c r="I13" i="10"/>
  <c r="H13" i="10"/>
  <c r="I12" i="10"/>
  <c r="H12" i="10"/>
  <c r="I11" i="10"/>
  <c r="H11" i="10"/>
  <c r="I10" i="10"/>
  <c r="H10" i="10"/>
  <c r="I9" i="10"/>
  <c r="H9" i="10"/>
  <c r="I8" i="10"/>
  <c r="H8" i="10"/>
  <c r="I7" i="10"/>
  <c r="H7" i="10"/>
  <c r="I6" i="10"/>
  <c r="H6" i="10"/>
  <c r="I5" i="10"/>
  <c r="H5" i="10"/>
  <c r="I4" i="10"/>
  <c r="H4" i="10"/>
  <c r="I3" i="10"/>
  <c r="H3" i="10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8ED8959-4739-46F8-89B4-901B9E52869C}" keepAlive="1" name="ThisWorkbookDataModel" description="데이터 모델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B71632A9-46AA-4990-8FD0-4D5CE1A3AED4}" name="성적관리" type="103" refreshedVersion="7" minRefreshableVersion="5">
    <extLst>
      <ext xmlns:x15="http://schemas.microsoft.com/office/spreadsheetml/2010/11/main" uri="{DE250136-89BD-433C-8126-D09CA5730AF9}">
        <x15:connection id="성적관리-f6e94f5c-f0d9-47d6-a061-7ee214f24510" autoDelete="1">
          <x15:textPr prompt="0" codePage="949" sourceFile="C:\Users\Administrator\Desktop\2024컴활1급\3권_문제집\스프레드시트 상시기출문제\성적관리.csv" tab="0" comma="1">
            <textFields count="8">
              <textField type="skip"/>
              <textField/>
              <textField type="skip"/>
              <textField/>
              <textField/>
              <textField/>
              <textField type="skip"/>
              <textField type="skip"/>
            </textFields>
          </x15:textPr>
          <x15:modelTextPr headers="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<sst xmlns="http://schemas.openxmlformats.org/spreadsheetml/2006/main" count="847" uniqueCount="244">
  <si>
    <t>[표1]</t>
    <phoneticPr fontId="1" type="noConversion"/>
  </si>
  <si>
    <t>이름</t>
    <phoneticPr fontId="1" type="noConversion"/>
  </si>
  <si>
    <t>주문일</t>
    <phoneticPr fontId="1" type="noConversion"/>
  </si>
  <si>
    <t>할부기간</t>
    <phoneticPr fontId="1" type="noConversion"/>
  </si>
  <si>
    <t>주문수량</t>
    <phoneticPr fontId="1" type="noConversion"/>
  </si>
  <si>
    <t>단가</t>
    <phoneticPr fontId="1" type="noConversion"/>
  </si>
  <si>
    <t>금액</t>
    <phoneticPr fontId="1" type="noConversion"/>
  </si>
  <si>
    <t>할인금액</t>
    <phoneticPr fontId="1" type="noConversion"/>
  </si>
  <si>
    <t>상품주문현황</t>
    <phoneticPr fontId="1" type="noConversion"/>
  </si>
  <si>
    <t>결제방법</t>
    <phoneticPr fontId="1" type="noConversion"/>
  </si>
  <si>
    <t>일반편입</t>
    <phoneticPr fontId="1" type="noConversion"/>
  </si>
  <si>
    <t>학사편입</t>
    <phoneticPr fontId="1" type="noConversion"/>
  </si>
  <si>
    <t>연세대학교</t>
    <phoneticPr fontId="1" type="noConversion"/>
  </si>
  <si>
    <t>고려대학교</t>
    <phoneticPr fontId="1" type="noConversion"/>
  </si>
  <si>
    <t>서강대학교</t>
    <phoneticPr fontId="1" type="noConversion"/>
  </si>
  <si>
    <t>성균관대학교</t>
    <phoneticPr fontId="1" type="noConversion"/>
  </si>
  <si>
    <t>한양대학교</t>
    <phoneticPr fontId="1" type="noConversion"/>
  </si>
  <si>
    <t>중앙대학교</t>
    <phoneticPr fontId="1" type="noConversion"/>
  </si>
  <si>
    <t>경희대학교</t>
    <phoneticPr fontId="1" type="noConversion"/>
  </si>
  <si>
    <t>외국어대학교</t>
    <phoneticPr fontId="1" type="noConversion"/>
  </si>
  <si>
    <t>서울시립대학교</t>
    <phoneticPr fontId="1" type="noConversion"/>
  </si>
  <si>
    <t>※</t>
    <phoneticPr fontId="1" type="noConversion"/>
  </si>
  <si>
    <t>[표1] 학교별 편입 증감</t>
    <phoneticPr fontId="1" type="noConversion"/>
  </si>
  <si>
    <t>학교명</t>
    <phoneticPr fontId="1" type="noConversion"/>
  </si>
  <si>
    <t>행정구역별</t>
  </si>
  <si>
    <t>영재학급</t>
  </si>
  <si>
    <t>서울</t>
  </si>
  <si>
    <t>인천</t>
  </si>
  <si>
    <t>경기</t>
  </si>
  <si>
    <t>강원</t>
  </si>
  <si>
    <t>충북</t>
  </si>
  <si>
    <t>충남</t>
  </si>
  <si>
    <t>전북</t>
  </si>
  <si>
    <t>전남</t>
  </si>
  <si>
    <t>경북</t>
  </si>
  <si>
    <t>경남</t>
  </si>
  <si>
    <t>제주</t>
  </si>
  <si>
    <t>교육청</t>
    <phoneticPr fontId="1" type="noConversion"/>
  </si>
  <si>
    <t>대학영재</t>
    <phoneticPr fontId="1" type="noConversion"/>
  </si>
  <si>
    <t>영재·과학고</t>
    <phoneticPr fontId="1" type="noConversion"/>
  </si>
  <si>
    <t>시도별/기관유형별 영재교육기관수</t>
    <phoneticPr fontId="1" type="noConversion"/>
  </si>
  <si>
    <t>[표1]</t>
    <phoneticPr fontId="4" type="noConversion"/>
  </si>
  <si>
    <t>앨범코드</t>
  </si>
  <si>
    <t>장르</t>
  </si>
  <si>
    <t>아티스트</t>
  </si>
  <si>
    <t>곡명</t>
  </si>
  <si>
    <t>판매액</t>
  </si>
  <si>
    <t>C0087</t>
  </si>
  <si>
    <t>클래식</t>
  </si>
  <si>
    <t>Various Artists</t>
  </si>
  <si>
    <t>모짜르트 소나타 1번 1악장</t>
  </si>
  <si>
    <t>C1087</t>
  </si>
  <si>
    <t>요한 슈트라우스 2세: 봄의 소리 왈츠</t>
  </si>
  <si>
    <t>K0077</t>
  </si>
  <si>
    <t>가요</t>
  </si>
  <si>
    <t>K0124</t>
  </si>
  <si>
    <t>K0562</t>
  </si>
  <si>
    <t>K3523</t>
  </si>
  <si>
    <t>K3765</t>
  </si>
  <si>
    <t>P0025</t>
  </si>
  <si>
    <t>POP</t>
  </si>
  <si>
    <t>Astrud Gilberto</t>
  </si>
  <si>
    <t>The Shadow of Your Smile</t>
  </si>
  <si>
    <t>P0065</t>
  </si>
  <si>
    <t>Donna Summer</t>
  </si>
  <si>
    <t>She Works Hard for the Money</t>
  </si>
  <si>
    <t>P6523</t>
  </si>
  <si>
    <t>Pink</t>
  </si>
  <si>
    <t>Stupid Girl</t>
  </si>
  <si>
    <t>K0324</t>
  </si>
  <si>
    <t>최호섭</t>
  </si>
  <si>
    <t>세월이 가면</t>
  </si>
  <si>
    <t>K1023</t>
  </si>
  <si>
    <t>K2041</t>
  </si>
  <si>
    <t>김동률</t>
  </si>
  <si>
    <t>오래된 노래</t>
  </si>
  <si>
    <t>P1039</t>
  </si>
  <si>
    <t>Paul Potts</t>
  </si>
  <si>
    <t>Nessun Dorma</t>
  </si>
  <si>
    <t>Caruso</t>
  </si>
  <si>
    <t>O0231</t>
  </si>
  <si>
    <t>OST</t>
  </si>
  <si>
    <t>O0142</t>
  </si>
  <si>
    <t>O1520</t>
  </si>
  <si>
    <t>C0532</t>
  </si>
  <si>
    <t>조슈아 벨</t>
  </si>
  <si>
    <t>슈베르트-세레나데</t>
  </si>
  <si>
    <t>푸치니-나의 사랑하는 아버지</t>
  </si>
  <si>
    <t>K4023</t>
  </si>
  <si>
    <t>K0105</t>
  </si>
  <si>
    <t>임영웅</t>
    <phoneticPr fontId="1" type="noConversion"/>
  </si>
  <si>
    <t>사랑은 늘 도망가</t>
    <phoneticPr fontId="1" type="noConversion"/>
  </si>
  <si>
    <t>우리들의 블루스</t>
    <phoneticPr fontId="1" type="noConversion"/>
  </si>
  <si>
    <t>윤하</t>
    <phoneticPr fontId="1" type="noConversion"/>
  </si>
  <si>
    <t>사건의 지평선</t>
    <phoneticPr fontId="1" type="noConversion"/>
  </si>
  <si>
    <t>다시 만날 수 있을까</t>
    <phoneticPr fontId="1" type="noConversion"/>
  </si>
  <si>
    <t>성시경</t>
    <phoneticPr fontId="1" type="noConversion"/>
  </si>
  <si>
    <t>너의 모든 순간</t>
    <phoneticPr fontId="1" type="noConversion"/>
  </si>
  <si>
    <t>태양</t>
    <phoneticPr fontId="1" type="noConversion"/>
  </si>
  <si>
    <t>VIBE</t>
    <phoneticPr fontId="1" type="noConversion"/>
  </si>
  <si>
    <t>무지개</t>
    <phoneticPr fontId="1" type="noConversion"/>
  </si>
  <si>
    <t>방탄소년단</t>
    <phoneticPr fontId="1" type="noConversion"/>
  </si>
  <si>
    <t>봄날</t>
    <phoneticPr fontId="1" type="noConversion"/>
  </si>
  <si>
    <t>폴킴</t>
    <phoneticPr fontId="1" type="noConversion"/>
  </si>
  <si>
    <t>모든 날, 모든 순간</t>
    <phoneticPr fontId="1" type="noConversion"/>
  </si>
  <si>
    <t>이제 나만 믿어요</t>
    <phoneticPr fontId="1" type="noConversion"/>
  </si>
  <si>
    <t>WSG워너비</t>
    <phoneticPr fontId="1" type="noConversion"/>
  </si>
  <si>
    <t>그때 그 순간 그대로</t>
    <phoneticPr fontId="1" type="noConversion"/>
  </si>
  <si>
    <t>서동현</t>
    <phoneticPr fontId="1" type="noConversion"/>
  </si>
  <si>
    <t>정이라고 하자</t>
    <phoneticPr fontId="1" type="noConversion"/>
  </si>
  <si>
    <t>송민경</t>
    <phoneticPr fontId="1" type="noConversion"/>
  </si>
  <si>
    <t>You are my everything</t>
    <phoneticPr fontId="1" type="noConversion"/>
  </si>
  <si>
    <t>연번</t>
  </si>
  <si>
    <t>교과과목명</t>
    <phoneticPr fontId="4" type="noConversion"/>
  </si>
  <si>
    <t>수강생코드</t>
  </si>
  <si>
    <t>3월</t>
  </si>
  <si>
    <t>4월</t>
  </si>
  <si>
    <t>5월</t>
  </si>
  <si>
    <t>6월</t>
  </si>
  <si>
    <t>합계</t>
  </si>
  <si>
    <t>평균</t>
  </si>
  <si>
    <t>평점환산</t>
  </si>
  <si>
    <t>결석</t>
  </si>
  <si>
    <t>데이터분석</t>
  </si>
  <si>
    <t>2025E-04-09</t>
  </si>
  <si>
    <t>고급알고리즘</t>
  </si>
  <si>
    <t>2026E-03-06</t>
  </si>
  <si>
    <t>2025E-03-12</t>
  </si>
  <si>
    <t>인지과학</t>
  </si>
  <si>
    <t>2024E-03-12</t>
  </si>
  <si>
    <t>이산신호처리</t>
  </si>
  <si>
    <t>2025E-03-07</t>
  </si>
  <si>
    <t>2025E-03-08</t>
  </si>
  <si>
    <t>2026E-03-09</t>
  </si>
  <si>
    <t>2024E-03-10</t>
  </si>
  <si>
    <t>에너지융합</t>
  </si>
  <si>
    <t>2027E-04-10</t>
  </si>
  <si>
    <t>2024E-04-11</t>
  </si>
  <si>
    <t>2025E-04-12</t>
  </si>
  <si>
    <t>2024E-04-13</t>
  </si>
  <si>
    <t>시스템보안</t>
  </si>
  <si>
    <t>2025E-04-02</t>
  </si>
  <si>
    <t>2026E-04-03</t>
  </si>
  <si>
    <t>2025E-04-04</t>
  </si>
  <si>
    <t>2024E-04-05</t>
  </si>
  <si>
    <t>2024E-04-06</t>
  </si>
  <si>
    <t>2027E-04-07</t>
  </si>
  <si>
    <t>2025E-04-08</t>
  </si>
  <si>
    <t>2026E-05-01</t>
  </si>
  <si>
    <t>2025E-05-02</t>
  </si>
  <si>
    <t>2026E-05-03</t>
  </si>
  <si>
    <t>2024E-05-04</t>
  </si>
  <si>
    <t>2027E-05-05</t>
  </si>
  <si>
    <t>2026E-03-12</t>
  </si>
  <si>
    <t>2026E-03-01</t>
  </si>
  <si>
    <t>2025E-03-02</t>
  </si>
  <si>
    <t>2025E-03-03</t>
  </si>
  <si>
    <t>2026E-03-04</t>
  </si>
  <si>
    <t>2027E-03-05</t>
  </si>
  <si>
    <t>2026E-03-11</t>
  </si>
  <si>
    <t>기준날짜</t>
    <phoneticPr fontId="1" type="noConversion"/>
  </si>
  <si>
    <t>지점</t>
    <phoneticPr fontId="1" type="noConversion"/>
  </si>
  <si>
    <t>입사일자</t>
    <phoneticPr fontId="1" type="noConversion"/>
  </si>
  <si>
    <t>대출금액</t>
    <phoneticPr fontId="1" type="noConversion"/>
  </si>
  <si>
    <t>대출기간</t>
    <phoneticPr fontId="1" type="noConversion"/>
  </si>
  <si>
    <t>연이율</t>
    <phoneticPr fontId="1" type="noConversion"/>
  </si>
  <si>
    <t>대출심사</t>
    <phoneticPr fontId="1" type="noConversion"/>
  </si>
  <si>
    <t>가계부담정도</t>
    <phoneticPr fontId="1" type="noConversion"/>
  </si>
  <si>
    <t>비고</t>
    <phoneticPr fontId="1" type="noConversion"/>
  </si>
  <si>
    <t>고찬희</t>
    <phoneticPr fontId="1" type="noConversion"/>
  </si>
  <si>
    <t>SE-01</t>
    <phoneticPr fontId="1" type="noConversion"/>
  </si>
  <si>
    <t>주선희</t>
    <phoneticPr fontId="1" type="noConversion"/>
  </si>
  <si>
    <t>IN-02</t>
  </si>
  <si>
    <t>박명자</t>
    <phoneticPr fontId="1" type="noConversion"/>
  </si>
  <si>
    <t>GY-02</t>
  </si>
  <si>
    <t>나은명</t>
    <phoneticPr fontId="1" type="noConversion"/>
  </si>
  <si>
    <t>SE-02</t>
  </si>
  <si>
    <t>강감찬</t>
    <phoneticPr fontId="1" type="noConversion"/>
  </si>
  <si>
    <t>김나비</t>
    <phoneticPr fontId="1" type="noConversion"/>
  </si>
  <si>
    <t>IN-01</t>
  </si>
  <si>
    <t>김윤선</t>
    <phoneticPr fontId="1" type="noConversion"/>
  </si>
  <si>
    <t>GY-01</t>
  </si>
  <si>
    <t>김정식</t>
    <phoneticPr fontId="1" type="noConversion"/>
  </si>
  <si>
    <t>마소희</t>
    <phoneticPr fontId="1" type="noConversion"/>
  </si>
  <si>
    <t>방정환</t>
    <phoneticPr fontId="1" type="noConversion"/>
  </si>
  <si>
    <t>배기성</t>
    <phoneticPr fontId="1" type="noConversion"/>
  </si>
  <si>
    <t>아유라</t>
    <phoneticPr fontId="1" type="noConversion"/>
  </si>
  <si>
    <t>GY-02</t>
    <phoneticPr fontId="1" type="noConversion"/>
  </si>
  <si>
    <t>엄화정</t>
    <phoneticPr fontId="1" type="noConversion"/>
  </si>
  <si>
    <t>왕연</t>
    <phoneticPr fontId="1" type="noConversion"/>
  </si>
  <si>
    <t>우희진</t>
    <phoneticPr fontId="1" type="noConversion"/>
  </si>
  <si>
    <t>유강현</t>
    <phoneticPr fontId="1" type="noConversion"/>
  </si>
  <si>
    <t>이기자</t>
    <phoneticPr fontId="1" type="noConversion"/>
  </si>
  <si>
    <t>이순신</t>
    <phoneticPr fontId="1" type="noConversion"/>
  </si>
  <si>
    <t>조용히</t>
    <phoneticPr fontId="1" type="noConversion"/>
  </si>
  <si>
    <t>최민영</t>
    <phoneticPr fontId="1" type="noConversion"/>
  </si>
  <si>
    <t>최민정</t>
    <phoneticPr fontId="1" type="noConversion"/>
  </si>
  <si>
    <t>홍난수</t>
    <phoneticPr fontId="1" type="noConversion"/>
  </si>
  <si>
    <t>[표2]</t>
    <phoneticPr fontId="1" type="noConversion"/>
  </si>
  <si>
    <t>[표3]</t>
    <phoneticPr fontId="1" type="noConversion"/>
  </si>
  <si>
    <t>[표4]</t>
    <phoneticPr fontId="1" type="noConversion"/>
  </si>
  <si>
    <t>지점코드</t>
    <phoneticPr fontId="1" type="noConversion"/>
  </si>
  <si>
    <t>상위1~3 합계</t>
    <phoneticPr fontId="1" type="noConversion"/>
  </si>
  <si>
    <t>낮은 이율 순위</t>
    <phoneticPr fontId="1" type="noConversion"/>
  </si>
  <si>
    <t>월상환액</t>
    <phoneticPr fontId="1" type="noConversion"/>
  </si>
  <si>
    <t>가계부담</t>
    <phoneticPr fontId="1" type="noConversion"/>
  </si>
  <si>
    <t>SE</t>
    <phoneticPr fontId="1" type="noConversion"/>
  </si>
  <si>
    <t>서울</t>
    <phoneticPr fontId="1" type="noConversion"/>
  </si>
  <si>
    <t>GY-01</t>
    <phoneticPr fontId="1" type="noConversion"/>
  </si>
  <si>
    <t>낮음</t>
    <phoneticPr fontId="1" type="noConversion"/>
  </si>
  <si>
    <t>IN</t>
    <phoneticPr fontId="1" type="noConversion"/>
  </si>
  <si>
    <t>인천</t>
    <phoneticPr fontId="1" type="noConversion"/>
  </si>
  <si>
    <t>보통</t>
    <phoneticPr fontId="1" type="noConversion"/>
  </si>
  <si>
    <t>GY</t>
    <phoneticPr fontId="1" type="noConversion"/>
  </si>
  <si>
    <t>경기</t>
    <phoneticPr fontId="1" type="noConversion"/>
  </si>
  <si>
    <t>IN-01</t>
    <phoneticPr fontId="1" type="noConversion"/>
  </si>
  <si>
    <t>높음</t>
    <phoneticPr fontId="1" type="noConversion"/>
  </si>
  <si>
    <t>IN-02</t>
    <phoneticPr fontId="1" type="noConversion"/>
  </si>
  <si>
    <t>아주높음</t>
    <phoneticPr fontId="1" type="noConversion"/>
  </si>
  <si>
    <t>SE-02</t>
    <phoneticPr fontId="1" type="noConversion"/>
  </si>
  <si>
    <t>조건</t>
    <phoneticPr fontId="1" type="noConversion"/>
  </si>
  <si>
    <t>합계: 성적</t>
  </si>
  <si>
    <t>성별</t>
  </si>
  <si>
    <t>교과과목명</t>
  </si>
  <si>
    <t>평가월</t>
  </si>
  <si>
    <t>남</t>
  </si>
  <si>
    <t>여</t>
  </si>
  <si>
    <t>총합계</t>
  </si>
  <si>
    <t>OST 개수</t>
  </si>
  <si>
    <t>OST 요약</t>
  </si>
  <si>
    <t>POP 개수</t>
  </si>
  <si>
    <t>POP 요약</t>
  </si>
  <si>
    <t>가요 개수</t>
  </si>
  <si>
    <t>가요 요약</t>
  </si>
  <si>
    <t>클래식 개수</t>
  </si>
  <si>
    <t>클래식 요약</t>
  </si>
  <si>
    <t>전체 개수</t>
  </si>
  <si>
    <t>edr</t>
  </si>
  <si>
    <t>3개월</t>
  </si>
  <si>
    <t>216원</t>
  </si>
  <si>
    <t>gfdgd</t>
  </si>
  <si>
    <t>54,789,468원</t>
  </si>
  <si>
    <t>홍길동</t>
  </si>
  <si>
    <t>46,500원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</si>
</sst>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₩&quot;#,##0;[Red]\-&quot;₩&quot;#,##0"/>
    <numFmt numFmtId="41" formatCode="_-* #,##0_-;\-* #,##0_-;_-* &quot;-&quot;_-;_-@_-"/>
    <numFmt numFmtId="176" formatCode="0.0%"/>
    <numFmt numFmtId="177" formatCode="[Red][&gt;0]0.0;[Blue][&lt;0]\-0.0;;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3" fontId="0" fillId="0" borderId="1" xfId="0" applyNumberFormat="1" applyFill="1" applyBorder="1" applyAlignment="1">
      <alignment horizontal="right"/>
    </xf>
    <xf numFmtId="0" fontId="0" fillId="0" borderId="1" xfId="0" applyFill="1" applyBorder="1" applyAlignment="1">
      <alignment horizontal="center"/>
    </xf>
    <xf numFmtId="0" fontId="0" fillId="0" borderId="0" xfId="0" applyAlignment="1"/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vertical="center" wrapText="1"/>
    </xf>
    <xf numFmtId="41" fontId="5" fillId="0" borderId="1" xfId="1" applyFont="1" applyFill="1" applyBorder="1" applyAlignment="1" applyProtection="1">
      <alignment horizontal="right" vertical="center" wrapText="1"/>
    </xf>
    <xf numFmtId="0" fontId="5" fillId="0" borderId="1" xfId="0" applyFont="1" applyBorder="1" applyAlignment="1">
      <alignment horizontal="right" vertical="center" wrapText="1"/>
    </xf>
    <xf numFmtId="0" fontId="5" fillId="0" borderId="3" xfId="0" applyFont="1" applyBorder="1" applyAlignment="1">
      <alignment horizontal="right" vertical="center" wrapText="1"/>
    </xf>
    <xf numFmtId="0" fontId="5" fillId="0" borderId="4" xfId="0" applyFont="1" applyBorder="1" applyAlignment="1">
      <alignment horizontal="right" vertical="center" wrapText="1"/>
    </xf>
    <xf numFmtId="0" fontId="6" fillId="0" borderId="4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vertical="center" wrapText="1"/>
    </xf>
    <xf numFmtId="0" fontId="5" fillId="2" borderId="4" xfId="0" applyFont="1" applyFill="1" applyBorder="1" applyAlignment="1">
      <alignment horizontal="right" vertical="center" wrapText="1"/>
    </xf>
    <xf numFmtId="0" fontId="5" fillId="2" borderId="3" xfId="0" applyFont="1" applyFill="1" applyBorder="1" applyAlignment="1">
      <alignment horizontal="right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vertical="center" wrapText="1"/>
    </xf>
    <xf numFmtId="0" fontId="5" fillId="2" borderId="2" xfId="0" applyFont="1" applyFill="1" applyBorder="1" applyAlignment="1">
      <alignment horizontal="right" vertical="center" wrapText="1"/>
    </xf>
    <xf numFmtId="0" fontId="5" fillId="2" borderId="1" xfId="0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7" fillId="0" borderId="1" xfId="1" applyFont="1" applyBorder="1">
      <alignment vertical="center"/>
    </xf>
    <xf numFmtId="176" fontId="0" fillId="0" borderId="1" xfId="2" applyNumberFormat="1" applyFont="1" applyBorder="1">
      <alignment vertical="center"/>
    </xf>
    <xf numFmtId="176" fontId="0" fillId="0" borderId="1" xfId="2" applyNumberFormat="1" applyFon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6" fontId="0" fillId="0" borderId="1" xfId="1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0" fontId="6" fillId="0" borderId="1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41" fontId="5" fillId="0" borderId="0" xfId="1" applyFont="1" applyFill="1" applyBorder="1" applyAlignment="1" applyProtection="1">
      <alignment horizontal="right" vertical="center" wrapText="1"/>
    </xf>
    <xf numFmtId="0" fontId="0" fillId="0" borderId="1" xfId="0" applyBorder="1" applyAlignment="1">
      <alignment horizontal="center"/>
    </xf>
    <xf numFmtId="3" fontId="0" fillId="0" borderId="1" xfId="0" applyNumberFormat="1" applyBorder="1" applyAlignment="1">
      <alignment horizontal="right"/>
    </xf>
    <xf numFmtId="177" fontId="0" fillId="0" borderId="1" xfId="0" applyNumberFormat="1" applyBorder="1">
      <alignment vertical="center"/>
    </xf>
    <xf numFmtId="0" fontId="2" fillId="0" borderId="0" xfId="0" applyFont="1">
      <alignment vertical="center"/>
    </xf>
  </cellXfs>
  <cellStyles count="3">
    <cellStyle name="백분율" xfId="2" builtinId="5"/>
    <cellStyle name="쉼표 [0]" xfId="1" builtinId="6"/>
    <cellStyle name="표준" xfId="0" builtinId="0"/>
  </cellStyles>
  <dxfs count="1">
    <dxf>
      <font>
        <b/>
        <i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'기타작업-1'!$B$4:$E$4</c:f>
              <c:numCache>
                <c:formatCode>#,##0</c:formatCode>
                <c:ptCount val="4"/>
                <c:pt idx="0">
                  <c:v>3</c:v>
                </c:pt>
                <c:pt idx="1">
                  <c:v>26</c:v>
                </c:pt>
                <c:pt idx="2">
                  <c:v>20</c:v>
                </c:pt>
                <c:pt idx="3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D3-4DE1-AF32-62BDB21D7CDB}"/>
            </c:ext>
          </c:extLst>
        </c:ser>
        <c:ser>
          <c:idx val="1"/>
          <c:order val="1"/>
          <c:tx>
            <c:strRef>
              <c:f>'기타작업-1'!$A$5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'기타작업-1'!$B$5:$E$5</c:f>
              <c:numCache>
                <c:formatCode>#,##0</c:formatCode>
                <c:ptCount val="4"/>
                <c:pt idx="0">
                  <c:v>2</c:v>
                </c:pt>
                <c:pt idx="1">
                  <c:v>27</c:v>
                </c:pt>
                <c:pt idx="2">
                  <c:v>9</c:v>
                </c:pt>
                <c:pt idx="3">
                  <c:v>176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D3-4DE1-AF32-62BDB21D7CDB}"/>
            </c:ext>
          </c:extLst>
        </c:ser>
        <c:ser>
          <c:idx val="2"/>
          <c:order val="2"/>
          <c:tx>
            <c:strRef>
              <c:f>'기타작업-1'!$A$6</c:f>
              <c:strCache>
                <c:ptCount val="1"/>
                <c:pt idx="0">
                  <c:v>인천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'기타작업-1'!$B$6:$E$6</c:f>
              <c:numCache>
                <c:formatCode>#,##0</c:formatCode>
                <c:ptCount val="4"/>
                <c:pt idx="0">
                  <c:v>3</c:v>
                </c:pt>
                <c:pt idx="1">
                  <c:v>12</c:v>
                </c:pt>
                <c:pt idx="2">
                  <c:v>4</c:v>
                </c:pt>
                <c:pt idx="3">
                  <c:v>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D3-4DE1-AF32-62BDB21D7CDB}"/>
            </c:ext>
          </c:extLst>
        </c:ser>
        <c:ser>
          <c:idx val="3"/>
          <c:order val="3"/>
          <c:tx>
            <c:strRef>
              <c:f>'기타작업-1'!$A$7</c:f>
              <c:strCache>
                <c:ptCount val="1"/>
                <c:pt idx="0">
                  <c:v>강원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'기타작업-1'!$B$7:$E$7</c:f>
              <c:numCache>
                <c:formatCode>#,##0</c:formatCode>
                <c:ptCount val="4"/>
                <c:pt idx="0">
                  <c:v>1</c:v>
                </c:pt>
                <c:pt idx="1">
                  <c:v>18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997-452B-A4A6-BBE30229F7A3}"/>
            </c:ext>
          </c:extLst>
        </c:ser>
        <c:ser>
          <c:idx val="4"/>
          <c:order val="4"/>
          <c:tx>
            <c:strRef>
              <c:f>'기타작업-1'!$A$8</c:f>
              <c:strCache>
                <c:ptCount val="1"/>
                <c:pt idx="0">
                  <c:v>충북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'기타작업-1'!$B$8:$E$8</c:f>
              <c:numCache>
                <c:formatCode>#,##0</c:formatCode>
                <c:ptCount val="4"/>
                <c:pt idx="0">
                  <c:v>1</c:v>
                </c:pt>
                <c:pt idx="1">
                  <c:v>16</c:v>
                </c:pt>
                <c:pt idx="2">
                  <c:v>5</c:v>
                </c:pt>
                <c:pt idx="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997-452B-A4A6-BBE30229F7A3}"/>
            </c:ext>
          </c:extLst>
        </c:ser>
        <c:ser>
          <c:idx val="5"/>
          <c:order val="5"/>
          <c:tx>
            <c:strRef>
              <c:f>'기타작업-1'!$A$9</c:f>
              <c:strCache>
                <c:ptCount val="1"/>
                <c:pt idx="0">
                  <c:v>충남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'기타작업-1'!$B$9:$E$9</c:f>
              <c:numCache>
                <c:formatCode>#,##0</c:formatCode>
                <c:ptCount val="4"/>
                <c:pt idx="0">
                  <c:v>1</c:v>
                </c:pt>
                <c:pt idx="1">
                  <c:v>17</c:v>
                </c:pt>
                <c:pt idx="2">
                  <c:v>3</c:v>
                </c:pt>
                <c:pt idx="3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997-452B-A4A6-BBE30229F7A3}"/>
            </c:ext>
          </c:extLst>
        </c:ser>
        <c:ser>
          <c:idx val="6"/>
          <c:order val="6"/>
          <c:tx>
            <c:strRef>
              <c:f>'기타작업-1'!$A$10</c:f>
              <c:strCache>
                <c:ptCount val="1"/>
                <c:pt idx="0">
                  <c:v>전북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'기타작업-1'!$B$10:$E$10</c:f>
              <c:numCache>
                <c:formatCode>#,##0</c:formatCode>
                <c:ptCount val="4"/>
                <c:pt idx="0">
                  <c:v>1</c:v>
                </c:pt>
                <c:pt idx="1">
                  <c:v>20</c:v>
                </c:pt>
                <c:pt idx="2">
                  <c:v>6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97-452B-A4A6-BBE30229F7A3}"/>
            </c:ext>
          </c:extLst>
        </c:ser>
        <c:ser>
          <c:idx val="7"/>
          <c:order val="7"/>
          <c:tx>
            <c:strRef>
              <c:f>'기타작업-1'!$A$11</c:f>
              <c:strCache>
                <c:ptCount val="1"/>
                <c:pt idx="0">
                  <c:v>전남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'기타작업-1'!$B$11:$E$11</c:f>
              <c:numCache>
                <c:formatCode>#,##0</c:formatCode>
                <c:ptCount val="4"/>
                <c:pt idx="0">
                  <c:v>1</c:v>
                </c:pt>
                <c:pt idx="1">
                  <c:v>23</c:v>
                </c:pt>
                <c:pt idx="2">
                  <c:v>4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997-452B-A4A6-BBE30229F7A3}"/>
            </c:ext>
          </c:extLst>
        </c:ser>
        <c:ser>
          <c:idx val="8"/>
          <c:order val="8"/>
          <c:tx>
            <c:strRef>
              <c:f>'기타작업-1'!$A$12</c:f>
              <c:strCache>
                <c:ptCount val="1"/>
                <c:pt idx="0">
                  <c:v>경북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'기타작업-1'!$B$12:$E$12</c:f>
              <c:numCache>
                <c:formatCode>#,##0</c:formatCode>
                <c:ptCount val="4"/>
                <c:pt idx="0">
                  <c:v>2</c:v>
                </c:pt>
                <c:pt idx="1">
                  <c:v>28</c:v>
                </c:pt>
                <c:pt idx="2">
                  <c:v>8</c:v>
                </c:pt>
                <c:pt idx="3">
                  <c:v>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997-452B-A4A6-BBE30229F7A3}"/>
            </c:ext>
          </c:extLst>
        </c:ser>
        <c:ser>
          <c:idx val="9"/>
          <c:order val="9"/>
          <c:tx>
            <c:strRef>
              <c:f>'기타작업-1'!$A$13</c:f>
              <c:strCache>
                <c:ptCount val="1"/>
                <c:pt idx="0">
                  <c:v>경남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'기타작업-1'!$B$13:$E$13</c:f>
              <c:numCache>
                <c:formatCode>#,##0</c:formatCode>
                <c:ptCount val="4"/>
                <c:pt idx="0">
                  <c:v>2</c:v>
                </c:pt>
                <c:pt idx="1">
                  <c:v>27</c:v>
                </c:pt>
                <c:pt idx="2">
                  <c:v>5</c:v>
                </c:pt>
                <c:pt idx="3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997-452B-A4A6-BBE30229F7A3}"/>
            </c:ext>
          </c:extLst>
        </c:ser>
        <c:ser>
          <c:idx val="10"/>
          <c:order val="10"/>
          <c:tx>
            <c:strRef>
              <c:f>'기타작업-1'!$A$14</c:f>
              <c:strCache>
                <c:ptCount val="1"/>
                <c:pt idx="0">
                  <c:v>제주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'기타작업-1'!$B$3:$E$3</c:f>
              <c:strCache>
                <c:ptCount val="4"/>
                <c:pt idx="0">
                  <c:v>영재·과학고</c:v>
                </c:pt>
                <c:pt idx="1">
                  <c:v>교육청</c:v>
                </c:pt>
                <c:pt idx="2">
                  <c:v>대학영재</c:v>
                </c:pt>
                <c:pt idx="3">
                  <c:v>영재학급</c:v>
                </c:pt>
              </c:strCache>
            </c:strRef>
          </c:cat>
          <c:val>
            <c:numRef>
              <c:f>'기타작업-1'!$B$14:$E$14</c:f>
              <c:numCache>
                <c:formatCode>#,##0</c:formatCode>
                <c:ptCount val="4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997-452B-A4A6-BBE30229F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6341535"/>
        <c:axId val="1356342367"/>
      </c:barChart>
      <c:catAx>
        <c:axId val="135634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2367"/>
        <c:crosses val="autoZero"/>
        <c:auto val="1"/>
        <c:lblAlgn val="ctr"/>
        <c:lblOffset val="100"/>
        <c:noMultiLvlLbl val="0"/>
      </c:catAx>
      <c:valAx>
        <c:axId val="1356342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153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 (2)'!$B$2</c:f>
          <c:strCache>
            <c:ptCount val="1"/>
            <c:pt idx="0">
              <c:v>시도별/기관유형별 영재교육기관수</c:v>
            </c:pt>
          </c:strCache>
        </c:strRef>
      </c:tx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dk1"/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>
        <c:manualLayout>
          <c:layoutTarget val="inner"/>
          <c:xMode val="edge"/>
          <c:yMode val="edge"/>
          <c:x val="3.3255230069421396E-2"/>
          <c:y val="0.10303030303030303"/>
          <c:w val="0.93268772437928016"/>
          <c:h val="0.8131868289191124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'기타작업-1 (2)'!$B$3</c:f>
              <c:strCache>
                <c:ptCount val="1"/>
                <c:pt idx="0">
                  <c:v>영재·과학고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 (2)'!$A$4:$A$14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 (2)'!$B$4:$B$14</c:f>
              <c:numCache>
                <c:formatCode>#,##0</c:formatCode>
                <c:ptCount val="11"/>
                <c:pt idx="0">
                  <c:v>3</c:v>
                </c:pt>
                <c:pt idx="1">
                  <c:v>2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A3-4C44-8977-328AEBA397CF}"/>
            </c:ext>
          </c:extLst>
        </c:ser>
        <c:ser>
          <c:idx val="2"/>
          <c:order val="1"/>
          <c:tx>
            <c:strRef>
              <c:f>'기타작업-1 (2)'!$D$3</c:f>
              <c:strCache>
                <c:ptCount val="1"/>
                <c:pt idx="0">
                  <c:v>대학영재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'기타작업-1 (2)'!$A$4:$A$14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 (2)'!$D$4:$D$14</c:f>
              <c:numCache>
                <c:formatCode>#,##0</c:formatCode>
                <c:ptCount val="11"/>
                <c:pt idx="0">
                  <c:v>20</c:v>
                </c:pt>
                <c:pt idx="1">
                  <c:v>9</c:v>
                </c:pt>
                <c:pt idx="2">
                  <c:v>4</c:v>
                </c:pt>
                <c:pt idx="3">
                  <c:v>3</c:v>
                </c:pt>
                <c:pt idx="4">
                  <c:v>5</c:v>
                </c:pt>
                <c:pt idx="5">
                  <c:v>3</c:v>
                </c:pt>
                <c:pt idx="6">
                  <c:v>6</c:v>
                </c:pt>
                <c:pt idx="7">
                  <c:v>4</c:v>
                </c:pt>
                <c:pt idx="8">
                  <c:v>8</c:v>
                </c:pt>
                <c:pt idx="9">
                  <c:v>5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A3-4C44-8977-328AEBA397CF}"/>
            </c:ext>
          </c:extLst>
        </c:ser>
        <c:ser>
          <c:idx val="1"/>
          <c:order val="2"/>
          <c:tx>
            <c:strRef>
              <c:f>'기타작업-1 (2)'!$C$3</c:f>
              <c:strCache>
                <c:ptCount val="1"/>
                <c:pt idx="0">
                  <c:v>교육청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8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threePt" dir="t"/>
              </a:scene3d>
              <a:sp3d prstMaterial="metal">
                <a:bevelT w="88900" h="88900"/>
              </a:sp3d>
            </c:spPr>
            <c:extLst>
              <c:ext xmlns:c16="http://schemas.microsoft.com/office/drawing/2014/chart" uri="{C3380CC4-5D6E-409C-BE32-E72D297353CC}">
                <c16:uniqueId val="{00000003-21A3-4C44-8977-328AEBA397CF}"/>
              </c:ext>
            </c:extLst>
          </c:dPt>
          <c:dLbls>
            <c:dLbl>
              <c:idx val="8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1A3-4C44-8977-328AEBA397C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'기타작업-1 (2)'!$A$4:$A$14</c:f>
              <c:strCache>
                <c:ptCount val="11"/>
                <c:pt idx="0">
                  <c:v>서울</c:v>
                </c:pt>
                <c:pt idx="1">
                  <c:v>경기</c:v>
                </c:pt>
                <c:pt idx="2">
                  <c:v>인천</c:v>
                </c:pt>
                <c:pt idx="3">
                  <c:v>강원</c:v>
                </c:pt>
                <c:pt idx="4">
                  <c:v>충북</c:v>
                </c:pt>
                <c:pt idx="5">
                  <c:v>충남</c:v>
                </c:pt>
                <c:pt idx="6">
                  <c:v>전북</c:v>
                </c:pt>
                <c:pt idx="7">
                  <c:v>전남</c:v>
                </c:pt>
                <c:pt idx="8">
                  <c:v>경북</c:v>
                </c:pt>
                <c:pt idx="9">
                  <c:v>경남</c:v>
                </c:pt>
                <c:pt idx="10">
                  <c:v>제주</c:v>
                </c:pt>
              </c:strCache>
            </c:strRef>
          </c:cat>
          <c:val>
            <c:numRef>
              <c:f>'기타작업-1 (2)'!$C$4:$C$14</c:f>
              <c:numCache>
                <c:formatCode>#,##0</c:formatCode>
                <c:ptCount val="11"/>
                <c:pt idx="0">
                  <c:v>26</c:v>
                </c:pt>
                <c:pt idx="1">
                  <c:v>27</c:v>
                </c:pt>
                <c:pt idx="2">
                  <c:v>12</c:v>
                </c:pt>
                <c:pt idx="3">
                  <c:v>18</c:v>
                </c:pt>
                <c:pt idx="4">
                  <c:v>16</c:v>
                </c:pt>
                <c:pt idx="5">
                  <c:v>17</c:v>
                </c:pt>
                <c:pt idx="6">
                  <c:v>20</c:v>
                </c:pt>
                <c:pt idx="7">
                  <c:v>23</c:v>
                </c:pt>
                <c:pt idx="8">
                  <c:v>28</c:v>
                </c:pt>
                <c:pt idx="9">
                  <c:v>27</c:v>
                </c:pt>
                <c:pt idx="1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A3-4C44-8977-328AEBA397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30"/>
        <c:axId val="1356341535"/>
        <c:axId val="1356342367"/>
      </c:barChart>
      <c:catAx>
        <c:axId val="1356341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2367"/>
        <c:crossesAt val="5"/>
        <c:auto val="1"/>
        <c:lblAlgn val="ctr"/>
        <c:lblOffset val="100"/>
        <c:noMultiLvlLbl val="0"/>
      </c:catAx>
      <c:valAx>
        <c:axId val="1356342367"/>
        <c:scaling>
          <c:orientation val="minMax"/>
          <c:max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56341535"/>
        <c:crosses val="autoZero"/>
        <c:crossBetween val="between"/>
        <c:maj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16</xdr:row>
      <xdr:rowOff>0</xdr:rowOff>
    </xdr:from>
    <xdr:to>
      <xdr:col>10</xdr:col>
      <xdr:colOff>0</xdr:colOff>
      <xdr:row>36</xdr:row>
      <xdr:rowOff>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15</xdr:row>
      <xdr:rowOff>200025</xdr:rowOff>
    </xdr:from>
    <xdr:to>
      <xdr:col>10</xdr:col>
      <xdr:colOff>142875</xdr:colOff>
      <xdr:row>35</xdr:row>
      <xdr:rowOff>200025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594F9DC4-45DA-4BA5-96EE-59373B2D9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6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59F311A4-4AB2-41D1-AD20-FE61882D7B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28132E8E-FB68-46FF-8589-02326464F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28575</xdr:rowOff>
        </xdr:from>
        <xdr:to>
          <xdr:col>6</xdr:col>
          <xdr:colOff>409575</xdr:colOff>
          <xdr:row>1</xdr:row>
          <xdr:rowOff>190500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104775</xdr:colOff>
          <xdr:row>0</xdr:row>
          <xdr:rowOff>28575</xdr:rowOff>
        </xdr:from>
        <xdr:to>
          <xdr:col>6</xdr:col>
          <xdr:colOff>409575</xdr:colOff>
          <xdr:row>1</xdr:row>
          <xdr:rowOff>190500</xdr:rowOff>
        </xdr:to>
        <xdr:sp macro="" textlink="">
          <xdr:nvSpPr>
            <xdr:cNvPr id="10241" name="cmd등록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1DEA1893-1484-4992-9D3E-78B1698A1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dministrator/Desktop/2419&#52980;1marc/240717&#49688;_123&#49688;&#50629;/&#19978;&#49884;&#44592;&#52636;&#47928;&#51228;2&#54924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</sheetNames>
    <definedNames>
      <definedName name="서식적용"/>
      <definedName name="서식해제"/>
    </definedNames>
    <sheetDataSet>
      <sheetData sheetId="0"/>
      <sheetData sheetId="1"/>
      <sheetData sheetId="2"/>
      <sheetData sheetId="3" refreshError="1"/>
      <sheetData sheetId="4" refreshError="1"/>
      <sheetData sheetId="5">
        <row r="2">
          <cell r="B2" t="str">
            <v>시도별/기관유형별 영재교육기관수</v>
          </cell>
        </row>
        <row r="3">
          <cell r="B3" t="str">
            <v>영재·과학고</v>
          </cell>
          <cell r="C3" t="str">
            <v>교육청</v>
          </cell>
          <cell r="D3" t="str">
            <v>대학영재</v>
          </cell>
        </row>
        <row r="4">
          <cell r="A4" t="str">
            <v>서울</v>
          </cell>
          <cell r="B4">
            <v>3</v>
          </cell>
          <cell r="C4">
            <v>26</v>
          </cell>
          <cell r="D4">
            <v>20</v>
          </cell>
        </row>
        <row r="5">
          <cell r="A5" t="str">
            <v>경기</v>
          </cell>
          <cell r="B5">
            <v>2</v>
          </cell>
          <cell r="C5">
            <v>27</v>
          </cell>
          <cell r="D5">
            <v>9</v>
          </cell>
        </row>
        <row r="6">
          <cell r="A6" t="str">
            <v>인천</v>
          </cell>
          <cell r="B6">
            <v>3</v>
          </cell>
          <cell r="C6">
            <v>12</v>
          </cell>
          <cell r="D6">
            <v>4</v>
          </cell>
        </row>
        <row r="7">
          <cell r="A7" t="str">
            <v>강원</v>
          </cell>
          <cell r="B7">
            <v>1</v>
          </cell>
          <cell r="C7">
            <v>18</v>
          </cell>
          <cell r="D7">
            <v>3</v>
          </cell>
        </row>
        <row r="8">
          <cell r="A8" t="str">
            <v>충북</v>
          </cell>
          <cell r="B8">
            <v>1</v>
          </cell>
          <cell r="C8">
            <v>16</v>
          </cell>
          <cell r="D8">
            <v>5</v>
          </cell>
        </row>
        <row r="9">
          <cell r="A9" t="str">
            <v>충남</v>
          </cell>
          <cell r="B9">
            <v>1</v>
          </cell>
          <cell r="C9">
            <v>17</v>
          </cell>
          <cell r="D9">
            <v>3</v>
          </cell>
        </row>
        <row r="10">
          <cell r="A10" t="str">
            <v>전북</v>
          </cell>
          <cell r="B10">
            <v>1</v>
          </cell>
          <cell r="C10">
            <v>20</v>
          </cell>
          <cell r="D10">
            <v>6</v>
          </cell>
        </row>
        <row r="11">
          <cell r="A11" t="str">
            <v>전남</v>
          </cell>
          <cell r="B11">
            <v>1</v>
          </cell>
          <cell r="C11">
            <v>23</v>
          </cell>
          <cell r="D11">
            <v>4</v>
          </cell>
        </row>
        <row r="12">
          <cell r="A12" t="str">
            <v>경북</v>
          </cell>
          <cell r="B12">
            <v>2</v>
          </cell>
          <cell r="C12">
            <v>28</v>
          </cell>
          <cell r="D12">
            <v>8</v>
          </cell>
        </row>
        <row r="13">
          <cell r="A13" t="str">
            <v>경남</v>
          </cell>
          <cell r="B13">
            <v>2</v>
          </cell>
          <cell r="C13">
            <v>27</v>
          </cell>
          <cell r="D13">
            <v>5</v>
          </cell>
        </row>
        <row r="14">
          <cell r="A14" t="str">
            <v>제주</v>
          </cell>
          <cell r="B14">
            <v>1</v>
          </cell>
          <cell r="C14">
            <v>5</v>
          </cell>
          <cell r="D14">
            <v>1</v>
          </cell>
        </row>
      </sheetData>
      <sheetData sheetId="6" refreshError="1"/>
      <sheetData sheetId="7" refreshError="1"/>
    </sheetDataSet>
  </externalBook>
</externalLink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user" refreshedDate="45387.392772453706" backgroundQuery="1" createdVersion="7" refreshedVersion="7" minRefreshableVersion="3" recordCount="0" supportSubquery="1" supportAdvancedDrill="1" xr:uid="{977D219D-90F6-47E9-8263-76ABA77723E9}">
  <cacheSource type="external" connectionId="1"/>
  <cacheFields count="4">
    <cacheField name="[Measures].[합계: 성적]" caption="합계: 성적" numFmtId="0" hierarchy="6" level="32767"/>
    <cacheField name="[성적관리].[교과과목명].[교과과목명]" caption="교과과목명" numFmtId="0" level="1">
      <sharedItems count="4">
        <s v="데이터분석"/>
        <s v="시스템보안"/>
        <s v="에너지융합"/>
        <s v="인지과학"/>
      </sharedItems>
    </cacheField>
    <cacheField name="[성적관리].[평가월].[평가월]" caption="평가월" numFmtId="0" hierarchy="2" level="1">
      <sharedItems count="4">
        <s v="3월"/>
        <s v="4월"/>
        <s v="5월"/>
        <s v="6월"/>
      </sharedItems>
    </cacheField>
    <cacheField name="[성적관리].[성별].[성별]" caption="성별" numFmtId="0" hierarchy="1" level="1">
      <sharedItems count="2">
        <s v="남"/>
        <s v="여"/>
      </sharedItems>
    </cacheField>
  </cacheFields>
  <cacheHierarchies count="7">
    <cacheHierarchy uniqueName="[성적관리].[교과과목명]" caption="교과과목명" attribute="1" defaultMemberUniqueName="[성적관리].[교과과목명].[All]" allUniqueName="[성적관리].[교과과목명].[All]" dimensionUniqueName="[성적관리]" displayFolder="" count="2" memberValueDatatype="130" unbalanced="0">
      <fieldsUsage count="2">
        <fieldUsage x="-1"/>
        <fieldUsage x="1"/>
      </fieldsUsage>
    </cacheHierarchy>
    <cacheHierarchy uniqueName="[성적관리].[성별]" caption="성별" attribute="1" defaultMemberUniqueName="[성적관리].[성별].[All]" allUniqueName="[성적관리].[성별].[All]" dimensionUniqueName="[성적관리]" displayFolder="" count="2" memberValueDatatype="130" unbalanced="0">
      <fieldsUsage count="2">
        <fieldUsage x="-1"/>
        <fieldUsage x="3"/>
      </fieldsUsage>
    </cacheHierarchy>
    <cacheHierarchy uniqueName="[성적관리].[평가월]" caption="평가월" attribute="1" defaultMemberUniqueName="[성적관리].[평가월].[All]" allUniqueName="[성적관리].[평가월].[All]" dimensionUniqueName="[성적관리]" displayFolder="" count="2" memberValueDatatype="130" unbalanced="0">
      <fieldsUsage count="2">
        <fieldUsage x="-1"/>
        <fieldUsage x="2"/>
      </fieldsUsage>
    </cacheHierarchy>
    <cacheHierarchy uniqueName="[성적관리].[성적]" caption="성적" attribute="1" defaultMemberUniqueName="[성적관리].[성적].[All]" allUniqueName="[성적관리].[성적].[All]" dimensionUniqueName="[성적관리]" displayFolder="" count="0" memberValueDatatype="20" unbalanced="0"/>
    <cacheHierarchy uniqueName="[Measures].[__XL_Count 성적관리]" caption="__XL_Count 성적관리" measure="1" displayFolder="" measureGroup="성적관리" count="0" hidden="1"/>
    <cacheHierarchy uniqueName="[Measures].[__No measures defined]" caption="__No measures defined" measure="1" displayFolder="" count="0" hidden="1"/>
    <cacheHierarchy uniqueName="[Measures].[합계: 성적]" caption="합계: 성적" measure="1" displayFolder="" measureGroup="성적관리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2">
    <dimension measure="1" name="Measures" uniqueName="[Measures]" caption="Measures"/>
    <dimension name="성적관리" uniqueName="[성적관리]" caption="성적관리"/>
  </dimensions>
  <measureGroups count="1">
    <measureGroup name="성적관리" caption="성적관리"/>
  </measureGroups>
  <maps count="1">
    <map measureGroup="0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0313F0-58C6-448A-84A6-F4F91056AB19}" name="피벗 테이블1" cacheId="2" applyNumberFormats="0" applyBorderFormats="0" applyFontFormats="0" applyPatternFormats="0" applyAlignmentFormats="0" applyWidthHeightFormats="1" dataCaption="값" updatedVersion="7" minRefreshableVersion="3" showDrill="0" useAutoFormatting="1" itemPrintTitles="1" createdVersion="7" indent="0" compact="0" outline="1" outlineData="1" compactData="0" multipleFieldFilters="0">
  <location ref="B2:F24" firstHeaderRow="1" firstDataRow="2" firstDataCol="2"/>
  <pivotFields count="4">
    <pivotField dataField="1" compact="0" showAll="0" defaultSubtotal="0"/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Row" compact="0" allDrilled="1" showAll="0" dataSourceSort="1" defaultAttributeDrillState="1">
      <items count="5">
        <item x="0"/>
        <item x="1"/>
        <item x="2"/>
        <item x="3"/>
        <item t="default"/>
      </items>
    </pivotField>
    <pivotField axis="axisCol" compact="0" allDrilled="1" showAll="0" dataSourceSort="1" defaultAttributeDrillState="1">
      <items count="3">
        <item x="0"/>
        <item x="1"/>
        <item t="default"/>
      </items>
    </pivotField>
  </pivotFields>
  <rowFields count="2">
    <field x="1"/>
    <field x="2"/>
  </rowFields>
  <rowItems count="21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2"/>
    </i>
    <i r="1">
      <x v="3"/>
    </i>
    <i>
      <x v="2"/>
    </i>
    <i r="1">
      <x/>
    </i>
    <i r="1">
      <x v="1"/>
    </i>
    <i r="1">
      <x v="2"/>
    </i>
    <i r="1">
      <x v="3"/>
    </i>
    <i>
      <x v="3"/>
    </i>
    <i r="1">
      <x/>
    </i>
    <i r="1">
      <x v="1"/>
    </i>
    <i r="1">
      <x v="2"/>
    </i>
    <i r="1">
      <x v="3"/>
    </i>
    <i t="grand">
      <x/>
    </i>
  </rowItems>
  <colFields count="1">
    <field x="3"/>
  </colFields>
  <colItems count="3">
    <i>
      <x/>
    </i>
    <i>
      <x v="1"/>
    </i>
    <i t="grand">
      <x/>
    </i>
  </colItems>
  <dataFields count="1">
    <dataField name="합계: 성적" fld="0" showDataAs="percentOfTotal" baseField="1" baseItem="0" numFmtId="10"/>
  </dataFields>
  <pivotHierarchies count="7"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</pivotHierarchies>
  <pivotTableStyleInfo name="PivotStyleLight16" showRowHeaders="1" showColHeaders="1" showRowStripes="0" showColStripes="0" showLastColumn="1"/>
  <rowHierarchiesUsage count="2">
    <rowHierarchyUsage hierarchyUsage="0"/>
    <rowHierarchyUsage hierarchyUsage="2"/>
  </rowHierarchiesUsage>
  <colHierarchiesUsage count="1">
    <colHierarchyUsage hierarchyUsage="1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성적관리">
        <x15:activeTabTopLevelEntity name="[성적관리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0"/>
  <sheetViews>
    <sheetView workbookViewId="0"/>
  </sheetViews>
  <sheetFormatPr defaultRowHeight="16.5" x14ac:dyDescent="0.3"/>
  <cols>
    <col min="2" max="2" width="14.375" customWidth="1"/>
    <col min="3" max="3" width="13.875" style="1" customWidth="1"/>
  </cols>
  <sheetData>
    <row r="1" spans="1:11" x14ac:dyDescent="0.3">
      <c r="A1" t="s">
        <v>0</v>
      </c>
    </row>
    <row r="2" spans="1:11" x14ac:dyDescent="0.3">
      <c r="A2" s="7" t="s">
        <v>112</v>
      </c>
      <c r="B2" s="7" t="s">
        <v>113</v>
      </c>
      <c r="C2" s="7" t="s">
        <v>114</v>
      </c>
      <c r="D2" s="7" t="s">
        <v>115</v>
      </c>
      <c r="E2" s="7" t="s">
        <v>116</v>
      </c>
      <c r="F2" s="7" t="s">
        <v>117</v>
      </c>
      <c r="G2" s="7" t="s">
        <v>118</v>
      </c>
      <c r="H2" s="7" t="s">
        <v>119</v>
      </c>
      <c r="I2" s="7" t="s">
        <v>120</v>
      </c>
      <c r="J2" s="7" t="s">
        <v>121</v>
      </c>
      <c r="K2" s="7" t="s">
        <v>122</v>
      </c>
    </row>
    <row r="3" spans="1:11" x14ac:dyDescent="0.3">
      <c r="A3" s="8">
        <v>1</v>
      </c>
      <c r="B3" s="9" t="s">
        <v>128</v>
      </c>
      <c r="C3" s="8" t="s">
        <v>127</v>
      </c>
      <c r="D3" s="11">
        <v>92</v>
      </c>
      <c r="E3" s="11">
        <v>97</v>
      </c>
      <c r="F3" s="11">
        <v>88</v>
      </c>
      <c r="G3" s="11">
        <v>92</v>
      </c>
      <c r="H3" s="11">
        <f t="shared" ref="H3:H13" si="0">SUM(D3:G3)</f>
        <v>369</v>
      </c>
      <c r="I3" s="11">
        <f t="shared" ref="I3:I13" si="1">AVERAGE(D3:G3)</f>
        <v>92.25</v>
      </c>
      <c r="J3" s="11">
        <v>4.6100000000000003</v>
      </c>
      <c r="K3" s="11">
        <v>1</v>
      </c>
    </row>
    <row r="4" spans="1:11" x14ac:dyDescent="0.3">
      <c r="A4" s="8">
        <v>2</v>
      </c>
      <c r="B4" s="9" t="s">
        <v>128</v>
      </c>
      <c r="C4" s="8" t="s">
        <v>153</v>
      </c>
      <c r="D4" s="11">
        <v>91</v>
      </c>
      <c r="E4" s="11">
        <v>71</v>
      </c>
      <c r="F4" s="11">
        <v>69</v>
      </c>
      <c r="G4" s="11">
        <v>65</v>
      </c>
      <c r="H4" s="11">
        <f t="shared" si="0"/>
        <v>296</v>
      </c>
      <c r="I4" s="11">
        <f t="shared" si="1"/>
        <v>74</v>
      </c>
      <c r="J4" s="11">
        <v>3.7</v>
      </c>
      <c r="K4" s="11">
        <v>1</v>
      </c>
    </row>
    <row r="5" spans="1:11" x14ac:dyDescent="0.3">
      <c r="A5" s="8">
        <v>3</v>
      </c>
      <c r="B5" s="9" t="s">
        <v>128</v>
      </c>
      <c r="C5" s="8" t="s">
        <v>127</v>
      </c>
      <c r="D5" s="11">
        <v>93</v>
      </c>
      <c r="E5" s="11">
        <v>87</v>
      </c>
      <c r="F5" s="11">
        <v>94</v>
      </c>
      <c r="G5" s="11">
        <v>90</v>
      </c>
      <c r="H5" s="11">
        <f t="shared" si="0"/>
        <v>364</v>
      </c>
      <c r="I5" s="11">
        <f t="shared" si="1"/>
        <v>91</v>
      </c>
      <c r="J5" s="11">
        <v>4.55</v>
      </c>
      <c r="K5" s="11">
        <v>0</v>
      </c>
    </row>
    <row r="6" spans="1:11" x14ac:dyDescent="0.3">
      <c r="A6" s="8">
        <v>4</v>
      </c>
      <c r="B6" s="9" t="s">
        <v>125</v>
      </c>
      <c r="C6" s="8" t="s">
        <v>154</v>
      </c>
      <c r="D6" s="11">
        <v>62</v>
      </c>
      <c r="E6" s="11">
        <v>88</v>
      </c>
      <c r="F6" s="11">
        <v>92</v>
      </c>
      <c r="G6" s="11">
        <v>62</v>
      </c>
      <c r="H6" s="11">
        <f t="shared" si="0"/>
        <v>304</v>
      </c>
      <c r="I6" s="11">
        <f t="shared" si="1"/>
        <v>76</v>
      </c>
      <c r="J6" s="11">
        <v>3.8</v>
      </c>
      <c r="K6" s="11">
        <v>3</v>
      </c>
    </row>
    <row r="7" spans="1:11" x14ac:dyDescent="0.3">
      <c r="A7" s="8">
        <v>5</v>
      </c>
      <c r="B7" s="9" t="s">
        <v>125</v>
      </c>
      <c r="C7" s="8" t="s">
        <v>155</v>
      </c>
      <c r="D7" s="11">
        <v>72</v>
      </c>
      <c r="E7" s="11">
        <v>51</v>
      </c>
      <c r="F7" s="11">
        <v>64</v>
      </c>
      <c r="G7" s="11">
        <v>70</v>
      </c>
      <c r="H7" s="11">
        <f t="shared" si="0"/>
        <v>257</v>
      </c>
      <c r="I7" s="11">
        <f t="shared" si="1"/>
        <v>64.25</v>
      </c>
      <c r="J7" s="11">
        <v>3.21</v>
      </c>
      <c r="K7" s="11">
        <v>0</v>
      </c>
    </row>
    <row r="8" spans="1:11" x14ac:dyDescent="0.3">
      <c r="A8" s="8">
        <v>6</v>
      </c>
      <c r="B8" s="9" t="s">
        <v>125</v>
      </c>
      <c r="C8" s="8" t="s">
        <v>156</v>
      </c>
      <c r="D8" s="11">
        <v>75</v>
      </c>
      <c r="E8" s="11">
        <v>72</v>
      </c>
      <c r="F8" s="11">
        <v>88</v>
      </c>
      <c r="G8" s="11">
        <v>85</v>
      </c>
      <c r="H8" s="11">
        <f t="shared" si="0"/>
        <v>320</v>
      </c>
      <c r="I8" s="11">
        <f t="shared" si="1"/>
        <v>80</v>
      </c>
      <c r="J8" s="11">
        <v>4</v>
      </c>
      <c r="K8" s="11">
        <v>0</v>
      </c>
    </row>
    <row r="9" spans="1:11" x14ac:dyDescent="0.3">
      <c r="A9" s="8">
        <v>7</v>
      </c>
      <c r="B9" s="9" t="s">
        <v>125</v>
      </c>
      <c r="C9" s="8" t="s">
        <v>157</v>
      </c>
      <c r="D9" s="11">
        <v>88</v>
      </c>
      <c r="E9" s="11">
        <v>92</v>
      </c>
      <c r="F9" s="11">
        <v>88</v>
      </c>
      <c r="G9" s="11">
        <v>86</v>
      </c>
      <c r="H9" s="11">
        <f t="shared" si="0"/>
        <v>354</v>
      </c>
      <c r="I9" s="11">
        <f t="shared" si="1"/>
        <v>88.5</v>
      </c>
      <c r="J9" s="11">
        <v>4.43</v>
      </c>
      <c r="K9" s="11">
        <v>0</v>
      </c>
    </row>
    <row r="10" spans="1:11" x14ac:dyDescent="0.3">
      <c r="A10" s="8">
        <v>8</v>
      </c>
      <c r="B10" s="9" t="s">
        <v>125</v>
      </c>
      <c r="C10" s="8" t="s">
        <v>158</v>
      </c>
      <c r="D10" s="11">
        <v>95</v>
      </c>
      <c r="E10" s="11">
        <v>93</v>
      </c>
      <c r="F10" s="11">
        <v>92</v>
      </c>
      <c r="G10" s="11">
        <v>92</v>
      </c>
      <c r="H10" s="11">
        <f t="shared" si="0"/>
        <v>372</v>
      </c>
      <c r="I10" s="11">
        <f t="shared" si="1"/>
        <v>93</v>
      </c>
      <c r="J10" s="11">
        <v>4.6500000000000004</v>
      </c>
      <c r="K10" s="11">
        <v>0</v>
      </c>
    </row>
    <row r="11" spans="1:11" x14ac:dyDescent="0.3">
      <c r="A11" s="8">
        <v>9</v>
      </c>
      <c r="B11" s="9" t="s">
        <v>135</v>
      </c>
      <c r="C11" s="8" t="s">
        <v>127</v>
      </c>
      <c r="D11" s="11">
        <v>70</v>
      </c>
      <c r="E11" s="11">
        <v>45</v>
      </c>
      <c r="F11" s="11">
        <v>55</v>
      </c>
      <c r="G11" s="11">
        <v>62</v>
      </c>
      <c r="H11" s="11">
        <f t="shared" si="0"/>
        <v>232</v>
      </c>
      <c r="I11" s="11">
        <f t="shared" si="1"/>
        <v>58</v>
      </c>
      <c r="J11" s="11">
        <v>2.9</v>
      </c>
      <c r="K11" s="11">
        <v>2</v>
      </c>
    </row>
    <row r="12" spans="1:11" x14ac:dyDescent="0.3">
      <c r="A12" s="8">
        <v>10</v>
      </c>
      <c r="B12" s="9" t="s">
        <v>130</v>
      </c>
      <c r="C12" s="8" t="s">
        <v>159</v>
      </c>
      <c r="D12" s="11">
        <v>63</v>
      </c>
      <c r="E12" s="11">
        <v>67</v>
      </c>
      <c r="F12" s="11">
        <v>70</v>
      </c>
      <c r="G12" s="11">
        <v>65</v>
      </c>
      <c r="H12" s="11">
        <f t="shared" si="0"/>
        <v>265</v>
      </c>
      <c r="I12" s="11">
        <f t="shared" si="1"/>
        <v>66.25</v>
      </c>
      <c r="J12" s="11">
        <v>3.31</v>
      </c>
      <c r="K12" s="11">
        <v>2</v>
      </c>
    </row>
    <row r="13" spans="1:11" x14ac:dyDescent="0.3">
      <c r="A13" s="8">
        <v>11</v>
      </c>
      <c r="B13" s="9" t="s">
        <v>135</v>
      </c>
      <c r="C13" s="8" t="s">
        <v>127</v>
      </c>
      <c r="D13" s="11">
        <v>72</v>
      </c>
      <c r="E13" s="11">
        <v>88</v>
      </c>
      <c r="F13" s="11">
        <v>92</v>
      </c>
      <c r="G13" s="11">
        <v>80</v>
      </c>
      <c r="H13" s="11">
        <f t="shared" si="0"/>
        <v>332</v>
      </c>
      <c r="I13" s="11">
        <f t="shared" si="1"/>
        <v>83</v>
      </c>
      <c r="J13" s="11">
        <v>4.1500000000000004</v>
      </c>
      <c r="K13" s="11">
        <v>0</v>
      </c>
    </row>
    <row r="14" spans="1:11" x14ac:dyDescent="0.3">
      <c r="A14" s="8">
        <v>12</v>
      </c>
      <c r="B14" s="9" t="s">
        <v>123</v>
      </c>
      <c r="C14" s="8" t="s">
        <v>137</v>
      </c>
      <c r="D14" s="11">
        <v>93</v>
      </c>
      <c r="E14" s="11">
        <v>86</v>
      </c>
      <c r="F14" s="11">
        <v>88</v>
      </c>
      <c r="G14" s="11">
        <v>92</v>
      </c>
      <c r="H14" s="11">
        <f t="shared" ref="H14:H30" si="2">SUM(D14:G14)</f>
        <v>359</v>
      </c>
      <c r="I14" s="11">
        <f t="shared" ref="I14:I30" si="3">AVERAGE(D14:G14)</f>
        <v>89.75</v>
      </c>
      <c r="J14" s="11">
        <v>4.49</v>
      </c>
      <c r="K14" s="11">
        <v>4</v>
      </c>
    </row>
    <row r="15" spans="1:11" x14ac:dyDescent="0.3">
      <c r="A15" s="8">
        <v>13</v>
      </c>
      <c r="B15" s="9" t="s">
        <v>123</v>
      </c>
      <c r="C15" s="8" t="s">
        <v>138</v>
      </c>
      <c r="D15" s="11">
        <v>70</v>
      </c>
      <c r="E15" s="11">
        <v>38</v>
      </c>
      <c r="F15" s="11">
        <v>76</v>
      </c>
      <c r="G15" s="11">
        <v>79</v>
      </c>
      <c r="H15" s="11">
        <f t="shared" si="2"/>
        <v>263</v>
      </c>
      <c r="I15" s="11">
        <f t="shared" si="3"/>
        <v>65.75</v>
      </c>
      <c r="J15" s="11">
        <v>3.29</v>
      </c>
      <c r="K15" s="11">
        <v>0</v>
      </c>
    </row>
    <row r="16" spans="1:11" x14ac:dyDescent="0.3">
      <c r="A16" s="8">
        <v>14</v>
      </c>
      <c r="B16" s="9" t="s">
        <v>123</v>
      </c>
      <c r="C16" s="8" t="s">
        <v>139</v>
      </c>
      <c r="D16" s="11">
        <v>92</v>
      </c>
      <c r="E16" s="11">
        <v>86</v>
      </c>
      <c r="F16" s="11">
        <v>88</v>
      </c>
      <c r="G16" s="11">
        <v>60</v>
      </c>
      <c r="H16" s="11">
        <f t="shared" si="2"/>
        <v>326</v>
      </c>
      <c r="I16" s="11">
        <f t="shared" si="3"/>
        <v>81.5</v>
      </c>
      <c r="J16" s="11">
        <v>4.08</v>
      </c>
      <c r="K16" s="11">
        <v>0</v>
      </c>
    </row>
    <row r="17" spans="1:11" x14ac:dyDescent="0.3">
      <c r="A17" s="8">
        <v>15</v>
      </c>
      <c r="B17" s="9" t="s">
        <v>135</v>
      </c>
      <c r="C17" s="8" t="s">
        <v>129</v>
      </c>
      <c r="D17" s="11">
        <v>62</v>
      </c>
      <c r="E17" s="11">
        <v>86</v>
      </c>
      <c r="F17" s="11">
        <v>63</v>
      </c>
      <c r="G17" s="11">
        <v>50</v>
      </c>
      <c r="H17" s="11">
        <f t="shared" si="2"/>
        <v>261</v>
      </c>
      <c r="I17" s="11">
        <f t="shared" si="3"/>
        <v>65.25</v>
      </c>
      <c r="J17" s="11">
        <v>3.26</v>
      </c>
      <c r="K17" s="11">
        <v>0</v>
      </c>
    </row>
    <row r="18" spans="1:11" x14ac:dyDescent="0.3">
      <c r="A18" s="8">
        <v>16</v>
      </c>
      <c r="B18" s="9" t="s">
        <v>140</v>
      </c>
      <c r="C18" s="8" t="s">
        <v>141</v>
      </c>
      <c r="D18" s="11">
        <v>80</v>
      </c>
      <c r="E18" s="11">
        <v>98</v>
      </c>
      <c r="F18" s="11">
        <v>69</v>
      </c>
      <c r="G18" s="11">
        <v>84</v>
      </c>
      <c r="H18" s="11">
        <f t="shared" si="2"/>
        <v>331</v>
      </c>
      <c r="I18" s="11">
        <f t="shared" si="3"/>
        <v>82.75</v>
      </c>
      <c r="J18" s="11">
        <v>4.1399999999999997</v>
      </c>
      <c r="K18" s="11">
        <v>4</v>
      </c>
    </row>
    <row r="19" spans="1:11" x14ac:dyDescent="0.3">
      <c r="A19" s="8">
        <v>17</v>
      </c>
      <c r="B19" s="9" t="s">
        <v>125</v>
      </c>
      <c r="C19" s="8" t="s">
        <v>142</v>
      </c>
      <c r="D19" s="11">
        <v>90</v>
      </c>
      <c r="E19" s="11">
        <v>97</v>
      </c>
      <c r="F19" s="11">
        <v>92</v>
      </c>
      <c r="G19" s="11">
        <v>96</v>
      </c>
      <c r="H19" s="11">
        <f t="shared" si="2"/>
        <v>375</v>
      </c>
      <c r="I19" s="11">
        <f t="shared" si="3"/>
        <v>93.75</v>
      </c>
      <c r="J19" s="11">
        <v>4.6900000000000004</v>
      </c>
      <c r="K19" s="11">
        <v>0</v>
      </c>
    </row>
    <row r="20" spans="1:11" x14ac:dyDescent="0.3">
      <c r="A20" s="8">
        <v>18</v>
      </c>
      <c r="B20" s="9" t="s">
        <v>140</v>
      </c>
      <c r="C20" s="8" t="s">
        <v>143</v>
      </c>
      <c r="D20" s="11">
        <v>78</v>
      </c>
      <c r="E20" s="11">
        <v>59</v>
      </c>
      <c r="F20" s="11">
        <v>59</v>
      </c>
      <c r="G20" s="11">
        <v>60</v>
      </c>
      <c r="H20" s="11">
        <f t="shared" si="2"/>
        <v>256</v>
      </c>
      <c r="I20" s="11">
        <f t="shared" si="3"/>
        <v>64</v>
      </c>
      <c r="J20" s="11">
        <v>3.2</v>
      </c>
      <c r="K20" s="11">
        <v>0</v>
      </c>
    </row>
    <row r="21" spans="1:11" x14ac:dyDescent="0.3">
      <c r="A21" s="8">
        <v>19</v>
      </c>
      <c r="B21" s="9" t="s">
        <v>140</v>
      </c>
      <c r="C21" s="8" t="s">
        <v>144</v>
      </c>
      <c r="D21" s="11">
        <v>72</v>
      </c>
      <c r="E21" s="11">
        <v>63</v>
      </c>
      <c r="F21" s="11">
        <v>61</v>
      </c>
      <c r="G21" s="11">
        <v>55</v>
      </c>
      <c r="H21" s="11">
        <f t="shared" si="2"/>
        <v>251</v>
      </c>
      <c r="I21" s="11">
        <f t="shared" si="3"/>
        <v>62.75</v>
      </c>
      <c r="J21" s="11">
        <v>3.14</v>
      </c>
      <c r="K21" s="11">
        <v>0</v>
      </c>
    </row>
    <row r="22" spans="1:11" x14ac:dyDescent="0.3">
      <c r="A22" s="8">
        <v>20</v>
      </c>
      <c r="B22" s="9" t="s">
        <v>140</v>
      </c>
      <c r="C22" s="8" t="s">
        <v>145</v>
      </c>
      <c r="D22" s="11">
        <v>65</v>
      </c>
      <c r="E22" s="11">
        <v>60</v>
      </c>
      <c r="F22" s="11">
        <v>66</v>
      </c>
      <c r="G22" s="11">
        <v>49</v>
      </c>
      <c r="H22" s="11">
        <f t="shared" si="2"/>
        <v>240</v>
      </c>
      <c r="I22" s="11">
        <f t="shared" si="3"/>
        <v>60</v>
      </c>
      <c r="J22" s="11">
        <v>3</v>
      </c>
      <c r="K22" s="11">
        <v>0</v>
      </c>
    </row>
    <row r="23" spans="1:11" x14ac:dyDescent="0.3">
      <c r="A23" s="8">
        <v>21</v>
      </c>
      <c r="B23" s="9" t="s">
        <v>140</v>
      </c>
      <c r="C23" s="8" t="s">
        <v>146</v>
      </c>
      <c r="D23" s="11">
        <v>69</v>
      </c>
      <c r="E23" s="11">
        <v>35</v>
      </c>
      <c r="F23" s="11">
        <v>67</v>
      </c>
      <c r="G23" s="11">
        <v>50</v>
      </c>
      <c r="H23" s="11">
        <f t="shared" si="2"/>
        <v>221</v>
      </c>
      <c r="I23" s="11">
        <f t="shared" si="3"/>
        <v>55.25</v>
      </c>
      <c r="J23" s="11">
        <v>2.76</v>
      </c>
      <c r="K23" s="11">
        <v>0</v>
      </c>
    </row>
    <row r="24" spans="1:11" x14ac:dyDescent="0.3">
      <c r="A24" s="8">
        <v>22</v>
      </c>
      <c r="B24" s="9" t="s">
        <v>140</v>
      </c>
      <c r="C24" s="8" t="s">
        <v>147</v>
      </c>
      <c r="D24" s="11">
        <v>78</v>
      </c>
      <c r="E24" s="11">
        <v>65</v>
      </c>
      <c r="F24" s="11">
        <v>59</v>
      </c>
      <c r="G24" s="11">
        <v>55</v>
      </c>
      <c r="H24" s="11">
        <f t="shared" si="2"/>
        <v>257</v>
      </c>
      <c r="I24" s="11">
        <f t="shared" si="3"/>
        <v>64.25</v>
      </c>
      <c r="J24" s="11">
        <v>3.21</v>
      </c>
      <c r="K24" s="11">
        <v>0</v>
      </c>
    </row>
    <row r="25" spans="1:11" x14ac:dyDescent="0.3">
      <c r="A25" s="8">
        <v>23</v>
      </c>
      <c r="B25" s="9" t="s">
        <v>140</v>
      </c>
      <c r="C25" s="8" t="s">
        <v>148</v>
      </c>
      <c r="D25" s="11">
        <v>81</v>
      </c>
      <c r="E25" s="11">
        <v>25</v>
      </c>
      <c r="F25" s="11">
        <v>62</v>
      </c>
      <c r="G25" s="11">
        <v>84</v>
      </c>
      <c r="H25" s="11">
        <f t="shared" si="2"/>
        <v>252</v>
      </c>
      <c r="I25" s="11">
        <f t="shared" si="3"/>
        <v>63</v>
      </c>
      <c r="J25" s="11">
        <v>3.15</v>
      </c>
      <c r="K25" s="11">
        <v>1</v>
      </c>
    </row>
    <row r="26" spans="1:11" x14ac:dyDescent="0.3">
      <c r="A26" s="8">
        <v>24</v>
      </c>
      <c r="B26" s="9" t="s">
        <v>140</v>
      </c>
      <c r="C26" s="8" t="s">
        <v>149</v>
      </c>
      <c r="D26" s="11">
        <v>65</v>
      </c>
      <c r="E26" s="11">
        <v>58</v>
      </c>
      <c r="F26" s="11">
        <v>74</v>
      </c>
      <c r="G26" s="11">
        <v>58</v>
      </c>
      <c r="H26" s="11">
        <f t="shared" si="2"/>
        <v>255</v>
      </c>
      <c r="I26" s="11">
        <f t="shared" si="3"/>
        <v>63.75</v>
      </c>
      <c r="J26" s="11">
        <v>3.19</v>
      </c>
      <c r="K26" s="11">
        <v>0</v>
      </c>
    </row>
    <row r="27" spans="1:11" x14ac:dyDescent="0.3">
      <c r="A27" s="8">
        <v>25</v>
      </c>
      <c r="B27" s="9" t="s">
        <v>140</v>
      </c>
      <c r="C27" s="8" t="s">
        <v>150</v>
      </c>
      <c r="D27" s="11">
        <v>41</v>
      </c>
      <c r="E27" s="11">
        <v>81</v>
      </c>
      <c r="F27" s="11">
        <v>66</v>
      </c>
      <c r="G27" s="11">
        <v>72</v>
      </c>
      <c r="H27" s="11">
        <f t="shared" si="2"/>
        <v>260</v>
      </c>
      <c r="I27" s="11">
        <f t="shared" si="3"/>
        <v>65</v>
      </c>
      <c r="J27" s="11">
        <v>3.25</v>
      </c>
      <c r="K27" s="11">
        <v>4</v>
      </c>
    </row>
    <row r="28" spans="1:11" x14ac:dyDescent="0.3">
      <c r="A28" s="8">
        <v>26</v>
      </c>
      <c r="B28" s="9" t="s">
        <v>140</v>
      </c>
      <c r="C28" s="8" t="s">
        <v>151</v>
      </c>
      <c r="D28" s="11">
        <v>85</v>
      </c>
      <c r="E28" s="11">
        <v>88</v>
      </c>
      <c r="F28" s="11">
        <v>72</v>
      </c>
      <c r="G28" s="11">
        <v>70</v>
      </c>
      <c r="H28" s="11">
        <f t="shared" si="2"/>
        <v>315</v>
      </c>
      <c r="I28" s="11">
        <f t="shared" si="3"/>
        <v>78.75</v>
      </c>
      <c r="J28" s="11">
        <v>3.94</v>
      </c>
      <c r="K28" s="11">
        <v>0</v>
      </c>
    </row>
    <row r="29" spans="1:11" x14ac:dyDescent="0.3">
      <c r="A29" s="8">
        <v>27</v>
      </c>
      <c r="B29" s="9" t="s">
        <v>140</v>
      </c>
      <c r="C29" s="8" t="s">
        <v>152</v>
      </c>
      <c r="D29" s="11">
        <v>51</v>
      </c>
      <c r="E29" s="11">
        <v>48</v>
      </c>
      <c r="F29" s="11">
        <v>65</v>
      </c>
      <c r="G29" s="11">
        <v>49</v>
      </c>
      <c r="H29" s="11">
        <f t="shared" si="2"/>
        <v>213</v>
      </c>
      <c r="I29" s="11">
        <f t="shared" si="3"/>
        <v>53.25</v>
      </c>
      <c r="J29" s="11">
        <v>2.66</v>
      </c>
      <c r="K29" s="11">
        <v>2</v>
      </c>
    </row>
    <row r="30" spans="1:11" x14ac:dyDescent="0.3">
      <c r="A30" s="8">
        <v>28</v>
      </c>
      <c r="B30" s="9" t="s">
        <v>135</v>
      </c>
      <c r="C30" s="8" t="s">
        <v>129</v>
      </c>
      <c r="D30" s="11">
        <v>95</v>
      </c>
      <c r="E30" s="11">
        <v>88</v>
      </c>
      <c r="F30" s="11">
        <v>72</v>
      </c>
      <c r="G30" s="11">
        <v>70</v>
      </c>
      <c r="H30" s="11">
        <f t="shared" si="2"/>
        <v>325</v>
      </c>
      <c r="I30" s="11">
        <f t="shared" si="3"/>
        <v>81.25</v>
      </c>
      <c r="J30" s="11">
        <v>4.0599999999999996</v>
      </c>
      <c r="K30" s="11">
        <v>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1A819-A5E4-4DC6-9864-5BB8B858B9C5}">
  <sheetPr codeName="Sheet10"/>
  <dimension ref="A1:K41"/>
  <sheetViews>
    <sheetView workbookViewId="0"/>
  </sheetViews>
  <sheetFormatPr defaultRowHeight="16.5" x14ac:dyDescent="0.3"/>
  <cols>
    <col min="2" max="2" width="14.375" customWidth="1"/>
    <col min="3" max="3" width="13.875" style="1" customWidth="1"/>
    <col min="10" max="10" width="9.875" customWidth="1"/>
  </cols>
  <sheetData>
    <row r="1" spans="1:11" x14ac:dyDescent="0.3">
      <c r="A1" t="s">
        <v>0</v>
      </c>
    </row>
    <row r="2" spans="1:11" x14ac:dyDescent="0.3">
      <c r="A2" s="14" t="s">
        <v>112</v>
      </c>
      <c r="B2" s="14" t="s">
        <v>113</v>
      </c>
      <c r="C2" s="14" t="s">
        <v>114</v>
      </c>
      <c r="D2" s="14" t="s">
        <v>115</v>
      </c>
      <c r="E2" s="14" t="s">
        <v>116</v>
      </c>
      <c r="F2" s="14" t="s">
        <v>117</v>
      </c>
      <c r="G2" s="14" t="s">
        <v>118</v>
      </c>
      <c r="H2" s="14" t="s">
        <v>119</v>
      </c>
      <c r="I2" s="14" t="s">
        <v>120</v>
      </c>
      <c r="J2" s="14" t="s">
        <v>121</v>
      </c>
      <c r="K2" s="15" t="s">
        <v>122</v>
      </c>
    </row>
    <row r="3" spans="1:11" x14ac:dyDescent="0.3">
      <c r="A3" s="16">
        <v>1</v>
      </c>
      <c r="B3" s="17" t="s">
        <v>123</v>
      </c>
      <c r="C3" s="16" t="s">
        <v>124</v>
      </c>
      <c r="D3" s="18">
        <v>72</v>
      </c>
      <c r="E3" s="18">
        <v>68</v>
      </c>
      <c r="F3" s="18">
        <v>88</v>
      </c>
      <c r="G3" s="18">
        <v>75</v>
      </c>
      <c r="H3" s="18">
        <f>SUM(D3:G3)</f>
        <v>303</v>
      </c>
      <c r="I3" s="18">
        <f>AVERAGE(D3:G3)</f>
        <v>75.75</v>
      </c>
      <c r="J3" s="18">
        <v>3.79</v>
      </c>
      <c r="K3" s="19">
        <v>3</v>
      </c>
    </row>
    <row r="4" spans="1:11" x14ac:dyDescent="0.3">
      <c r="A4" s="20">
        <v>2</v>
      </c>
      <c r="B4" s="21" t="s">
        <v>125</v>
      </c>
      <c r="C4" s="20" t="s">
        <v>126</v>
      </c>
      <c r="D4" s="13">
        <v>88</v>
      </c>
      <c r="E4" s="13">
        <v>87</v>
      </c>
      <c r="F4" s="13">
        <v>78</v>
      </c>
      <c r="G4" s="13">
        <v>70</v>
      </c>
      <c r="H4" s="13">
        <f t="shared" ref="H4:H41" si="0">SUM(D4:G4)</f>
        <v>323</v>
      </c>
      <c r="I4" s="13">
        <f t="shared" ref="I4:I41" si="1">AVERAGE(D4:G4)</f>
        <v>80.75</v>
      </c>
      <c r="J4" s="13">
        <v>4.04</v>
      </c>
      <c r="K4" s="12">
        <v>1</v>
      </c>
    </row>
    <row r="5" spans="1:11" x14ac:dyDescent="0.3">
      <c r="A5" s="16">
        <v>3</v>
      </c>
      <c r="B5" s="17" t="s">
        <v>123</v>
      </c>
      <c r="C5" s="16" t="s">
        <v>127</v>
      </c>
      <c r="D5" s="18">
        <v>62</v>
      </c>
      <c r="E5" s="18">
        <v>83</v>
      </c>
      <c r="F5" s="18">
        <v>71</v>
      </c>
      <c r="G5" s="18">
        <v>48</v>
      </c>
      <c r="H5" s="18">
        <f t="shared" si="0"/>
        <v>264</v>
      </c>
      <c r="I5" s="18">
        <f t="shared" si="1"/>
        <v>66</v>
      </c>
      <c r="J5" s="18">
        <v>3.3</v>
      </c>
      <c r="K5" s="19">
        <v>0</v>
      </c>
    </row>
    <row r="6" spans="1:11" x14ac:dyDescent="0.3">
      <c r="A6" s="20">
        <v>4</v>
      </c>
      <c r="B6" s="21" t="s">
        <v>128</v>
      </c>
      <c r="C6" s="20" t="s">
        <v>129</v>
      </c>
      <c r="D6" s="13">
        <v>84</v>
      </c>
      <c r="E6" s="13">
        <v>98</v>
      </c>
      <c r="F6" s="13">
        <v>69</v>
      </c>
      <c r="G6" s="13">
        <v>70</v>
      </c>
      <c r="H6" s="13">
        <f t="shared" si="0"/>
        <v>321</v>
      </c>
      <c r="I6" s="13">
        <f t="shared" si="1"/>
        <v>80.25</v>
      </c>
      <c r="J6" s="13">
        <v>4.01</v>
      </c>
      <c r="K6" s="12">
        <v>0</v>
      </c>
    </row>
    <row r="7" spans="1:11" x14ac:dyDescent="0.3">
      <c r="A7" s="16">
        <v>5</v>
      </c>
      <c r="B7" s="17" t="s">
        <v>130</v>
      </c>
      <c r="C7" s="16" t="s">
        <v>131</v>
      </c>
      <c r="D7" s="18">
        <v>83</v>
      </c>
      <c r="E7" s="18">
        <v>87</v>
      </c>
      <c r="F7" s="18">
        <v>78</v>
      </c>
      <c r="G7" s="18">
        <v>56</v>
      </c>
      <c r="H7" s="18">
        <f t="shared" si="0"/>
        <v>304</v>
      </c>
      <c r="I7" s="18">
        <f t="shared" si="1"/>
        <v>76</v>
      </c>
      <c r="J7" s="18">
        <v>3.8</v>
      </c>
      <c r="K7" s="19">
        <v>0</v>
      </c>
    </row>
    <row r="8" spans="1:11" x14ac:dyDescent="0.3">
      <c r="A8" s="20">
        <v>6</v>
      </c>
      <c r="B8" s="21" t="s">
        <v>130</v>
      </c>
      <c r="C8" s="20" t="s">
        <v>132</v>
      </c>
      <c r="D8" s="13">
        <v>69</v>
      </c>
      <c r="E8" s="13">
        <v>56</v>
      </c>
      <c r="F8" s="13">
        <v>62</v>
      </c>
      <c r="G8" s="13">
        <v>54</v>
      </c>
      <c r="H8" s="13">
        <f t="shared" si="0"/>
        <v>241</v>
      </c>
      <c r="I8" s="13">
        <f t="shared" si="1"/>
        <v>60.25</v>
      </c>
      <c r="J8" s="13">
        <v>3.01</v>
      </c>
      <c r="K8" s="12">
        <v>1</v>
      </c>
    </row>
    <row r="9" spans="1:11" x14ac:dyDescent="0.3">
      <c r="A9" s="16">
        <v>7</v>
      </c>
      <c r="B9" s="17" t="s">
        <v>130</v>
      </c>
      <c r="C9" s="16" t="s">
        <v>133</v>
      </c>
      <c r="D9" s="18">
        <v>83</v>
      </c>
      <c r="E9" s="18">
        <v>82</v>
      </c>
      <c r="F9" s="18">
        <v>87</v>
      </c>
      <c r="G9" s="18">
        <v>92</v>
      </c>
      <c r="H9" s="18">
        <f t="shared" si="0"/>
        <v>344</v>
      </c>
      <c r="I9" s="18">
        <f t="shared" si="1"/>
        <v>86</v>
      </c>
      <c r="J9" s="18">
        <v>4.3</v>
      </c>
      <c r="K9" s="19">
        <v>0</v>
      </c>
    </row>
    <row r="10" spans="1:11" x14ac:dyDescent="0.3">
      <c r="A10" s="20">
        <v>8</v>
      </c>
      <c r="B10" s="21" t="s">
        <v>130</v>
      </c>
      <c r="C10" s="20" t="s">
        <v>134</v>
      </c>
      <c r="D10" s="13">
        <v>72</v>
      </c>
      <c r="E10" s="13">
        <v>75</v>
      </c>
      <c r="F10" s="13">
        <v>92</v>
      </c>
      <c r="G10" s="13">
        <v>62</v>
      </c>
      <c r="H10" s="13">
        <f t="shared" si="0"/>
        <v>301</v>
      </c>
      <c r="I10" s="13">
        <f t="shared" si="1"/>
        <v>75.25</v>
      </c>
      <c r="J10" s="13">
        <v>3.76</v>
      </c>
      <c r="K10" s="12">
        <v>0</v>
      </c>
    </row>
    <row r="11" spans="1:11" x14ac:dyDescent="0.3">
      <c r="A11" s="16">
        <v>9</v>
      </c>
      <c r="B11" s="17" t="s">
        <v>135</v>
      </c>
      <c r="C11" s="16" t="s">
        <v>127</v>
      </c>
      <c r="D11" s="18">
        <v>84</v>
      </c>
      <c r="E11" s="18">
        <v>68</v>
      </c>
      <c r="F11" s="18">
        <v>88</v>
      </c>
      <c r="G11" s="18">
        <v>92</v>
      </c>
      <c r="H11" s="18">
        <f t="shared" si="0"/>
        <v>332</v>
      </c>
      <c r="I11" s="18">
        <f t="shared" si="1"/>
        <v>83</v>
      </c>
      <c r="J11" s="18">
        <v>4.1500000000000004</v>
      </c>
      <c r="K11" s="19">
        <v>2</v>
      </c>
    </row>
    <row r="12" spans="1:11" x14ac:dyDescent="0.3">
      <c r="A12" s="20">
        <v>10</v>
      </c>
      <c r="B12" s="21" t="s">
        <v>128</v>
      </c>
      <c r="C12" s="20" t="s">
        <v>127</v>
      </c>
      <c r="D12" s="13">
        <v>65</v>
      </c>
      <c r="E12" s="13">
        <v>79</v>
      </c>
      <c r="F12" s="13">
        <v>75</v>
      </c>
      <c r="G12" s="13">
        <v>88</v>
      </c>
      <c r="H12" s="13">
        <f t="shared" si="0"/>
        <v>307</v>
      </c>
      <c r="I12" s="13">
        <f t="shared" si="1"/>
        <v>76.75</v>
      </c>
      <c r="J12" s="13">
        <v>3.84</v>
      </c>
      <c r="K12" s="12">
        <v>4</v>
      </c>
    </row>
    <row r="13" spans="1:11" x14ac:dyDescent="0.3">
      <c r="A13" s="16">
        <v>11</v>
      </c>
      <c r="B13" s="17" t="s">
        <v>123</v>
      </c>
      <c r="C13" s="16" t="s">
        <v>136</v>
      </c>
      <c r="D13" s="18">
        <v>90</v>
      </c>
      <c r="E13" s="18">
        <v>36</v>
      </c>
      <c r="F13" s="18">
        <v>53</v>
      </c>
      <c r="G13" s="18">
        <v>66</v>
      </c>
      <c r="H13" s="18">
        <f t="shared" si="0"/>
        <v>245</v>
      </c>
      <c r="I13" s="18">
        <f t="shared" si="1"/>
        <v>61.25</v>
      </c>
      <c r="J13" s="18">
        <v>3.06</v>
      </c>
      <c r="K13" s="19">
        <v>0</v>
      </c>
    </row>
    <row r="14" spans="1:11" x14ac:dyDescent="0.3">
      <c r="A14" s="20">
        <v>12</v>
      </c>
      <c r="B14" s="21" t="s">
        <v>123</v>
      </c>
      <c r="C14" s="20" t="s">
        <v>137</v>
      </c>
      <c r="D14" s="13">
        <v>93</v>
      </c>
      <c r="E14" s="13">
        <v>86</v>
      </c>
      <c r="F14" s="13">
        <v>88</v>
      </c>
      <c r="G14" s="13">
        <v>92</v>
      </c>
      <c r="H14" s="13">
        <f t="shared" si="0"/>
        <v>359</v>
      </c>
      <c r="I14" s="13">
        <f t="shared" si="1"/>
        <v>89.75</v>
      </c>
      <c r="J14" s="13">
        <v>4.49</v>
      </c>
      <c r="K14" s="12">
        <v>4</v>
      </c>
    </row>
    <row r="15" spans="1:11" x14ac:dyDescent="0.3">
      <c r="A15" s="16">
        <v>13</v>
      </c>
      <c r="B15" s="17" t="s">
        <v>123</v>
      </c>
      <c r="C15" s="16" t="s">
        <v>138</v>
      </c>
      <c r="D15" s="18">
        <v>70</v>
      </c>
      <c r="E15" s="18">
        <v>38</v>
      </c>
      <c r="F15" s="18">
        <v>76</v>
      </c>
      <c r="G15" s="18">
        <v>79</v>
      </c>
      <c r="H15" s="18">
        <f t="shared" si="0"/>
        <v>263</v>
      </c>
      <c r="I15" s="18">
        <f t="shared" si="1"/>
        <v>65.75</v>
      </c>
      <c r="J15" s="18">
        <v>3.29</v>
      </c>
      <c r="K15" s="19">
        <v>0</v>
      </c>
    </row>
    <row r="16" spans="1:11" x14ac:dyDescent="0.3">
      <c r="A16" s="20">
        <v>14</v>
      </c>
      <c r="B16" s="21" t="s">
        <v>123</v>
      </c>
      <c r="C16" s="20" t="s">
        <v>139</v>
      </c>
      <c r="D16" s="13">
        <v>92</v>
      </c>
      <c r="E16" s="13">
        <v>86</v>
      </c>
      <c r="F16" s="13">
        <v>88</v>
      </c>
      <c r="G16" s="13">
        <v>60</v>
      </c>
      <c r="H16" s="13">
        <f t="shared" si="0"/>
        <v>326</v>
      </c>
      <c r="I16" s="13">
        <f t="shared" si="1"/>
        <v>81.5</v>
      </c>
      <c r="J16" s="13">
        <v>4.08</v>
      </c>
      <c r="K16" s="12">
        <v>0</v>
      </c>
    </row>
    <row r="17" spans="1:11" x14ac:dyDescent="0.3">
      <c r="A17" s="16">
        <v>15</v>
      </c>
      <c r="B17" s="17" t="s">
        <v>135</v>
      </c>
      <c r="C17" s="16" t="s">
        <v>129</v>
      </c>
      <c r="D17" s="18">
        <v>62</v>
      </c>
      <c r="E17" s="18">
        <v>86</v>
      </c>
      <c r="F17" s="18">
        <v>63</v>
      </c>
      <c r="G17" s="18">
        <v>50</v>
      </c>
      <c r="H17" s="18">
        <f t="shared" si="0"/>
        <v>261</v>
      </c>
      <c r="I17" s="18">
        <f t="shared" si="1"/>
        <v>65.25</v>
      </c>
      <c r="J17" s="18">
        <v>3.26</v>
      </c>
      <c r="K17" s="19">
        <v>0</v>
      </c>
    </row>
    <row r="18" spans="1:11" x14ac:dyDescent="0.3">
      <c r="A18" s="20">
        <v>16</v>
      </c>
      <c r="B18" s="21" t="s">
        <v>140</v>
      </c>
      <c r="C18" s="20" t="s">
        <v>141</v>
      </c>
      <c r="D18" s="13">
        <v>80</v>
      </c>
      <c r="E18" s="13">
        <v>98</v>
      </c>
      <c r="F18" s="13">
        <v>69</v>
      </c>
      <c r="G18" s="13">
        <v>84</v>
      </c>
      <c r="H18" s="13">
        <f t="shared" si="0"/>
        <v>331</v>
      </c>
      <c r="I18" s="13">
        <f t="shared" si="1"/>
        <v>82.75</v>
      </c>
      <c r="J18" s="13">
        <v>4.1399999999999997</v>
      </c>
      <c r="K18" s="12">
        <v>4</v>
      </c>
    </row>
    <row r="19" spans="1:11" x14ac:dyDescent="0.3">
      <c r="A19" s="16">
        <v>17</v>
      </c>
      <c r="B19" s="17" t="s">
        <v>125</v>
      </c>
      <c r="C19" s="16" t="s">
        <v>142</v>
      </c>
      <c r="D19" s="18">
        <v>90</v>
      </c>
      <c r="E19" s="18">
        <v>97</v>
      </c>
      <c r="F19" s="18">
        <v>92</v>
      </c>
      <c r="G19" s="18">
        <v>96</v>
      </c>
      <c r="H19" s="18">
        <f t="shared" si="0"/>
        <v>375</v>
      </c>
      <c r="I19" s="18">
        <f t="shared" si="1"/>
        <v>93.75</v>
      </c>
      <c r="J19" s="18">
        <v>4.6900000000000004</v>
      </c>
      <c r="K19" s="19">
        <v>0</v>
      </c>
    </row>
    <row r="20" spans="1:11" x14ac:dyDescent="0.3">
      <c r="A20" s="20">
        <v>18</v>
      </c>
      <c r="B20" s="21" t="s">
        <v>140</v>
      </c>
      <c r="C20" s="20" t="s">
        <v>143</v>
      </c>
      <c r="D20" s="13">
        <v>78</v>
      </c>
      <c r="E20" s="13">
        <v>59</v>
      </c>
      <c r="F20" s="13">
        <v>59</v>
      </c>
      <c r="G20" s="13">
        <v>60</v>
      </c>
      <c r="H20" s="13">
        <f t="shared" si="0"/>
        <v>256</v>
      </c>
      <c r="I20" s="13">
        <f t="shared" si="1"/>
        <v>64</v>
      </c>
      <c r="J20" s="13">
        <v>3.2</v>
      </c>
      <c r="K20" s="12">
        <v>0</v>
      </c>
    </row>
    <row r="21" spans="1:11" x14ac:dyDescent="0.3">
      <c r="A21" s="16">
        <v>19</v>
      </c>
      <c r="B21" s="17" t="s">
        <v>140</v>
      </c>
      <c r="C21" s="16" t="s">
        <v>144</v>
      </c>
      <c r="D21" s="18">
        <v>72</v>
      </c>
      <c r="E21" s="18">
        <v>63</v>
      </c>
      <c r="F21" s="18">
        <v>61</v>
      </c>
      <c r="G21" s="18">
        <v>55</v>
      </c>
      <c r="H21" s="18">
        <f t="shared" si="0"/>
        <v>251</v>
      </c>
      <c r="I21" s="18">
        <f t="shared" si="1"/>
        <v>62.75</v>
      </c>
      <c r="J21" s="18">
        <v>3.14</v>
      </c>
      <c r="K21" s="19">
        <v>0</v>
      </c>
    </row>
    <row r="22" spans="1:11" x14ac:dyDescent="0.3">
      <c r="A22" s="20">
        <v>20</v>
      </c>
      <c r="B22" s="21" t="s">
        <v>140</v>
      </c>
      <c r="C22" s="20" t="s">
        <v>145</v>
      </c>
      <c r="D22" s="13">
        <v>65</v>
      </c>
      <c r="E22" s="13">
        <v>60</v>
      </c>
      <c r="F22" s="13">
        <v>66</v>
      </c>
      <c r="G22" s="13">
        <v>49</v>
      </c>
      <c r="H22" s="13">
        <f t="shared" si="0"/>
        <v>240</v>
      </c>
      <c r="I22" s="13">
        <f t="shared" si="1"/>
        <v>60</v>
      </c>
      <c r="J22" s="13">
        <v>3</v>
      </c>
      <c r="K22" s="12">
        <v>0</v>
      </c>
    </row>
    <row r="23" spans="1:11" x14ac:dyDescent="0.3">
      <c r="A23" s="16">
        <v>21</v>
      </c>
      <c r="B23" s="17" t="s">
        <v>140</v>
      </c>
      <c r="C23" s="16" t="s">
        <v>146</v>
      </c>
      <c r="D23" s="18">
        <v>69</v>
      </c>
      <c r="E23" s="18">
        <v>35</v>
      </c>
      <c r="F23" s="18">
        <v>67</v>
      </c>
      <c r="G23" s="18">
        <v>50</v>
      </c>
      <c r="H23" s="18">
        <f t="shared" si="0"/>
        <v>221</v>
      </c>
      <c r="I23" s="18">
        <f t="shared" si="1"/>
        <v>55.25</v>
      </c>
      <c r="J23" s="18">
        <v>2.76</v>
      </c>
      <c r="K23" s="19">
        <v>0</v>
      </c>
    </row>
    <row r="24" spans="1:11" x14ac:dyDescent="0.3">
      <c r="A24" s="20">
        <v>22</v>
      </c>
      <c r="B24" s="21" t="s">
        <v>140</v>
      </c>
      <c r="C24" s="20" t="s">
        <v>147</v>
      </c>
      <c r="D24" s="13">
        <v>78</v>
      </c>
      <c r="E24" s="13">
        <v>65</v>
      </c>
      <c r="F24" s="13">
        <v>59</v>
      </c>
      <c r="G24" s="13">
        <v>55</v>
      </c>
      <c r="H24" s="13">
        <f t="shared" si="0"/>
        <v>257</v>
      </c>
      <c r="I24" s="13">
        <f t="shared" si="1"/>
        <v>64.25</v>
      </c>
      <c r="J24" s="13">
        <v>3.21</v>
      </c>
      <c r="K24" s="12">
        <v>0</v>
      </c>
    </row>
    <row r="25" spans="1:11" x14ac:dyDescent="0.3">
      <c r="A25" s="16">
        <v>23</v>
      </c>
      <c r="B25" s="17" t="s">
        <v>140</v>
      </c>
      <c r="C25" s="16" t="s">
        <v>148</v>
      </c>
      <c r="D25" s="18">
        <v>81</v>
      </c>
      <c r="E25" s="18">
        <v>25</v>
      </c>
      <c r="F25" s="18">
        <v>62</v>
      </c>
      <c r="G25" s="18">
        <v>84</v>
      </c>
      <c r="H25" s="18">
        <f t="shared" si="0"/>
        <v>252</v>
      </c>
      <c r="I25" s="18">
        <f t="shared" si="1"/>
        <v>63</v>
      </c>
      <c r="J25" s="18">
        <v>3.15</v>
      </c>
      <c r="K25" s="19">
        <v>1</v>
      </c>
    </row>
    <row r="26" spans="1:11" x14ac:dyDescent="0.3">
      <c r="A26" s="20">
        <v>24</v>
      </c>
      <c r="B26" s="21" t="s">
        <v>140</v>
      </c>
      <c r="C26" s="20" t="s">
        <v>149</v>
      </c>
      <c r="D26" s="13">
        <v>65</v>
      </c>
      <c r="E26" s="13">
        <v>58</v>
      </c>
      <c r="F26" s="13">
        <v>74</v>
      </c>
      <c r="G26" s="13">
        <v>58</v>
      </c>
      <c r="H26" s="13">
        <f t="shared" si="0"/>
        <v>255</v>
      </c>
      <c r="I26" s="13">
        <f t="shared" si="1"/>
        <v>63.75</v>
      </c>
      <c r="J26" s="13">
        <v>3.19</v>
      </c>
      <c r="K26" s="12">
        <v>0</v>
      </c>
    </row>
    <row r="27" spans="1:11" x14ac:dyDescent="0.3">
      <c r="A27" s="16">
        <v>25</v>
      </c>
      <c r="B27" s="17" t="s">
        <v>140</v>
      </c>
      <c r="C27" s="16" t="s">
        <v>150</v>
      </c>
      <c r="D27" s="18">
        <v>41</v>
      </c>
      <c r="E27" s="18">
        <v>81</v>
      </c>
      <c r="F27" s="18">
        <v>66</v>
      </c>
      <c r="G27" s="18">
        <v>72</v>
      </c>
      <c r="H27" s="18">
        <f t="shared" si="0"/>
        <v>260</v>
      </c>
      <c r="I27" s="18">
        <f t="shared" si="1"/>
        <v>65</v>
      </c>
      <c r="J27" s="18">
        <v>3.25</v>
      </c>
      <c r="K27" s="19">
        <v>4</v>
      </c>
    </row>
    <row r="28" spans="1:11" x14ac:dyDescent="0.3">
      <c r="A28" s="20">
        <v>26</v>
      </c>
      <c r="B28" s="21" t="s">
        <v>140</v>
      </c>
      <c r="C28" s="20" t="s">
        <v>151</v>
      </c>
      <c r="D28" s="13">
        <v>85</v>
      </c>
      <c r="E28" s="13">
        <v>88</v>
      </c>
      <c r="F28" s="13">
        <v>72</v>
      </c>
      <c r="G28" s="13">
        <v>70</v>
      </c>
      <c r="H28" s="13">
        <f t="shared" si="0"/>
        <v>315</v>
      </c>
      <c r="I28" s="13">
        <f t="shared" si="1"/>
        <v>78.75</v>
      </c>
      <c r="J28" s="13">
        <v>3.94</v>
      </c>
      <c r="K28" s="12">
        <v>0</v>
      </c>
    </row>
    <row r="29" spans="1:11" x14ac:dyDescent="0.3">
      <c r="A29" s="16">
        <v>27</v>
      </c>
      <c r="B29" s="17" t="s">
        <v>140</v>
      </c>
      <c r="C29" s="16" t="s">
        <v>152</v>
      </c>
      <c r="D29" s="18">
        <v>51</v>
      </c>
      <c r="E29" s="18">
        <v>48</v>
      </c>
      <c r="F29" s="18">
        <v>65</v>
      </c>
      <c r="G29" s="18">
        <v>49</v>
      </c>
      <c r="H29" s="18">
        <f t="shared" si="0"/>
        <v>213</v>
      </c>
      <c r="I29" s="18">
        <f t="shared" si="1"/>
        <v>53.25</v>
      </c>
      <c r="J29" s="18">
        <v>2.66</v>
      </c>
      <c r="K29" s="19">
        <v>2</v>
      </c>
    </row>
    <row r="30" spans="1:11" x14ac:dyDescent="0.3">
      <c r="A30" s="20">
        <v>28</v>
      </c>
      <c r="B30" s="21" t="s">
        <v>135</v>
      </c>
      <c r="C30" s="20" t="s">
        <v>129</v>
      </c>
      <c r="D30" s="13">
        <v>95</v>
      </c>
      <c r="E30" s="13">
        <v>88</v>
      </c>
      <c r="F30" s="13">
        <v>72</v>
      </c>
      <c r="G30" s="13">
        <v>70</v>
      </c>
      <c r="H30" s="13">
        <f t="shared" si="0"/>
        <v>325</v>
      </c>
      <c r="I30" s="13">
        <f t="shared" si="1"/>
        <v>81.25</v>
      </c>
      <c r="J30" s="13">
        <v>4.0599999999999996</v>
      </c>
      <c r="K30" s="12">
        <v>2</v>
      </c>
    </row>
    <row r="31" spans="1:11" x14ac:dyDescent="0.3">
      <c r="A31" s="16">
        <v>29</v>
      </c>
      <c r="B31" s="17" t="s">
        <v>128</v>
      </c>
      <c r="C31" s="16" t="s">
        <v>127</v>
      </c>
      <c r="D31" s="18">
        <v>92</v>
      </c>
      <c r="E31" s="18">
        <v>97</v>
      </c>
      <c r="F31" s="18">
        <v>88</v>
      </c>
      <c r="G31" s="18">
        <v>92</v>
      </c>
      <c r="H31" s="18">
        <f t="shared" si="0"/>
        <v>369</v>
      </c>
      <c r="I31" s="18">
        <f t="shared" si="1"/>
        <v>92.25</v>
      </c>
      <c r="J31" s="18">
        <v>4.6100000000000003</v>
      </c>
      <c r="K31" s="19">
        <v>1</v>
      </c>
    </row>
    <row r="32" spans="1:11" x14ac:dyDescent="0.3">
      <c r="A32" s="20">
        <v>30</v>
      </c>
      <c r="B32" s="21" t="s">
        <v>128</v>
      </c>
      <c r="C32" s="20" t="s">
        <v>153</v>
      </c>
      <c r="D32" s="13">
        <v>91</v>
      </c>
      <c r="E32" s="13">
        <v>71</v>
      </c>
      <c r="F32" s="13">
        <v>69</v>
      </c>
      <c r="G32" s="13">
        <v>65</v>
      </c>
      <c r="H32" s="13">
        <f t="shared" si="0"/>
        <v>296</v>
      </c>
      <c r="I32" s="13">
        <f t="shared" si="1"/>
        <v>74</v>
      </c>
      <c r="J32" s="13">
        <v>3.7</v>
      </c>
      <c r="K32" s="12">
        <v>1</v>
      </c>
    </row>
    <row r="33" spans="1:11" x14ac:dyDescent="0.3">
      <c r="A33" s="16">
        <v>31</v>
      </c>
      <c r="B33" s="17" t="s">
        <v>128</v>
      </c>
      <c r="C33" s="16" t="s">
        <v>127</v>
      </c>
      <c r="D33" s="18">
        <v>93</v>
      </c>
      <c r="E33" s="18">
        <v>87</v>
      </c>
      <c r="F33" s="18">
        <v>94</v>
      </c>
      <c r="G33" s="18">
        <v>90</v>
      </c>
      <c r="H33" s="18">
        <f t="shared" si="0"/>
        <v>364</v>
      </c>
      <c r="I33" s="18">
        <f t="shared" si="1"/>
        <v>91</v>
      </c>
      <c r="J33" s="18">
        <v>4.55</v>
      </c>
      <c r="K33" s="19">
        <v>0</v>
      </c>
    </row>
    <row r="34" spans="1:11" x14ac:dyDescent="0.3">
      <c r="A34" s="20">
        <v>32</v>
      </c>
      <c r="B34" s="21" t="s">
        <v>125</v>
      </c>
      <c r="C34" s="20" t="s">
        <v>154</v>
      </c>
      <c r="D34" s="13">
        <v>62</v>
      </c>
      <c r="E34" s="13">
        <v>88</v>
      </c>
      <c r="F34" s="13">
        <v>92</v>
      </c>
      <c r="G34" s="13">
        <v>62</v>
      </c>
      <c r="H34" s="13">
        <f t="shared" si="0"/>
        <v>304</v>
      </c>
      <c r="I34" s="13">
        <f t="shared" si="1"/>
        <v>76</v>
      </c>
      <c r="J34" s="13">
        <v>3.8</v>
      </c>
      <c r="K34" s="12">
        <v>3</v>
      </c>
    </row>
    <row r="35" spans="1:11" x14ac:dyDescent="0.3">
      <c r="A35" s="16">
        <v>33</v>
      </c>
      <c r="B35" s="17" t="s">
        <v>125</v>
      </c>
      <c r="C35" s="16" t="s">
        <v>155</v>
      </c>
      <c r="D35" s="18">
        <v>72</v>
      </c>
      <c r="E35" s="18">
        <v>51</v>
      </c>
      <c r="F35" s="18">
        <v>64</v>
      </c>
      <c r="G35" s="18">
        <v>70</v>
      </c>
      <c r="H35" s="18">
        <f t="shared" si="0"/>
        <v>257</v>
      </c>
      <c r="I35" s="18">
        <f t="shared" si="1"/>
        <v>64.25</v>
      </c>
      <c r="J35" s="18">
        <v>3.21</v>
      </c>
      <c r="K35" s="19">
        <v>0</v>
      </c>
    </row>
    <row r="36" spans="1:11" x14ac:dyDescent="0.3">
      <c r="A36" s="20">
        <v>34</v>
      </c>
      <c r="B36" s="21" t="s">
        <v>125</v>
      </c>
      <c r="C36" s="20" t="s">
        <v>156</v>
      </c>
      <c r="D36" s="13">
        <v>75</v>
      </c>
      <c r="E36" s="13">
        <v>72</v>
      </c>
      <c r="F36" s="13">
        <v>88</v>
      </c>
      <c r="G36" s="13">
        <v>85</v>
      </c>
      <c r="H36" s="13">
        <f t="shared" si="0"/>
        <v>320</v>
      </c>
      <c r="I36" s="13">
        <f t="shared" si="1"/>
        <v>80</v>
      </c>
      <c r="J36" s="13">
        <v>4</v>
      </c>
      <c r="K36" s="12">
        <v>0</v>
      </c>
    </row>
    <row r="37" spans="1:11" x14ac:dyDescent="0.3">
      <c r="A37" s="16">
        <v>35</v>
      </c>
      <c r="B37" s="17" t="s">
        <v>125</v>
      </c>
      <c r="C37" s="16" t="s">
        <v>157</v>
      </c>
      <c r="D37" s="18">
        <v>88</v>
      </c>
      <c r="E37" s="18">
        <v>92</v>
      </c>
      <c r="F37" s="18">
        <v>88</v>
      </c>
      <c r="G37" s="18">
        <v>86</v>
      </c>
      <c r="H37" s="18">
        <f t="shared" si="0"/>
        <v>354</v>
      </c>
      <c r="I37" s="18">
        <f t="shared" si="1"/>
        <v>88.5</v>
      </c>
      <c r="J37" s="18">
        <v>4.43</v>
      </c>
      <c r="K37" s="19">
        <v>0</v>
      </c>
    </row>
    <row r="38" spans="1:11" x14ac:dyDescent="0.3">
      <c r="A38" s="20">
        <v>36</v>
      </c>
      <c r="B38" s="21" t="s">
        <v>125</v>
      </c>
      <c r="C38" s="20" t="s">
        <v>158</v>
      </c>
      <c r="D38" s="13">
        <v>95</v>
      </c>
      <c r="E38" s="13">
        <v>93</v>
      </c>
      <c r="F38" s="13">
        <v>92</v>
      </c>
      <c r="G38" s="13">
        <v>92</v>
      </c>
      <c r="H38" s="13">
        <f t="shared" si="0"/>
        <v>372</v>
      </c>
      <c r="I38" s="13">
        <f t="shared" si="1"/>
        <v>93</v>
      </c>
      <c r="J38" s="13">
        <v>4.6500000000000004</v>
      </c>
      <c r="K38" s="12">
        <v>0</v>
      </c>
    </row>
    <row r="39" spans="1:11" x14ac:dyDescent="0.3">
      <c r="A39" s="16">
        <v>37</v>
      </c>
      <c r="B39" s="17" t="s">
        <v>135</v>
      </c>
      <c r="C39" s="16" t="s">
        <v>127</v>
      </c>
      <c r="D39" s="18">
        <v>70</v>
      </c>
      <c r="E39" s="18">
        <v>45</v>
      </c>
      <c r="F39" s="18">
        <v>55</v>
      </c>
      <c r="G39" s="18">
        <v>62</v>
      </c>
      <c r="H39" s="18">
        <f t="shared" si="0"/>
        <v>232</v>
      </c>
      <c r="I39" s="18">
        <f t="shared" si="1"/>
        <v>58</v>
      </c>
      <c r="J39" s="18">
        <v>2.9</v>
      </c>
      <c r="K39" s="19">
        <v>2</v>
      </c>
    </row>
    <row r="40" spans="1:11" x14ac:dyDescent="0.3">
      <c r="A40" s="20">
        <v>38</v>
      </c>
      <c r="B40" s="21" t="s">
        <v>130</v>
      </c>
      <c r="C40" s="20" t="s">
        <v>159</v>
      </c>
      <c r="D40" s="13">
        <v>63</v>
      </c>
      <c r="E40" s="13">
        <v>67</v>
      </c>
      <c r="F40" s="13">
        <v>70</v>
      </c>
      <c r="G40" s="13">
        <v>65</v>
      </c>
      <c r="H40" s="13">
        <f t="shared" si="0"/>
        <v>265</v>
      </c>
      <c r="I40" s="13">
        <f t="shared" si="1"/>
        <v>66.25</v>
      </c>
      <c r="J40" s="13">
        <v>3.31</v>
      </c>
      <c r="K40" s="12">
        <v>2</v>
      </c>
    </row>
    <row r="41" spans="1:11" x14ac:dyDescent="0.3">
      <c r="A41" s="22">
        <v>39</v>
      </c>
      <c r="B41" s="23" t="s">
        <v>135</v>
      </c>
      <c r="C41" s="22" t="s">
        <v>127</v>
      </c>
      <c r="D41" s="24">
        <v>72</v>
      </c>
      <c r="E41" s="24">
        <v>88</v>
      </c>
      <c r="F41" s="24">
        <v>92</v>
      </c>
      <c r="G41" s="24">
        <v>80</v>
      </c>
      <c r="H41" s="24">
        <f t="shared" si="0"/>
        <v>332</v>
      </c>
      <c r="I41" s="24">
        <f t="shared" si="1"/>
        <v>83</v>
      </c>
      <c r="J41" s="24">
        <v>4.1500000000000004</v>
      </c>
      <c r="K41" s="25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8BC81-09AE-4E97-80C2-54BE57D2A9BD}">
  <sheetPr codeName="Sheet2"/>
  <dimension ref="A1:I33"/>
  <sheetViews>
    <sheetView workbookViewId="0"/>
  </sheetViews>
  <sheetFormatPr defaultRowHeight="16.5" x14ac:dyDescent="0.3"/>
  <cols>
    <col min="2" max="2" width="10.875" customWidth="1"/>
    <col min="3" max="3" width="12.625" bestFit="1" customWidth="1"/>
    <col min="4" max="4" width="11.625" bestFit="1" customWidth="1"/>
    <col min="5" max="5" width="9.875" customWidth="1"/>
    <col min="6" max="6" width="13.375" customWidth="1"/>
    <col min="7" max="7" width="10.375" customWidth="1"/>
    <col min="8" max="8" width="12.375" bestFit="1" customWidth="1"/>
    <col min="9" max="9" width="10.75" bestFit="1" customWidth="1"/>
  </cols>
  <sheetData>
    <row r="1" spans="1:9" x14ac:dyDescent="0.3">
      <c r="A1" t="s">
        <v>0</v>
      </c>
      <c r="H1" t="s">
        <v>160</v>
      </c>
      <c r="I1" s="26">
        <v>45940</v>
      </c>
    </row>
    <row r="2" spans="1:9" x14ac:dyDescent="0.3">
      <c r="A2" s="27" t="s">
        <v>1</v>
      </c>
      <c r="B2" s="27" t="s">
        <v>161</v>
      </c>
      <c r="C2" s="27" t="s">
        <v>162</v>
      </c>
      <c r="D2" s="27" t="s">
        <v>163</v>
      </c>
      <c r="E2" s="27" t="s">
        <v>164</v>
      </c>
      <c r="F2" s="27" t="s">
        <v>165</v>
      </c>
      <c r="G2" s="28" t="s">
        <v>166</v>
      </c>
      <c r="H2" s="28" t="s">
        <v>167</v>
      </c>
      <c r="I2" s="28" t="s">
        <v>168</v>
      </c>
    </row>
    <row r="3" spans="1:9" x14ac:dyDescent="0.3">
      <c r="A3" s="27" t="s">
        <v>169</v>
      </c>
      <c r="B3" s="27" t="s">
        <v>170</v>
      </c>
      <c r="C3" s="29">
        <v>44562</v>
      </c>
      <c r="D3" s="30">
        <v>7200000</v>
      </c>
      <c r="E3" s="2">
        <v>25</v>
      </c>
      <c r="F3" s="31">
        <v>0.05</v>
      </c>
      <c r="G3" s="32"/>
      <c r="H3" s="33"/>
      <c r="I3" s="27"/>
    </row>
    <row r="4" spans="1:9" x14ac:dyDescent="0.3">
      <c r="A4" s="27" t="s">
        <v>171</v>
      </c>
      <c r="B4" s="27" t="s">
        <v>172</v>
      </c>
      <c r="C4" s="29">
        <v>38047</v>
      </c>
      <c r="D4" s="30">
        <v>6000000</v>
      </c>
      <c r="E4" s="2">
        <v>36</v>
      </c>
      <c r="F4" s="31">
        <v>0.04</v>
      </c>
      <c r="G4" s="32"/>
      <c r="H4" s="33"/>
      <c r="I4" s="27"/>
    </row>
    <row r="5" spans="1:9" x14ac:dyDescent="0.3">
      <c r="A5" s="27" t="s">
        <v>173</v>
      </c>
      <c r="B5" s="27" t="s">
        <v>174</v>
      </c>
      <c r="C5" s="29">
        <v>40299</v>
      </c>
      <c r="D5" s="30">
        <v>6400000</v>
      </c>
      <c r="E5" s="2">
        <v>24</v>
      </c>
      <c r="F5" s="31">
        <v>0.06</v>
      </c>
      <c r="G5" s="32"/>
      <c r="H5" s="33"/>
      <c r="I5" s="27"/>
    </row>
    <row r="6" spans="1:9" x14ac:dyDescent="0.3">
      <c r="A6" s="27" t="s">
        <v>175</v>
      </c>
      <c r="B6" s="27" t="s">
        <v>176</v>
      </c>
      <c r="C6" s="29">
        <v>42064</v>
      </c>
      <c r="D6" s="30">
        <v>5250000</v>
      </c>
      <c r="E6" s="2">
        <v>12</v>
      </c>
      <c r="F6" s="31">
        <v>7.4999999999999997E-2</v>
      </c>
      <c r="G6" s="32"/>
      <c r="H6" s="33"/>
      <c r="I6" s="27"/>
    </row>
    <row r="7" spans="1:9" x14ac:dyDescent="0.3">
      <c r="A7" s="27" t="s">
        <v>177</v>
      </c>
      <c r="B7" s="27" t="s">
        <v>172</v>
      </c>
      <c r="C7" s="29">
        <v>40940</v>
      </c>
      <c r="D7" s="30">
        <v>29000000</v>
      </c>
      <c r="E7" s="2">
        <v>30</v>
      </c>
      <c r="F7" s="31">
        <v>3.7999999999999999E-2</v>
      </c>
      <c r="G7" s="32"/>
      <c r="H7" s="33"/>
      <c r="I7" s="27"/>
    </row>
    <row r="8" spans="1:9" x14ac:dyDescent="0.3">
      <c r="A8" s="27" t="s">
        <v>178</v>
      </c>
      <c r="B8" s="27" t="s">
        <v>179</v>
      </c>
      <c r="C8" s="29">
        <v>39356</v>
      </c>
      <c r="D8" s="30">
        <v>14800000</v>
      </c>
      <c r="E8" s="2">
        <v>20</v>
      </c>
      <c r="F8" s="31">
        <v>3.5000000000000003E-2</v>
      </c>
      <c r="G8" s="32"/>
      <c r="H8" s="33"/>
      <c r="I8" s="27"/>
    </row>
    <row r="9" spans="1:9" x14ac:dyDescent="0.3">
      <c r="A9" s="27" t="s">
        <v>180</v>
      </c>
      <c r="B9" s="27" t="s">
        <v>181</v>
      </c>
      <c r="C9" s="29">
        <v>39904</v>
      </c>
      <c r="D9" s="30">
        <v>4200000</v>
      </c>
      <c r="E9" s="2">
        <v>40</v>
      </c>
      <c r="F9" s="31">
        <v>4.8000000000000001E-2</v>
      </c>
      <c r="G9" s="32"/>
      <c r="H9" s="33"/>
      <c r="I9" s="27"/>
    </row>
    <row r="10" spans="1:9" x14ac:dyDescent="0.3">
      <c r="A10" s="27" t="s">
        <v>182</v>
      </c>
      <c r="B10" s="27" t="s">
        <v>181</v>
      </c>
      <c r="C10" s="29">
        <v>37104</v>
      </c>
      <c r="D10" s="30">
        <v>6400000</v>
      </c>
      <c r="E10" s="2">
        <v>50</v>
      </c>
      <c r="F10" s="31">
        <v>4.4999999999999998E-2</v>
      </c>
      <c r="G10" s="32"/>
      <c r="H10" s="33"/>
      <c r="I10" s="27"/>
    </row>
    <row r="11" spans="1:9" x14ac:dyDescent="0.3">
      <c r="A11" s="27" t="s">
        <v>183</v>
      </c>
      <c r="B11" s="27" t="s">
        <v>170</v>
      </c>
      <c r="C11" s="29">
        <v>37438</v>
      </c>
      <c r="D11" s="30">
        <v>9000000</v>
      </c>
      <c r="E11" s="2">
        <v>12</v>
      </c>
      <c r="F11" s="31">
        <v>6.3E-2</v>
      </c>
      <c r="G11" s="32"/>
      <c r="H11" s="33"/>
      <c r="I11" s="27"/>
    </row>
    <row r="12" spans="1:9" x14ac:dyDescent="0.3">
      <c r="A12" s="27" t="s">
        <v>184</v>
      </c>
      <c r="B12" s="27" t="s">
        <v>176</v>
      </c>
      <c r="C12" s="29">
        <v>40787</v>
      </c>
      <c r="D12" s="30">
        <v>8800000</v>
      </c>
      <c r="E12" s="2">
        <v>24</v>
      </c>
      <c r="F12" s="31">
        <v>7.0999999999999994E-2</v>
      </c>
      <c r="G12" s="32"/>
      <c r="H12" s="33"/>
      <c r="I12" s="27"/>
    </row>
    <row r="13" spans="1:9" x14ac:dyDescent="0.3">
      <c r="A13" s="27" t="s">
        <v>185</v>
      </c>
      <c r="B13" s="27" t="s">
        <v>176</v>
      </c>
      <c r="C13" s="29">
        <v>37926</v>
      </c>
      <c r="D13" s="30">
        <v>5200000</v>
      </c>
      <c r="E13" s="2">
        <v>36</v>
      </c>
      <c r="F13" s="31">
        <v>3.9E-2</v>
      </c>
      <c r="G13" s="32"/>
      <c r="H13" s="33"/>
      <c r="I13" s="27"/>
    </row>
    <row r="14" spans="1:9" x14ac:dyDescent="0.3">
      <c r="A14" s="27" t="s">
        <v>186</v>
      </c>
      <c r="B14" s="27" t="s">
        <v>187</v>
      </c>
      <c r="C14" s="29">
        <v>38687</v>
      </c>
      <c r="D14" s="30">
        <v>7800000</v>
      </c>
      <c r="E14" s="2">
        <v>48</v>
      </c>
      <c r="F14" s="31">
        <v>4.2000000000000003E-2</v>
      </c>
      <c r="G14" s="32"/>
      <c r="H14" s="33"/>
      <c r="I14" s="27"/>
    </row>
    <row r="15" spans="1:9" x14ac:dyDescent="0.3">
      <c r="A15" s="27" t="s">
        <v>188</v>
      </c>
      <c r="B15" s="27" t="s">
        <v>172</v>
      </c>
      <c r="C15" s="29">
        <v>40878</v>
      </c>
      <c r="D15" s="30">
        <v>7500000</v>
      </c>
      <c r="E15" s="2">
        <v>19</v>
      </c>
      <c r="F15" s="31">
        <v>4.3999999999999997E-2</v>
      </c>
      <c r="G15" s="32"/>
      <c r="H15" s="33"/>
      <c r="I15" s="27"/>
    </row>
    <row r="16" spans="1:9" x14ac:dyDescent="0.3">
      <c r="A16" s="27" t="s">
        <v>189</v>
      </c>
      <c r="B16" s="27" t="s">
        <v>172</v>
      </c>
      <c r="C16" s="29">
        <v>41579</v>
      </c>
      <c r="D16" s="30">
        <v>6400000</v>
      </c>
      <c r="E16" s="2">
        <v>21</v>
      </c>
      <c r="F16" s="31">
        <v>6.0999999999999999E-2</v>
      </c>
      <c r="G16" s="32"/>
      <c r="H16" s="33"/>
      <c r="I16" s="27"/>
    </row>
    <row r="17" spans="1:9" x14ac:dyDescent="0.3">
      <c r="A17" s="27" t="s">
        <v>190</v>
      </c>
      <c r="B17" s="27" t="s">
        <v>187</v>
      </c>
      <c r="C17" s="29">
        <v>41091</v>
      </c>
      <c r="D17" s="30">
        <v>24900000</v>
      </c>
      <c r="E17" s="2">
        <v>25</v>
      </c>
      <c r="F17" s="31">
        <v>4.8000000000000001E-2</v>
      </c>
      <c r="G17" s="32"/>
      <c r="H17" s="33"/>
      <c r="I17" s="27"/>
    </row>
    <row r="18" spans="1:9" x14ac:dyDescent="0.3">
      <c r="A18" s="27" t="s">
        <v>191</v>
      </c>
      <c r="B18" s="27" t="s">
        <v>181</v>
      </c>
      <c r="C18" s="29">
        <v>43952</v>
      </c>
      <c r="D18" s="30">
        <v>12400000</v>
      </c>
      <c r="E18" s="2">
        <v>31</v>
      </c>
      <c r="F18" s="31">
        <v>3.6999999999999998E-2</v>
      </c>
      <c r="G18" s="32"/>
      <c r="H18" s="33"/>
      <c r="I18" s="27"/>
    </row>
    <row r="19" spans="1:9" x14ac:dyDescent="0.3">
      <c r="A19" s="27" t="s">
        <v>192</v>
      </c>
      <c r="B19" s="27" t="s">
        <v>176</v>
      </c>
      <c r="C19" s="29">
        <v>43678</v>
      </c>
      <c r="D19" s="30">
        <v>22760000</v>
      </c>
      <c r="E19" s="2">
        <v>32</v>
      </c>
      <c r="F19" s="31">
        <v>5.0999999999999997E-2</v>
      </c>
      <c r="G19" s="32"/>
      <c r="H19" s="33"/>
      <c r="I19" s="27"/>
    </row>
    <row r="20" spans="1:9" x14ac:dyDescent="0.3">
      <c r="A20" s="27" t="s">
        <v>193</v>
      </c>
      <c r="B20" s="27" t="s">
        <v>170</v>
      </c>
      <c r="C20" s="29">
        <v>43313</v>
      </c>
      <c r="D20" s="30">
        <v>3500000</v>
      </c>
      <c r="E20" s="2">
        <v>33</v>
      </c>
      <c r="F20" s="31">
        <v>4.4999999999999998E-2</v>
      </c>
      <c r="G20" s="32"/>
      <c r="H20" s="33"/>
      <c r="I20" s="27"/>
    </row>
    <row r="21" spans="1:9" x14ac:dyDescent="0.3">
      <c r="A21" s="27" t="s">
        <v>194</v>
      </c>
      <c r="B21" s="27" t="s">
        <v>181</v>
      </c>
      <c r="C21" s="29">
        <v>42522</v>
      </c>
      <c r="D21" s="30">
        <v>3200000</v>
      </c>
      <c r="E21" s="2">
        <v>24</v>
      </c>
      <c r="F21" s="31">
        <v>3.6999999999999998E-2</v>
      </c>
      <c r="G21" s="32"/>
      <c r="H21" s="33"/>
      <c r="I21" s="27"/>
    </row>
    <row r="22" spans="1:9" x14ac:dyDescent="0.3">
      <c r="A22" s="27" t="s">
        <v>195</v>
      </c>
      <c r="B22" s="27" t="s">
        <v>179</v>
      </c>
      <c r="C22" s="29">
        <v>42248</v>
      </c>
      <c r="D22" s="30">
        <v>9000000</v>
      </c>
      <c r="E22" s="2">
        <v>26</v>
      </c>
      <c r="F22" s="31">
        <v>5.1999999999999998E-2</v>
      </c>
      <c r="G22" s="32"/>
      <c r="H22" s="33"/>
      <c r="I22" s="27"/>
    </row>
    <row r="23" spans="1:9" x14ac:dyDescent="0.3">
      <c r="A23" s="27" t="s">
        <v>196</v>
      </c>
      <c r="B23" s="27" t="s">
        <v>181</v>
      </c>
      <c r="C23" s="29">
        <v>41852</v>
      </c>
      <c r="D23" s="30">
        <v>38400000</v>
      </c>
      <c r="E23" s="2">
        <v>28</v>
      </c>
      <c r="F23" s="31">
        <v>7.2999999999999995E-2</v>
      </c>
      <c r="G23" s="32"/>
      <c r="H23" s="33"/>
      <c r="I23" s="27"/>
    </row>
    <row r="24" spans="1:9" x14ac:dyDescent="0.3">
      <c r="A24" s="27" t="s">
        <v>197</v>
      </c>
      <c r="B24" s="27" t="s">
        <v>176</v>
      </c>
      <c r="C24" s="29">
        <v>42856</v>
      </c>
      <c r="D24" s="30">
        <v>10800000</v>
      </c>
      <c r="E24" s="2">
        <v>29</v>
      </c>
      <c r="F24" s="31">
        <v>6.5000000000000002E-2</v>
      </c>
      <c r="G24" s="32"/>
      <c r="H24" s="33"/>
      <c r="I24" s="27"/>
    </row>
    <row r="26" spans="1:9" x14ac:dyDescent="0.3">
      <c r="A26" t="s">
        <v>198</v>
      </c>
      <c r="E26" t="s">
        <v>199</v>
      </c>
      <c r="H26" t="s">
        <v>200</v>
      </c>
    </row>
    <row r="27" spans="1:9" x14ac:dyDescent="0.3">
      <c r="A27" s="27" t="s">
        <v>201</v>
      </c>
      <c r="B27" s="27" t="s">
        <v>161</v>
      </c>
      <c r="C27" s="28" t="s">
        <v>202</v>
      </c>
      <c r="E27" s="27" t="s">
        <v>161</v>
      </c>
      <c r="F27" s="28" t="s">
        <v>203</v>
      </c>
      <c r="H27" s="27" t="s">
        <v>204</v>
      </c>
      <c r="I27" s="27" t="s">
        <v>205</v>
      </c>
    </row>
    <row r="28" spans="1:9" x14ac:dyDescent="0.3">
      <c r="A28" s="27" t="s">
        <v>206</v>
      </c>
      <c r="B28" s="27" t="s">
        <v>207</v>
      </c>
      <c r="C28" s="34"/>
      <c r="E28" s="27" t="s">
        <v>208</v>
      </c>
      <c r="F28" s="27"/>
      <c r="H28" s="34">
        <v>0</v>
      </c>
      <c r="I28" s="27" t="s">
        <v>209</v>
      </c>
    </row>
    <row r="29" spans="1:9" x14ac:dyDescent="0.3">
      <c r="A29" s="27" t="s">
        <v>210</v>
      </c>
      <c r="B29" s="27" t="s">
        <v>211</v>
      </c>
      <c r="C29" s="34"/>
      <c r="E29" s="27" t="s">
        <v>187</v>
      </c>
      <c r="F29" s="27"/>
      <c r="H29" s="34">
        <v>200000</v>
      </c>
      <c r="I29" s="27" t="s">
        <v>212</v>
      </c>
    </row>
    <row r="30" spans="1:9" x14ac:dyDescent="0.3">
      <c r="A30" s="27" t="s">
        <v>213</v>
      </c>
      <c r="B30" s="27" t="s">
        <v>214</v>
      </c>
      <c r="C30" s="34"/>
      <c r="E30" s="27" t="s">
        <v>215</v>
      </c>
      <c r="F30" s="27"/>
      <c r="H30" s="34">
        <v>500000</v>
      </c>
      <c r="I30" s="27" t="s">
        <v>216</v>
      </c>
    </row>
    <row r="31" spans="1:9" x14ac:dyDescent="0.3">
      <c r="E31" s="27" t="s">
        <v>217</v>
      </c>
      <c r="F31" s="27"/>
      <c r="H31" s="34">
        <v>1000000</v>
      </c>
      <c r="I31" s="27" t="s">
        <v>218</v>
      </c>
    </row>
    <row r="32" spans="1:9" x14ac:dyDescent="0.3">
      <c r="E32" s="27" t="s">
        <v>170</v>
      </c>
      <c r="F32" s="27"/>
    </row>
    <row r="33" spans="5:6" x14ac:dyDescent="0.3">
      <c r="E33" s="27" t="s">
        <v>219</v>
      </c>
      <c r="F33" s="27"/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49B9FB-383B-44D1-8078-9C94C2DA30F0}">
  <sheetPr codeName="Sheet12">
    <tabColor rgb="FF7030A0"/>
  </sheetPr>
  <dimension ref="B2:F24"/>
  <sheetViews>
    <sheetView workbookViewId="0">
      <selection activeCell="M26" sqref="M26"/>
    </sheetView>
  </sheetViews>
  <sheetFormatPr defaultRowHeight="16.5" x14ac:dyDescent="0.3"/>
  <cols>
    <col min="2" max="2" width="13.375" bestFit="1" customWidth="1"/>
    <col min="3" max="3" width="9.375" bestFit="1" customWidth="1"/>
    <col min="4" max="5" width="8.375" bestFit="1" customWidth="1"/>
    <col min="6" max="6" width="9.5" bestFit="1" customWidth="1"/>
  </cols>
  <sheetData>
    <row r="2" spans="2:6" x14ac:dyDescent="0.3">
      <c r="B2" t="s">
        <v>221</v>
      </c>
      <c r="D2" t="s">
        <v>222</v>
      </c>
    </row>
    <row r="3" spans="2:6" x14ac:dyDescent="0.3">
      <c r="B3" t="s">
        <v>223</v>
      </c>
      <c r="C3" t="s">
        <v>224</v>
      </c>
      <c r="D3" t="s">
        <v>225</v>
      </c>
      <c r="E3" t="s">
        <v>226</v>
      </c>
      <c r="F3" t="s">
        <v>227</v>
      </c>
    </row>
    <row r="4" spans="2:6" x14ac:dyDescent="0.3">
      <c r="B4" t="s">
        <v>123</v>
      </c>
      <c r="D4" s="36">
        <v>0.10137760508654185</v>
      </c>
      <c r="E4" s="36">
        <v>0.15400918403391028</v>
      </c>
      <c r="F4" s="36">
        <v>0.25538678912045215</v>
      </c>
    </row>
    <row r="5" spans="2:6" x14ac:dyDescent="0.3">
      <c r="C5" t="s">
        <v>115</v>
      </c>
      <c r="D5" s="36">
        <v>1.8014835747085834E-2</v>
      </c>
      <c r="E5" s="36">
        <v>2.9318262098198516E-2</v>
      </c>
      <c r="F5" s="36">
        <v>4.7333097845284354E-2</v>
      </c>
    </row>
    <row r="6" spans="2:6" x14ac:dyDescent="0.3">
      <c r="C6" t="s">
        <v>116</v>
      </c>
      <c r="D6" s="36">
        <v>1.3422818791946308E-2</v>
      </c>
      <c r="E6" s="36">
        <v>3.4263511126810316E-2</v>
      </c>
      <c r="F6" s="36">
        <v>4.7686329918756626E-2</v>
      </c>
    </row>
    <row r="7" spans="2:6" x14ac:dyDescent="0.3">
      <c r="C7" t="s">
        <v>117</v>
      </c>
      <c r="D7" s="36">
        <v>5.298481102084069E-2</v>
      </c>
      <c r="E7" s="36">
        <v>5.7576827975980217E-2</v>
      </c>
      <c r="F7" s="36">
        <v>0.11056163899682091</v>
      </c>
    </row>
    <row r="8" spans="2:6" x14ac:dyDescent="0.3">
      <c r="C8" t="s">
        <v>118</v>
      </c>
      <c r="D8" s="36">
        <v>1.6955139526669022E-2</v>
      </c>
      <c r="E8" s="36">
        <v>3.2850582832921228E-2</v>
      </c>
      <c r="F8" s="36">
        <v>4.980572235959025E-2</v>
      </c>
    </row>
    <row r="9" spans="2:6" x14ac:dyDescent="0.3">
      <c r="B9" t="s">
        <v>140</v>
      </c>
      <c r="D9" s="36">
        <v>0.12998940303779583</v>
      </c>
      <c r="E9" s="36">
        <v>0.13104909925821265</v>
      </c>
      <c r="F9" s="36">
        <v>0.2610385022960085</v>
      </c>
    </row>
    <row r="10" spans="2:6" x14ac:dyDescent="0.3">
      <c r="C10" t="s">
        <v>115</v>
      </c>
      <c r="D10" s="36">
        <v>3.1084422465559872E-2</v>
      </c>
      <c r="E10" s="36">
        <v>3.1084422465559872E-2</v>
      </c>
      <c r="F10" s="36">
        <v>6.2168844931119745E-2</v>
      </c>
    </row>
    <row r="11" spans="2:6" x14ac:dyDescent="0.3">
      <c r="C11" t="s">
        <v>116</v>
      </c>
      <c r="D11" s="36">
        <v>3.1084422465559872E-2</v>
      </c>
      <c r="E11" s="36">
        <v>2.7905333804309432E-2</v>
      </c>
      <c r="F11" s="36">
        <v>5.8989756269869305E-2</v>
      </c>
    </row>
    <row r="12" spans="2:6" x14ac:dyDescent="0.3">
      <c r="C12" t="s">
        <v>117</v>
      </c>
      <c r="D12" s="36">
        <v>5.5104203461674321E-2</v>
      </c>
      <c r="E12" s="36">
        <v>5.2278346873896153E-2</v>
      </c>
      <c r="F12" s="36">
        <v>0.10738255033557047</v>
      </c>
    </row>
    <row r="13" spans="2:6" x14ac:dyDescent="0.3">
      <c r="C13" t="s">
        <v>118</v>
      </c>
      <c r="D13" s="36">
        <v>1.2716354645001766E-2</v>
      </c>
      <c r="E13" s="36">
        <v>1.9780996114447193E-2</v>
      </c>
      <c r="F13" s="36">
        <v>3.2497350759448956E-2</v>
      </c>
    </row>
    <row r="14" spans="2:6" x14ac:dyDescent="0.3">
      <c r="B14" t="s">
        <v>135</v>
      </c>
      <c r="D14" s="36">
        <v>0.11197456729070999</v>
      </c>
      <c r="E14" s="36">
        <v>0.1130342635111268</v>
      </c>
      <c r="F14" s="36">
        <v>0.22500883080183681</v>
      </c>
    </row>
    <row r="15" spans="2:6" x14ac:dyDescent="0.3">
      <c r="C15" t="s">
        <v>115</v>
      </c>
      <c r="D15" s="36">
        <v>3.0377958318615329E-2</v>
      </c>
      <c r="E15" s="36">
        <v>2.4019780996114449E-2</v>
      </c>
      <c r="F15" s="36">
        <v>5.4397739314729777E-2</v>
      </c>
    </row>
    <row r="16" spans="2:6" x14ac:dyDescent="0.3">
      <c r="C16" t="s">
        <v>116</v>
      </c>
      <c r="D16" s="36">
        <v>2.8258565877781701E-2</v>
      </c>
      <c r="E16" s="36">
        <v>2.0487460261391734E-2</v>
      </c>
      <c r="F16" s="36">
        <v>4.8746026139173435E-2</v>
      </c>
    </row>
    <row r="17" spans="2:6" x14ac:dyDescent="0.3">
      <c r="C17" t="s">
        <v>117</v>
      </c>
      <c r="D17" s="36">
        <v>3.0377958318615329E-2</v>
      </c>
      <c r="E17" s="36">
        <v>5.9696220416813849E-2</v>
      </c>
      <c r="F17" s="36">
        <v>9.0074178735429181E-2</v>
      </c>
    </row>
    <row r="18" spans="2:6" x14ac:dyDescent="0.3">
      <c r="C18" t="s">
        <v>118</v>
      </c>
      <c r="D18" s="36">
        <v>2.2960084775697633E-2</v>
      </c>
      <c r="E18" s="36">
        <v>8.8308018368067828E-3</v>
      </c>
      <c r="F18" s="36">
        <v>3.1790886612504413E-2</v>
      </c>
    </row>
    <row r="19" spans="2:6" x14ac:dyDescent="0.3">
      <c r="B19" t="s">
        <v>128</v>
      </c>
      <c r="D19" s="36">
        <v>0.13352172377251856</v>
      </c>
      <c r="E19" s="36">
        <v>0.12504415400918403</v>
      </c>
      <c r="F19" s="36">
        <v>0.25856587778170259</v>
      </c>
    </row>
    <row r="20" spans="2:6" x14ac:dyDescent="0.3">
      <c r="C20" t="s">
        <v>115</v>
      </c>
      <c r="D20" s="36">
        <v>6.1109148710702929E-2</v>
      </c>
      <c r="E20" s="36">
        <v>3.4616743200282588E-2</v>
      </c>
      <c r="F20" s="36">
        <v>9.5725891910985517E-2</v>
      </c>
    </row>
    <row r="21" spans="2:6" x14ac:dyDescent="0.3">
      <c r="C21" t="s">
        <v>116</v>
      </c>
      <c r="D21" s="36">
        <v>2.1193924408336277E-2</v>
      </c>
      <c r="E21" s="36">
        <v>3.07311903920876E-2</v>
      </c>
      <c r="F21" s="36">
        <v>5.1925114800423881E-2</v>
      </c>
    </row>
    <row r="22" spans="2:6" x14ac:dyDescent="0.3">
      <c r="C22" t="s">
        <v>117</v>
      </c>
      <c r="D22" s="36">
        <v>3.0377958318615329E-2</v>
      </c>
      <c r="E22" s="36">
        <v>3.4263511126810316E-2</v>
      </c>
      <c r="F22" s="36">
        <v>6.4641469445425648E-2</v>
      </c>
    </row>
    <row r="23" spans="2:6" x14ac:dyDescent="0.3">
      <c r="C23" t="s">
        <v>118</v>
      </c>
      <c r="D23" s="36">
        <v>2.0840692334864006E-2</v>
      </c>
      <c r="E23" s="36">
        <v>2.5432709290003533E-2</v>
      </c>
      <c r="F23" s="36">
        <v>4.6273401624867538E-2</v>
      </c>
    </row>
    <row r="24" spans="2:6" x14ac:dyDescent="0.3">
      <c r="B24" t="s">
        <v>227</v>
      </c>
      <c r="D24" s="36">
        <v>0.47686329918756626</v>
      </c>
      <c r="E24" s="36">
        <v>0.5231367008124338</v>
      </c>
      <c r="F24" s="36">
        <v>1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26"/>
  <sheetViews>
    <sheetView tabSelected="1" workbookViewId="0"/>
  </sheetViews>
  <sheetFormatPr defaultRowHeight="16.5" x14ac:dyDescent="0.3"/>
  <cols>
    <col min="1" max="1" width="8.5" bestFit="1" customWidth="1"/>
    <col min="2" max="2" width="10.125" customWidth="1"/>
    <col min="3" max="3" width="24.125" customWidth="1"/>
    <col min="4" max="4" width="32.75" customWidth="1"/>
    <col min="5" max="5" width="11.375" bestFit="1" customWidth="1"/>
  </cols>
  <sheetData>
    <row r="1" spans="1:5" x14ac:dyDescent="0.3">
      <c r="A1" s="6" t="s">
        <v>41</v>
      </c>
      <c r="B1" s="6"/>
      <c r="C1" s="6"/>
      <c r="D1" s="6"/>
      <c r="E1" s="6"/>
    </row>
    <row r="2" spans="1:5" x14ac:dyDescent="0.3">
      <c r="A2" s="7" t="s">
        <v>42</v>
      </c>
      <c r="B2" s="7" t="s">
        <v>43</v>
      </c>
      <c r="C2" s="7" t="s">
        <v>44</v>
      </c>
      <c r="D2" s="7" t="s">
        <v>45</v>
      </c>
      <c r="E2" s="7" t="s">
        <v>46</v>
      </c>
    </row>
    <row r="3" spans="1:5" x14ac:dyDescent="0.3">
      <c r="A3" s="8" t="s">
        <v>47</v>
      </c>
      <c r="B3" s="8" t="s">
        <v>48</v>
      </c>
      <c r="C3" s="9" t="s">
        <v>49</v>
      </c>
      <c r="D3" s="9" t="s">
        <v>50</v>
      </c>
      <c r="E3" s="10">
        <v>200400</v>
      </c>
    </row>
    <row r="4" spans="1:5" x14ac:dyDescent="0.3">
      <c r="A4" s="8" t="s">
        <v>51</v>
      </c>
      <c r="B4" s="8" t="s">
        <v>48</v>
      </c>
      <c r="C4" s="9" t="s">
        <v>49</v>
      </c>
      <c r="D4" s="9" t="s">
        <v>52</v>
      </c>
      <c r="E4" s="10">
        <v>181800</v>
      </c>
    </row>
    <row r="5" spans="1:5" x14ac:dyDescent="0.3">
      <c r="A5" s="8" t="s">
        <v>53</v>
      </c>
      <c r="B5" s="8" t="s">
        <v>54</v>
      </c>
      <c r="C5" s="9" t="s">
        <v>90</v>
      </c>
      <c r="D5" s="9" t="s">
        <v>100</v>
      </c>
      <c r="E5" s="10">
        <v>3957100</v>
      </c>
    </row>
    <row r="6" spans="1:5" x14ac:dyDescent="0.3">
      <c r="A6" s="8" t="s">
        <v>55</v>
      </c>
      <c r="B6" s="8" t="s">
        <v>54</v>
      </c>
      <c r="C6" s="9" t="s">
        <v>93</v>
      </c>
      <c r="D6" s="9" t="s">
        <v>94</v>
      </c>
      <c r="E6" s="10">
        <v>5302100</v>
      </c>
    </row>
    <row r="7" spans="1:5" x14ac:dyDescent="0.3">
      <c r="A7" s="8" t="s">
        <v>56</v>
      </c>
      <c r="B7" s="8" t="s">
        <v>54</v>
      </c>
      <c r="C7" s="9" t="s">
        <v>90</v>
      </c>
      <c r="D7" s="9" t="s">
        <v>105</v>
      </c>
      <c r="E7" s="10">
        <v>13011600</v>
      </c>
    </row>
    <row r="8" spans="1:5" x14ac:dyDescent="0.3">
      <c r="A8" s="8" t="s">
        <v>57</v>
      </c>
      <c r="B8" s="8" t="s">
        <v>54</v>
      </c>
      <c r="C8" s="9" t="s">
        <v>106</v>
      </c>
      <c r="D8" s="9" t="s">
        <v>107</v>
      </c>
      <c r="E8" s="10">
        <v>536600</v>
      </c>
    </row>
    <row r="9" spans="1:5" x14ac:dyDescent="0.3">
      <c r="A9" s="8" t="s">
        <v>58</v>
      </c>
      <c r="B9" s="8" t="s">
        <v>54</v>
      </c>
      <c r="C9" s="9" t="s">
        <v>108</v>
      </c>
      <c r="D9" s="9" t="s">
        <v>109</v>
      </c>
      <c r="E9" s="10">
        <v>2886600</v>
      </c>
    </row>
    <row r="10" spans="1:5" x14ac:dyDescent="0.3">
      <c r="A10" s="8" t="s">
        <v>59</v>
      </c>
      <c r="B10" s="8" t="s">
        <v>60</v>
      </c>
      <c r="C10" s="9" t="s">
        <v>61</v>
      </c>
      <c r="D10" s="9" t="s">
        <v>62</v>
      </c>
      <c r="E10" s="10">
        <v>829100</v>
      </c>
    </row>
    <row r="11" spans="1:5" x14ac:dyDescent="0.3">
      <c r="A11" s="8" t="s">
        <v>63</v>
      </c>
      <c r="B11" s="8" t="s">
        <v>60</v>
      </c>
      <c r="C11" s="9" t="s">
        <v>64</v>
      </c>
      <c r="D11" s="9" t="s">
        <v>65</v>
      </c>
      <c r="E11" s="10">
        <v>185600</v>
      </c>
    </row>
    <row r="12" spans="1:5" x14ac:dyDescent="0.3">
      <c r="A12" s="8" t="s">
        <v>66</v>
      </c>
      <c r="B12" s="8" t="s">
        <v>60</v>
      </c>
      <c r="C12" s="9" t="s">
        <v>67</v>
      </c>
      <c r="D12" s="9" t="s">
        <v>68</v>
      </c>
      <c r="E12" s="10">
        <v>587100</v>
      </c>
    </row>
    <row r="13" spans="1:5" x14ac:dyDescent="0.3">
      <c r="A13" s="8" t="s">
        <v>69</v>
      </c>
      <c r="B13" s="8" t="s">
        <v>54</v>
      </c>
      <c r="C13" s="9" t="s">
        <v>70</v>
      </c>
      <c r="D13" s="9" t="s">
        <v>71</v>
      </c>
      <c r="E13" s="10">
        <v>319600</v>
      </c>
    </row>
    <row r="14" spans="1:5" x14ac:dyDescent="0.3">
      <c r="A14" s="8" t="s">
        <v>72</v>
      </c>
      <c r="B14" s="8" t="s">
        <v>54</v>
      </c>
      <c r="C14" s="9" t="s">
        <v>101</v>
      </c>
      <c r="D14" s="9" t="s">
        <v>102</v>
      </c>
      <c r="E14" s="10">
        <v>4998500</v>
      </c>
    </row>
    <row r="15" spans="1:5" x14ac:dyDescent="0.3">
      <c r="A15" s="8" t="s">
        <v>73</v>
      </c>
      <c r="B15" s="8" t="s">
        <v>54</v>
      </c>
      <c r="C15" s="9" t="s">
        <v>90</v>
      </c>
      <c r="D15" s="9" t="s">
        <v>92</v>
      </c>
      <c r="E15" s="10">
        <v>18043100</v>
      </c>
    </row>
    <row r="16" spans="1:5" x14ac:dyDescent="0.3">
      <c r="A16" s="8" t="s">
        <v>73</v>
      </c>
      <c r="B16" s="8" t="s">
        <v>54</v>
      </c>
      <c r="C16" s="9" t="s">
        <v>74</v>
      </c>
      <c r="D16" s="9" t="s">
        <v>75</v>
      </c>
      <c r="E16" s="10">
        <v>6715100</v>
      </c>
    </row>
    <row r="17" spans="1:5" x14ac:dyDescent="0.3">
      <c r="A17" s="8" t="s">
        <v>76</v>
      </c>
      <c r="B17" s="8" t="s">
        <v>60</v>
      </c>
      <c r="C17" s="9" t="s">
        <v>77</v>
      </c>
      <c r="D17" s="9" t="s">
        <v>78</v>
      </c>
      <c r="E17" s="10">
        <v>6648500</v>
      </c>
    </row>
    <row r="18" spans="1:5" x14ac:dyDescent="0.3">
      <c r="A18" s="8" t="s">
        <v>76</v>
      </c>
      <c r="B18" s="8" t="s">
        <v>60</v>
      </c>
      <c r="C18" s="9" t="s">
        <v>77</v>
      </c>
      <c r="D18" s="9" t="s">
        <v>79</v>
      </c>
      <c r="E18" s="10">
        <v>1375900</v>
      </c>
    </row>
    <row r="19" spans="1:5" x14ac:dyDescent="0.3">
      <c r="A19" s="8" t="s">
        <v>80</v>
      </c>
      <c r="B19" s="8" t="s">
        <v>81</v>
      </c>
      <c r="C19" s="9" t="s">
        <v>103</v>
      </c>
      <c r="D19" s="9" t="s">
        <v>104</v>
      </c>
      <c r="E19" s="10">
        <v>9229100</v>
      </c>
    </row>
    <row r="20" spans="1:5" x14ac:dyDescent="0.3">
      <c r="A20" s="8" t="s">
        <v>82</v>
      </c>
      <c r="B20" s="8" t="s">
        <v>81</v>
      </c>
      <c r="C20" s="9" t="s">
        <v>90</v>
      </c>
      <c r="D20" s="9" t="s">
        <v>91</v>
      </c>
      <c r="E20" s="10">
        <v>17279600</v>
      </c>
    </row>
    <row r="21" spans="1:5" x14ac:dyDescent="0.3">
      <c r="A21" s="8" t="s">
        <v>83</v>
      </c>
      <c r="B21" s="8" t="s">
        <v>81</v>
      </c>
      <c r="C21" s="9" t="s">
        <v>96</v>
      </c>
      <c r="D21" s="9" t="s">
        <v>97</v>
      </c>
      <c r="E21" s="10">
        <v>2629100</v>
      </c>
    </row>
    <row r="22" spans="1:5" x14ac:dyDescent="0.3">
      <c r="A22" s="8" t="s">
        <v>83</v>
      </c>
      <c r="B22" s="8" t="s">
        <v>81</v>
      </c>
      <c r="C22" s="9" t="s">
        <v>110</v>
      </c>
      <c r="D22" s="9" t="s">
        <v>111</v>
      </c>
      <c r="E22" s="10">
        <v>788900</v>
      </c>
    </row>
    <row r="23" spans="1:5" x14ac:dyDescent="0.3">
      <c r="A23" s="8" t="s">
        <v>84</v>
      </c>
      <c r="B23" s="8" t="s">
        <v>48</v>
      </c>
      <c r="C23" s="9" t="s">
        <v>85</v>
      </c>
      <c r="D23" s="9" t="s">
        <v>86</v>
      </c>
      <c r="E23" s="10">
        <v>6353900</v>
      </c>
    </row>
    <row r="24" spans="1:5" x14ac:dyDescent="0.3">
      <c r="A24" s="8" t="s">
        <v>84</v>
      </c>
      <c r="B24" s="8" t="s">
        <v>48</v>
      </c>
      <c r="C24" s="9" t="s">
        <v>85</v>
      </c>
      <c r="D24" s="9" t="s">
        <v>87</v>
      </c>
      <c r="E24" s="10">
        <v>355700</v>
      </c>
    </row>
    <row r="25" spans="1:5" x14ac:dyDescent="0.3">
      <c r="A25" s="8" t="s">
        <v>88</v>
      </c>
      <c r="B25" s="8" t="s">
        <v>54</v>
      </c>
      <c r="C25" s="9" t="s">
        <v>90</v>
      </c>
      <c r="D25" s="9" t="s">
        <v>95</v>
      </c>
      <c r="E25" s="10">
        <v>12715100</v>
      </c>
    </row>
    <row r="26" spans="1:5" x14ac:dyDescent="0.3">
      <c r="A26" s="8" t="s">
        <v>89</v>
      </c>
      <c r="B26" s="8" t="s">
        <v>54</v>
      </c>
      <c r="C26" s="9" t="s">
        <v>98</v>
      </c>
      <c r="D26" s="9" t="s">
        <v>99</v>
      </c>
      <c r="E26" s="10">
        <v>5292100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C4CB5B-5483-4712-AD03-B734529F6B92}">
  <sheetPr codeName="Sheet13">
    <tabColor rgb="FF7030A0"/>
  </sheetPr>
  <dimension ref="A1:E36"/>
  <sheetViews>
    <sheetView workbookViewId="0">
      <selection activeCell="F26" sqref="F26"/>
    </sheetView>
  </sheetViews>
  <sheetFormatPr defaultRowHeight="16.5" outlineLevelRow="3" x14ac:dyDescent="0.3"/>
  <cols>
    <col min="1" max="1" width="8.5" bestFit="1" customWidth="1"/>
    <col min="2" max="2" width="10.125" customWidth="1"/>
    <col min="3" max="3" width="24.125" customWidth="1"/>
    <col min="4" max="4" width="32.75" customWidth="1"/>
    <col min="5" max="5" width="12.75" bestFit="1" customWidth="1"/>
  </cols>
  <sheetData>
    <row r="1" spans="1:5" x14ac:dyDescent="0.3">
      <c r="A1" s="6" t="s">
        <v>41</v>
      </c>
      <c r="B1" s="6"/>
      <c r="C1" s="6"/>
      <c r="D1" s="6"/>
      <c r="E1" s="6"/>
    </row>
    <row r="2" spans="1:5" x14ac:dyDescent="0.3">
      <c r="A2" s="7" t="s">
        <v>42</v>
      </c>
      <c r="B2" s="7" t="s">
        <v>43</v>
      </c>
      <c r="C2" s="7" t="s">
        <v>44</v>
      </c>
      <c r="D2" s="7" t="s">
        <v>45</v>
      </c>
      <c r="E2" s="7" t="s">
        <v>46</v>
      </c>
    </row>
    <row r="3" spans="1:5" outlineLevel="3" x14ac:dyDescent="0.3">
      <c r="A3" s="8" t="s">
        <v>80</v>
      </c>
      <c r="B3" s="8" t="s">
        <v>81</v>
      </c>
      <c r="C3" s="9" t="s">
        <v>103</v>
      </c>
      <c r="D3" s="9" t="s">
        <v>104</v>
      </c>
      <c r="E3" s="10">
        <v>9229100</v>
      </c>
    </row>
    <row r="4" spans="1:5" outlineLevel="3" x14ac:dyDescent="0.3">
      <c r="A4" s="8" t="s">
        <v>82</v>
      </c>
      <c r="B4" s="8" t="s">
        <v>81</v>
      </c>
      <c r="C4" s="9" t="s">
        <v>90</v>
      </c>
      <c r="D4" s="9" t="s">
        <v>91</v>
      </c>
      <c r="E4" s="10">
        <v>17279600</v>
      </c>
    </row>
    <row r="5" spans="1:5" outlineLevel="3" x14ac:dyDescent="0.3">
      <c r="A5" s="8" t="s">
        <v>83</v>
      </c>
      <c r="B5" s="8" t="s">
        <v>81</v>
      </c>
      <c r="C5" s="9" t="s">
        <v>96</v>
      </c>
      <c r="D5" s="9" t="s">
        <v>97</v>
      </c>
      <c r="E5" s="10">
        <v>2629100</v>
      </c>
    </row>
    <row r="6" spans="1:5" outlineLevel="3" x14ac:dyDescent="0.3">
      <c r="A6" s="8" t="s">
        <v>83</v>
      </c>
      <c r="B6" s="8" t="s">
        <v>81</v>
      </c>
      <c r="C6" s="9" t="s">
        <v>110</v>
      </c>
      <c r="D6" s="9" t="s">
        <v>111</v>
      </c>
      <c r="E6" s="10">
        <v>788900</v>
      </c>
    </row>
    <row r="7" spans="1:5" outlineLevel="2" x14ac:dyDescent="0.3">
      <c r="A7" s="8"/>
      <c r="B7" s="37" t="s">
        <v>228</v>
      </c>
      <c r="C7" s="9"/>
      <c r="D7" s="9">
        <f>SUBTOTAL(3,D3:D6)</f>
        <v>4</v>
      </c>
      <c r="E7" s="10"/>
    </row>
    <row r="8" spans="1:5" outlineLevel="1" x14ac:dyDescent="0.3">
      <c r="A8" s="8"/>
      <c r="B8" s="37" t="s">
        <v>229</v>
      </c>
      <c r="C8" s="9"/>
      <c r="D8" s="9"/>
      <c r="E8" s="10">
        <f>SUBTOTAL(9,E3:E6)</f>
        <v>29926700</v>
      </c>
    </row>
    <row r="9" spans="1:5" outlineLevel="3" x14ac:dyDescent="0.3">
      <c r="A9" s="8" t="s">
        <v>59</v>
      </c>
      <c r="B9" s="8" t="s">
        <v>60</v>
      </c>
      <c r="C9" s="9" t="s">
        <v>61</v>
      </c>
      <c r="D9" s="9" t="s">
        <v>62</v>
      </c>
      <c r="E9" s="10">
        <v>829100</v>
      </c>
    </row>
    <row r="10" spans="1:5" outlineLevel="3" x14ac:dyDescent="0.3">
      <c r="A10" s="8" t="s">
        <v>63</v>
      </c>
      <c r="B10" s="8" t="s">
        <v>60</v>
      </c>
      <c r="C10" s="9" t="s">
        <v>64</v>
      </c>
      <c r="D10" s="9" t="s">
        <v>65</v>
      </c>
      <c r="E10" s="10">
        <v>185600</v>
      </c>
    </row>
    <row r="11" spans="1:5" outlineLevel="3" x14ac:dyDescent="0.3">
      <c r="A11" s="8" t="s">
        <v>66</v>
      </c>
      <c r="B11" s="8" t="s">
        <v>60</v>
      </c>
      <c r="C11" s="9" t="s">
        <v>67</v>
      </c>
      <c r="D11" s="9" t="s">
        <v>68</v>
      </c>
      <c r="E11" s="10">
        <v>587100</v>
      </c>
    </row>
    <row r="12" spans="1:5" outlineLevel="3" x14ac:dyDescent="0.3">
      <c r="A12" s="8" t="s">
        <v>76</v>
      </c>
      <c r="B12" s="8" t="s">
        <v>60</v>
      </c>
      <c r="C12" s="9" t="s">
        <v>77</v>
      </c>
      <c r="D12" s="9" t="s">
        <v>78</v>
      </c>
      <c r="E12" s="10">
        <v>6648500</v>
      </c>
    </row>
    <row r="13" spans="1:5" outlineLevel="3" x14ac:dyDescent="0.3">
      <c r="A13" s="8" t="s">
        <v>76</v>
      </c>
      <c r="B13" s="8" t="s">
        <v>60</v>
      </c>
      <c r="C13" s="9" t="s">
        <v>77</v>
      </c>
      <c r="D13" s="9" t="s">
        <v>79</v>
      </c>
      <c r="E13" s="10">
        <v>1375900</v>
      </c>
    </row>
    <row r="14" spans="1:5" outlineLevel="2" x14ac:dyDescent="0.3">
      <c r="A14" s="8"/>
      <c r="B14" s="37" t="s">
        <v>230</v>
      </c>
      <c r="C14" s="9"/>
      <c r="D14" s="9">
        <f>SUBTOTAL(3,D9:D13)</f>
        <v>5</v>
      </c>
      <c r="E14" s="10"/>
    </row>
    <row r="15" spans="1:5" outlineLevel="1" x14ac:dyDescent="0.3">
      <c r="A15" s="8"/>
      <c r="B15" s="37" t="s">
        <v>231</v>
      </c>
      <c r="C15" s="9"/>
      <c r="D15" s="9"/>
      <c r="E15" s="10">
        <f>SUBTOTAL(9,E9:E13)</f>
        <v>9626200</v>
      </c>
    </row>
    <row r="16" spans="1:5" outlineLevel="3" x14ac:dyDescent="0.3">
      <c r="A16" s="8" t="s">
        <v>53</v>
      </c>
      <c r="B16" s="8" t="s">
        <v>54</v>
      </c>
      <c r="C16" s="9" t="s">
        <v>90</v>
      </c>
      <c r="D16" s="9" t="s">
        <v>100</v>
      </c>
      <c r="E16" s="10">
        <v>3957100</v>
      </c>
    </row>
    <row r="17" spans="1:5" outlineLevel="3" x14ac:dyDescent="0.3">
      <c r="A17" s="8" t="s">
        <v>55</v>
      </c>
      <c r="B17" s="8" t="s">
        <v>54</v>
      </c>
      <c r="C17" s="9" t="s">
        <v>93</v>
      </c>
      <c r="D17" s="9" t="s">
        <v>94</v>
      </c>
      <c r="E17" s="10">
        <v>5302100</v>
      </c>
    </row>
    <row r="18" spans="1:5" outlineLevel="3" x14ac:dyDescent="0.3">
      <c r="A18" s="8" t="s">
        <v>56</v>
      </c>
      <c r="B18" s="8" t="s">
        <v>54</v>
      </c>
      <c r="C18" s="9" t="s">
        <v>90</v>
      </c>
      <c r="D18" s="9" t="s">
        <v>105</v>
      </c>
      <c r="E18" s="10">
        <v>13011600</v>
      </c>
    </row>
    <row r="19" spans="1:5" outlineLevel="3" x14ac:dyDescent="0.3">
      <c r="A19" s="8" t="s">
        <v>57</v>
      </c>
      <c r="B19" s="8" t="s">
        <v>54</v>
      </c>
      <c r="C19" s="9" t="s">
        <v>106</v>
      </c>
      <c r="D19" s="9" t="s">
        <v>107</v>
      </c>
      <c r="E19" s="10">
        <v>536600</v>
      </c>
    </row>
    <row r="20" spans="1:5" outlineLevel="3" x14ac:dyDescent="0.3">
      <c r="A20" s="8" t="s">
        <v>58</v>
      </c>
      <c r="B20" s="8" t="s">
        <v>54</v>
      </c>
      <c r="C20" s="9" t="s">
        <v>108</v>
      </c>
      <c r="D20" s="9" t="s">
        <v>109</v>
      </c>
      <c r="E20" s="10">
        <v>2886600</v>
      </c>
    </row>
    <row r="21" spans="1:5" outlineLevel="3" x14ac:dyDescent="0.3">
      <c r="A21" s="8" t="s">
        <v>69</v>
      </c>
      <c r="B21" s="8" t="s">
        <v>54</v>
      </c>
      <c r="C21" s="9" t="s">
        <v>70</v>
      </c>
      <c r="D21" s="9" t="s">
        <v>71</v>
      </c>
      <c r="E21" s="10">
        <v>319600</v>
      </c>
    </row>
    <row r="22" spans="1:5" outlineLevel="3" x14ac:dyDescent="0.3">
      <c r="A22" s="8" t="s">
        <v>72</v>
      </c>
      <c r="B22" s="8" t="s">
        <v>54</v>
      </c>
      <c r="C22" s="9" t="s">
        <v>101</v>
      </c>
      <c r="D22" s="9" t="s">
        <v>102</v>
      </c>
      <c r="E22" s="10">
        <v>4998500</v>
      </c>
    </row>
    <row r="23" spans="1:5" outlineLevel="3" x14ac:dyDescent="0.3">
      <c r="A23" s="8" t="s">
        <v>73</v>
      </c>
      <c r="B23" s="8" t="s">
        <v>54</v>
      </c>
      <c r="C23" s="9" t="s">
        <v>90</v>
      </c>
      <c r="D23" s="9" t="s">
        <v>92</v>
      </c>
      <c r="E23" s="10">
        <v>18043100</v>
      </c>
    </row>
    <row r="24" spans="1:5" outlineLevel="3" x14ac:dyDescent="0.3">
      <c r="A24" s="8" t="s">
        <v>73</v>
      </c>
      <c r="B24" s="8" t="s">
        <v>54</v>
      </c>
      <c r="C24" s="9" t="s">
        <v>74</v>
      </c>
      <c r="D24" s="9" t="s">
        <v>75</v>
      </c>
      <c r="E24" s="10">
        <v>6715100</v>
      </c>
    </row>
    <row r="25" spans="1:5" outlineLevel="3" x14ac:dyDescent="0.3">
      <c r="A25" s="8" t="s">
        <v>88</v>
      </c>
      <c r="B25" s="8" t="s">
        <v>54</v>
      </c>
      <c r="C25" s="9" t="s">
        <v>90</v>
      </c>
      <c r="D25" s="9" t="s">
        <v>95</v>
      </c>
      <c r="E25" s="10">
        <v>12715100</v>
      </c>
    </row>
    <row r="26" spans="1:5" outlineLevel="3" x14ac:dyDescent="0.3">
      <c r="A26" s="8" t="s">
        <v>89</v>
      </c>
      <c r="B26" s="8" t="s">
        <v>54</v>
      </c>
      <c r="C26" s="9" t="s">
        <v>98</v>
      </c>
      <c r="D26" s="9" t="s">
        <v>99</v>
      </c>
      <c r="E26" s="10">
        <v>5292100</v>
      </c>
    </row>
    <row r="27" spans="1:5" outlineLevel="2" x14ac:dyDescent="0.3">
      <c r="A27" s="8"/>
      <c r="B27" s="37" t="s">
        <v>232</v>
      </c>
      <c r="C27" s="9"/>
      <c r="D27" s="9">
        <f>SUBTOTAL(3,D16:D26)</f>
        <v>11</v>
      </c>
      <c r="E27" s="10"/>
    </row>
    <row r="28" spans="1:5" outlineLevel="1" x14ac:dyDescent="0.3">
      <c r="A28" s="8"/>
      <c r="B28" s="37" t="s">
        <v>233</v>
      </c>
      <c r="C28" s="9"/>
      <c r="D28" s="9"/>
      <c r="E28" s="10">
        <f>SUBTOTAL(9,E16:E26)</f>
        <v>73777500</v>
      </c>
    </row>
    <row r="29" spans="1:5" outlineLevel="3" x14ac:dyDescent="0.3">
      <c r="A29" s="8" t="s">
        <v>47</v>
      </c>
      <c r="B29" s="8" t="s">
        <v>48</v>
      </c>
      <c r="C29" s="9" t="s">
        <v>49</v>
      </c>
      <c r="D29" s="9" t="s">
        <v>50</v>
      </c>
      <c r="E29" s="10">
        <v>200400</v>
      </c>
    </row>
    <row r="30" spans="1:5" outlineLevel="3" x14ac:dyDescent="0.3">
      <c r="A30" s="8" t="s">
        <v>51</v>
      </c>
      <c r="B30" s="8" t="s">
        <v>48</v>
      </c>
      <c r="C30" s="9" t="s">
        <v>49</v>
      </c>
      <c r="D30" s="9" t="s">
        <v>52</v>
      </c>
      <c r="E30" s="10">
        <v>181800</v>
      </c>
    </row>
    <row r="31" spans="1:5" outlineLevel="3" x14ac:dyDescent="0.3">
      <c r="A31" s="8" t="s">
        <v>84</v>
      </c>
      <c r="B31" s="8" t="s">
        <v>48</v>
      </c>
      <c r="C31" s="9" t="s">
        <v>85</v>
      </c>
      <c r="D31" s="9" t="s">
        <v>86</v>
      </c>
      <c r="E31" s="10">
        <v>6353900</v>
      </c>
    </row>
    <row r="32" spans="1:5" outlineLevel="3" x14ac:dyDescent="0.3">
      <c r="A32" s="8" t="s">
        <v>84</v>
      </c>
      <c r="B32" s="8" t="s">
        <v>48</v>
      </c>
      <c r="C32" s="9" t="s">
        <v>85</v>
      </c>
      <c r="D32" s="9" t="s">
        <v>87</v>
      </c>
      <c r="E32" s="10">
        <v>355700</v>
      </c>
    </row>
    <row r="33" spans="1:5" ht="33" outlineLevel="2" x14ac:dyDescent="0.3">
      <c r="A33" s="38"/>
      <c r="B33" s="39" t="s">
        <v>234</v>
      </c>
      <c r="C33" s="40"/>
      <c r="D33" s="40">
        <f>SUBTOTAL(3,D29:D32)</f>
        <v>4</v>
      </c>
      <c r="E33" s="41"/>
    </row>
    <row r="34" spans="1:5" ht="33" outlineLevel="1" x14ac:dyDescent="0.3">
      <c r="A34" s="38"/>
      <c r="B34" s="39" t="s">
        <v>235</v>
      </c>
      <c r="C34" s="40"/>
      <c r="D34" s="40"/>
      <c r="E34" s="41">
        <f>SUBTOTAL(9,E29:E32)</f>
        <v>7091800</v>
      </c>
    </row>
    <row r="35" spans="1:5" x14ac:dyDescent="0.3">
      <c r="A35" s="38"/>
      <c r="B35" s="39" t="s">
        <v>236</v>
      </c>
      <c r="C35" s="40"/>
      <c r="D35" s="40">
        <f>SUBTOTAL(3,D3:D32)</f>
        <v>24</v>
      </c>
      <c r="E35" s="41"/>
    </row>
    <row r="36" spans="1:5" x14ac:dyDescent="0.3">
      <c r="A36" s="38"/>
      <c r="B36" s="39" t="s">
        <v>227</v>
      </c>
      <c r="C36" s="40"/>
      <c r="D36" s="40"/>
      <c r="E36" s="41">
        <f>SUBTOTAL(9,E3:E32)</f>
        <v>120422200</v>
      </c>
    </row>
  </sheetData>
  <phoneticPr fontId="1" type="noConversion"/>
  <dataValidations count="1">
    <dataValidation type="list" allowBlank="1" showInputMessage="1" showErrorMessage="1" errorTitle="입력오류" error="장르는 클래식, 가요, POP, OST만 입력하세요." sqref="B16:B26 B3:B6 B9:B13 B29:B32" xr:uid="{E5F415A1-B797-4D67-A17A-28EAEB0B0007}">
      <formula1>"클래식,가요,POP,OST"</formula1>
    </dataValidation>
  </dataValidations>
  <pageMargins left="0.7" right="0.7" top="0.75" bottom="0.75" header="0.3" footer="0.3"/>
  <pageSetup paperSize="9" orientation="portrait" horizontalDpi="4294967292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E14"/>
  <sheetViews>
    <sheetView workbookViewId="0"/>
  </sheetViews>
  <sheetFormatPr defaultRowHeight="16.5" x14ac:dyDescent="0.3"/>
  <cols>
    <col min="1" max="1" width="10.375" bestFit="1" customWidth="1"/>
    <col min="2" max="2" width="10.875" bestFit="1" customWidth="1"/>
    <col min="3" max="3" width="9.125" customWidth="1"/>
    <col min="4" max="4" width="10.5" customWidth="1"/>
    <col min="5" max="5" width="12" customWidth="1"/>
  </cols>
  <sheetData>
    <row r="2" spans="1:5" x14ac:dyDescent="0.3">
      <c r="A2" t="s">
        <v>0</v>
      </c>
      <c r="B2" t="s">
        <v>40</v>
      </c>
    </row>
    <row r="3" spans="1:5" x14ac:dyDescent="0.3">
      <c r="A3" s="5" t="s">
        <v>24</v>
      </c>
      <c r="B3" s="5" t="s">
        <v>39</v>
      </c>
      <c r="C3" s="5" t="s">
        <v>37</v>
      </c>
      <c r="D3" s="5" t="s">
        <v>38</v>
      </c>
      <c r="E3" s="5" t="s">
        <v>25</v>
      </c>
    </row>
    <row r="4" spans="1:5" x14ac:dyDescent="0.3">
      <c r="A4" s="5" t="s">
        <v>26</v>
      </c>
      <c r="B4" s="4">
        <v>3</v>
      </c>
      <c r="C4" s="4">
        <v>26</v>
      </c>
      <c r="D4" s="4">
        <v>20</v>
      </c>
      <c r="E4" s="4">
        <v>103</v>
      </c>
    </row>
    <row r="5" spans="1:5" x14ac:dyDescent="0.3">
      <c r="A5" s="5" t="s">
        <v>28</v>
      </c>
      <c r="B5" s="4">
        <v>2</v>
      </c>
      <c r="C5" s="4">
        <v>27</v>
      </c>
      <c r="D5" s="4">
        <v>9</v>
      </c>
      <c r="E5" s="4">
        <v>176</v>
      </c>
    </row>
    <row r="6" spans="1:5" x14ac:dyDescent="0.3">
      <c r="A6" s="5" t="s">
        <v>27</v>
      </c>
      <c r="B6" s="4">
        <v>3</v>
      </c>
      <c r="C6" s="4">
        <v>12</v>
      </c>
      <c r="D6" s="4">
        <v>4</v>
      </c>
      <c r="E6" s="4">
        <v>189</v>
      </c>
    </row>
    <row r="7" spans="1:5" x14ac:dyDescent="0.3">
      <c r="A7" s="5" t="s">
        <v>29</v>
      </c>
      <c r="B7" s="4">
        <v>1</v>
      </c>
      <c r="C7" s="4">
        <v>18</v>
      </c>
      <c r="D7" s="4">
        <v>3</v>
      </c>
      <c r="E7" s="4">
        <v>4</v>
      </c>
    </row>
    <row r="8" spans="1:5" x14ac:dyDescent="0.3">
      <c r="A8" s="5" t="s">
        <v>30</v>
      </c>
      <c r="B8" s="4">
        <v>1</v>
      </c>
      <c r="C8" s="4">
        <v>16</v>
      </c>
      <c r="D8" s="4">
        <v>5</v>
      </c>
      <c r="E8" s="4">
        <v>39</v>
      </c>
    </row>
    <row r="9" spans="1:5" x14ac:dyDescent="0.3">
      <c r="A9" s="5" t="s">
        <v>31</v>
      </c>
      <c r="B9" s="4">
        <v>1</v>
      </c>
      <c r="C9" s="4">
        <v>17</v>
      </c>
      <c r="D9" s="4">
        <v>3</v>
      </c>
      <c r="E9" s="4">
        <v>18</v>
      </c>
    </row>
    <row r="10" spans="1:5" x14ac:dyDescent="0.3">
      <c r="A10" s="5" t="s">
        <v>32</v>
      </c>
      <c r="B10" s="4">
        <v>1</v>
      </c>
      <c r="C10" s="4">
        <v>20</v>
      </c>
      <c r="D10" s="4">
        <v>6</v>
      </c>
      <c r="E10" s="4">
        <v>2</v>
      </c>
    </row>
    <row r="11" spans="1:5" x14ac:dyDescent="0.3">
      <c r="A11" s="5" t="s">
        <v>33</v>
      </c>
      <c r="B11" s="4">
        <v>1</v>
      </c>
      <c r="C11" s="4">
        <v>23</v>
      </c>
      <c r="D11" s="4">
        <v>4</v>
      </c>
      <c r="E11" s="4">
        <v>2</v>
      </c>
    </row>
    <row r="12" spans="1:5" x14ac:dyDescent="0.3">
      <c r="A12" s="5" t="s">
        <v>34</v>
      </c>
      <c r="B12" s="4">
        <v>2</v>
      </c>
      <c r="C12" s="4">
        <v>28</v>
      </c>
      <c r="D12" s="4">
        <v>8</v>
      </c>
      <c r="E12" s="4">
        <v>142</v>
      </c>
    </row>
    <row r="13" spans="1:5" x14ac:dyDescent="0.3">
      <c r="A13" s="5" t="s">
        <v>35</v>
      </c>
      <c r="B13" s="4">
        <v>2</v>
      </c>
      <c r="C13" s="4">
        <v>27</v>
      </c>
      <c r="D13" s="4">
        <v>5</v>
      </c>
      <c r="E13" s="4">
        <v>73</v>
      </c>
    </row>
    <row r="14" spans="1:5" x14ac:dyDescent="0.3">
      <c r="A14" s="5" t="s">
        <v>36</v>
      </c>
      <c r="B14" s="4">
        <v>1</v>
      </c>
      <c r="C14" s="4">
        <v>5</v>
      </c>
      <c r="D14" s="4">
        <v>1</v>
      </c>
      <c r="E14" s="4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F13EA-39D8-439D-BAE9-1757B7E9E0B1}">
  <sheetPr codeName="Sheet14">
    <tabColor rgb="FF7030A0"/>
  </sheetPr>
  <dimension ref="A2:E14"/>
  <sheetViews>
    <sheetView workbookViewId="0">
      <selection activeCell="M26" sqref="M26"/>
    </sheetView>
  </sheetViews>
  <sheetFormatPr defaultRowHeight="16.5" x14ac:dyDescent="0.3"/>
  <cols>
    <col min="1" max="1" width="10.375" bestFit="1" customWidth="1"/>
    <col min="2" max="2" width="10.875" bestFit="1" customWidth="1"/>
    <col min="3" max="3" width="9.125" customWidth="1"/>
    <col min="4" max="4" width="10.5" customWidth="1"/>
    <col min="5" max="5" width="12" customWidth="1"/>
  </cols>
  <sheetData>
    <row r="2" spans="1:5" x14ac:dyDescent="0.3">
      <c r="A2" t="s">
        <v>0</v>
      </c>
      <c r="B2" t="s">
        <v>40</v>
      </c>
    </row>
    <row r="3" spans="1:5" x14ac:dyDescent="0.3">
      <c r="A3" s="42" t="s">
        <v>24</v>
      </c>
      <c r="B3" s="42" t="s">
        <v>39</v>
      </c>
      <c r="C3" s="42" t="s">
        <v>37</v>
      </c>
      <c r="D3" s="42" t="s">
        <v>38</v>
      </c>
      <c r="E3" s="42" t="s">
        <v>25</v>
      </c>
    </row>
    <row r="4" spans="1:5" x14ac:dyDescent="0.3">
      <c r="A4" s="42" t="s">
        <v>26</v>
      </c>
      <c r="B4" s="43">
        <v>3</v>
      </c>
      <c r="C4" s="43">
        <v>26</v>
      </c>
      <c r="D4" s="43">
        <v>20</v>
      </c>
      <c r="E4" s="43">
        <v>103</v>
      </c>
    </row>
    <row r="5" spans="1:5" x14ac:dyDescent="0.3">
      <c r="A5" s="42" t="s">
        <v>28</v>
      </c>
      <c r="B5" s="43">
        <v>2</v>
      </c>
      <c r="C5" s="43">
        <v>27</v>
      </c>
      <c r="D5" s="43">
        <v>9</v>
      </c>
      <c r="E5" s="43">
        <v>176</v>
      </c>
    </row>
    <row r="6" spans="1:5" x14ac:dyDescent="0.3">
      <c r="A6" s="42" t="s">
        <v>27</v>
      </c>
      <c r="B6" s="43">
        <v>3</v>
      </c>
      <c r="C6" s="43">
        <v>12</v>
      </c>
      <c r="D6" s="43">
        <v>4</v>
      </c>
      <c r="E6" s="43">
        <v>189</v>
      </c>
    </row>
    <row r="7" spans="1:5" x14ac:dyDescent="0.3">
      <c r="A7" s="42" t="s">
        <v>29</v>
      </c>
      <c r="B7" s="43">
        <v>1</v>
      </c>
      <c r="C7" s="43">
        <v>18</v>
      </c>
      <c r="D7" s="43">
        <v>3</v>
      </c>
      <c r="E7" s="43">
        <v>4</v>
      </c>
    </row>
    <row r="8" spans="1:5" x14ac:dyDescent="0.3">
      <c r="A8" s="42" t="s">
        <v>30</v>
      </c>
      <c r="B8" s="43">
        <v>1</v>
      </c>
      <c r="C8" s="43">
        <v>16</v>
      </c>
      <c r="D8" s="43">
        <v>5</v>
      </c>
      <c r="E8" s="43">
        <v>39</v>
      </c>
    </row>
    <row r="9" spans="1:5" x14ac:dyDescent="0.3">
      <c r="A9" s="42" t="s">
        <v>31</v>
      </c>
      <c r="B9" s="43">
        <v>1</v>
      </c>
      <c r="C9" s="43">
        <v>17</v>
      </c>
      <c r="D9" s="43">
        <v>3</v>
      </c>
      <c r="E9" s="43">
        <v>18</v>
      </c>
    </row>
    <row r="10" spans="1:5" x14ac:dyDescent="0.3">
      <c r="A10" s="42" t="s">
        <v>32</v>
      </c>
      <c r="B10" s="43">
        <v>1</v>
      </c>
      <c r="C10" s="43">
        <v>20</v>
      </c>
      <c r="D10" s="43">
        <v>6</v>
      </c>
      <c r="E10" s="43">
        <v>2</v>
      </c>
    </row>
    <row r="11" spans="1:5" x14ac:dyDescent="0.3">
      <c r="A11" s="42" t="s">
        <v>33</v>
      </c>
      <c r="B11" s="43">
        <v>1</v>
      </c>
      <c r="C11" s="43">
        <v>23</v>
      </c>
      <c r="D11" s="43">
        <v>4</v>
      </c>
      <c r="E11" s="43">
        <v>2</v>
      </c>
    </row>
    <row r="12" spans="1:5" x14ac:dyDescent="0.3">
      <c r="A12" s="42" t="s">
        <v>34</v>
      </c>
      <c r="B12" s="43">
        <v>2</v>
      </c>
      <c r="C12" s="43">
        <v>28</v>
      </c>
      <c r="D12" s="43">
        <v>8</v>
      </c>
      <c r="E12" s="43">
        <v>142</v>
      </c>
    </row>
    <row r="13" spans="1:5" x14ac:dyDescent="0.3">
      <c r="A13" s="42" t="s">
        <v>35</v>
      </c>
      <c r="B13" s="43">
        <v>2</v>
      </c>
      <c r="C13" s="43">
        <v>27</v>
      </c>
      <c r="D13" s="43">
        <v>5</v>
      </c>
      <c r="E13" s="43">
        <v>73</v>
      </c>
    </row>
    <row r="14" spans="1:5" x14ac:dyDescent="0.3">
      <c r="A14" s="42" t="s">
        <v>36</v>
      </c>
      <c r="B14" s="43">
        <v>1</v>
      </c>
      <c r="C14" s="43">
        <v>5</v>
      </c>
      <c r="D14" s="43">
        <v>1</v>
      </c>
      <c r="E14" s="43">
        <v>31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C12"/>
  <sheetViews>
    <sheetView workbookViewId="0"/>
  </sheetViews>
  <sheetFormatPr defaultRowHeight="16.5" x14ac:dyDescent="0.3"/>
  <cols>
    <col min="1" max="1" width="14.375" bestFit="1" customWidth="1"/>
  </cols>
  <sheetData>
    <row r="2" spans="1:3" x14ac:dyDescent="0.3">
      <c r="A2" t="s">
        <v>22</v>
      </c>
    </row>
    <row r="3" spans="1:3" x14ac:dyDescent="0.3">
      <c r="A3" s="3" t="s">
        <v>23</v>
      </c>
      <c r="B3" s="3" t="s">
        <v>10</v>
      </c>
      <c r="C3" s="3" t="s">
        <v>11</v>
      </c>
    </row>
    <row r="4" spans="1:3" x14ac:dyDescent="0.3">
      <c r="A4" s="2" t="s">
        <v>12</v>
      </c>
      <c r="B4" s="2">
        <v>17</v>
      </c>
      <c r="C4" s="2">
        <v>0</v>
      </c>
    </row>
    <row r="5" spans="1:3" x14ac:dyDescent="0.3">
      <c r="A5" s="2" t="s">
        <v>13</v>
      </c>
      <c r="B5" s="2">
        <v>-33</v>
      </c>
      <c r="C5" s="2">
        <v>9</v>
      </c>
    </row>
    <row r="6" spans="1:3" x14ac:dyDescent="0.3">
      <c r="A6" s="2" t="s">
        <v>14</v>
      </c>
      <c r="B6" s="2">
        <v>22</v>
      </c>
      <c r="C6" s="2">
        <v>0</v>
      </c>
    </row>
    <row r="7" spans="1:3" x14ac:dyDescent="0.3">
      <c r="A7" s="2" t="s">
        <v>15</v>
      </c>
      <c r="B7" s="2">
        <v>112</v>
      </c>
      <c r="C7" s="2" t="s">
        <v>21</v>
      </c>
    </row>
    <row r="8" spans="1:3" x14ac:dyDescent="0.3">
      <c r="A8" s="2" t="s">
        <v>16</v>
      </c>
      <c r="B8" s="2">
        <v>-137</v>
      </c>
      <c r="C8" s="2">
        <v>0</v>
      </c>
    </row>
    <row r="9" spans="1:3" x14ac:dyDescent="0.3">
      <c r="A9" s="2" t="s">
        <v>17</v>
      </c>
      <c r="B9" s="2">
        <v>7</v>
      </c>
      <c r="C9" s="2">
        <v>5</v>
      </c>
    </row>
    <row r="10" spans="1:3" x14ac:dyDescent="0.3">
      <c r="A10" s="2" t="s">
        <v>18</v>
      </c>
      <c r="B10" s="2">
        <v>27</v>
      </c>
      <c r="C10" s="2" t="s">
        <v>21</v>
      </c>
    </row>
    <row r="11" spans="1:3" x14ac:dyDescent="0.3">
      <c r="A11" s="2" t="s">
        <v>19</v>
      </c>
      <c r="B11" s="2">
        <v>24</v>
      </c>
      <c r="C11" s="2">
        <v>0</v>
      </c>
    </row>
    <row r="12" spans="1:3" x14ac:dyDescent="0.3">
      <c r="A12" s="2" t="s">
        <v>20</v>
      </c>
      <c r="B12" s="2">
        <v>-62</v>
      </c>
      <c r="C12" s="2">
        <v>0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197B4-DF72-4074-A5B9-552DCD0BD5DD}">
  <sheetPr codeName="Sheet15">
    <tabColor rgb="FF7030A0"/>
  </sheetPr>
  <dimension ref="A2:C12"/>
  <sheetViews>
    <sheetView workbookViewId="0">
      <selection activeCell="M26" sqref="M26"/>
    </sheetView>
  </sheetViews>
  <sheetFormatPr defaultRowHeight="16.5" x14ac:dyDescent="0.3"/>
  <cols>
    <col min="1" max="1" width="14.375" bestFit="1" customWidth="1"/>
  </cols>
  <sheetData>
    <row r="2" spans="1:3" x14ac:dyDescent="0.3">
      <c r="A2" t="s">
        <v>22</v>
      </c>
    </row>
    <row r="3" spans="1:3" x14ac:dyDescent="0.3">
      <c r="A3" s="3" t="s">
        <v>23</v>
      </c>
      <c r="B3" s="3" t="s">
        <v>10</v>
      </c>
      <c r="C3" s="3" t="s">
        <v>11</v>
      </c>
    </row>
    <row r="4" spans="1:3" x14ac:dyDescent="0.3">
      <c r="A4" s="2" t="s">
        <v>12</v>
      </c>
      <c r="B4" s="44">
        <v>17</v>
      </c>
      <c r="C4" s="44">
        <v>0</v>
      </c>
    </row>
    <row r="5" spans="1:3" x14ac:dyDescent="0.3">
      <c r="A5" s="2" t="s">
        <v>13</v>
      </c>
      <c r="B5" s="44">
        <v>-33</v>
      </c>
      <c r="C5" s="44">
        <v>9</v>
      </c>
    </row>
    <row r="6" spans="1:3" x14ac:dyDescent="0.3">
      <c r="A6" s="2" t="s">
        <v>14</v>
      </c>
      <c r="B6" s="44">
        <v>22</v>
      </c>
      <c r="C6" s="44">
        <v>0</v>
      </c>
    </row>
    <row r="7" spans="1:3" x14ac:dyDescent="0.3">
      <c r="A7" s="2" t="s">
        <v>15</v>
      </c>
      <c r="B7" s="44">
        <v>112</v>
      </c>
      <c r="C7" s="44" t="s">
        <v>21</v>
      </c>
    </row>
    <row r="8" spans="1:3" x14ac:dyDescent="0.3">
      <c r="A8" s="2" t="s">
        <v>16</v>
      </c>
      <c r="B8" s="44">
        <v>-137</v>
      </c>
      <c r="C8" s="44">
        <v>0</v>
      </c>
    </row>
    <row r="9" spans="1:3" x14ac:dyDescent="0.3">
      <c r="A9" s="2" t="s">
        <v>17</v>
      </c>
      <c r="B9" s="44">
        <v>7</v>
      </c>
      <c r="C9" s="44">
        <v>5</v>
      </c>
    </row>
    <row r="10" spans="1:3" x14ac:dyDescent="0.3">
      <c r="A10" s="2" t="s">
        <v>18</v>
      </c>
      <c r="B10" s="44">
        <v>27</v>
      </c>
      <c r="C10" s="44" t="s">
        <v>21</v>
      </c>
    </row>
    <row r="11" spans="1:3" x14ac:dyDescent="0.3">
      <c r="A11" s="2" t="s">
        <v>19</v>
      </c>
      <c r="B11" s="44">
        <v>24</v>
      </c>
      <c r="C11" s="44">
        <v>0</v>
      </c>
    </row>
    <row r="12" spans="1:3" x14ac:dyDescent="0.3">
      <c r="A12" s="2" t="s">
        <v>20</v>
      </c>
      <c r="B12" s="44">
        <v>-62</v>
      </c>
      <c r="C12" s="44">
        <v>0</v>
      </c>
    </row>
  </sheetData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서식적용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1]!서식해제">
                <anchor moveWithCells="1" sizeWithCells="1">
                  <from>
                    <xdr:col>4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2:H3"/>
  <sheetViews>
    <sheetView workbookViewId="0"/>
  </sheetViews>
  <sheetFormatPr defaultRowHeight="16.5" x14ac:dyDescent="0.3"/>
  <cols>
    <col min="2" max="2" width="16.625" customWidth="1"/>
    <col min="3" max="3" width="10.375" customWidth="1"/>
    <col min="4" max="7" width="10.875" customWidth="1"/>
  </cols>
  <sheetData>
    <row r="2" spans="1:8" x14ac:dyDescent="0.3">
      <c r="A2" t="s">
        <v>0</v>
      </c>
      <c r="B2" t="s">
        <v>8</v>
      </c>
    </row>
    <row r="3" spans="1:8" x14ac:dyDescent="0.3">
      <c r="A3" s="1" t="s">
        <v>1</v>
      </c>
      <c r="B3" s="1" t="s">
        <v>2</v>
      </c>
      <c r="C3" s="1" t="s">
        <v>9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5</xdr:col>
                <xdr:colOff>104775</xdr:colOff>
                <xdr:row>0</xdr:row>
                <xdr:rowOff>28575</xdr:rowOff>
              </from>
              <to>
                <xdr:col>6</xdr:col>
                <xdr:colOff>409575</xdr:colOff>
                <xdr:row>1</xdr:row>
                <xdr:rowOff>190500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C488E-E6D9-4328-818F-60E1E710E388}">
  <sheetPr codeName="Sheet16">
    <tabColor rgb="FF7030A0"/>
  </sheetPr>
  <dimension ref="A2:H7"/>
  <sheetViews>
    <sheetView workbookViewId="0">
      <selection activeCell="M26" sqref="M26"/>
    </sheetView>
  </sheetViews>
  <sheetFormatPr defaultRowHeight="16.5" x14ac:dyDescent="0.3"/>
  <cols>
    <col min="2" max="2" width="16.625" customWidth="1"/>
    <col min="3" max="3" width="10.375" customWidth="1"/>
    <col min="4" max="7" width="10.875" customWidth="1"/>
  </cols>
  <sheetData>
    <row r="2" spans="1:8" x14ac:dyDescent="0.3">
      <c r="A2" t="s">
        <v>0</v>
      </c>
      <c r="B2" s="45" t="s">
        <v>8</v>
      </c>
    </row>
    <row r="3" spans="1:8" x14ac:dyDescent="0.3">
      <c r="A3" s="1" t="s">
        <v>1</v>
      </c>
      <c r="B3" s="1" t="s">
        <v>2</v>
      </c>
      <c r="C3" s="1" t="s">
        <v>9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">
      <c r="A4">
        <v>111</v>
      </c>
      <c r="B4">
        <v>111</v>
      </c>
      <c r="C4">
        <v>111</v>
      </c>
      <c r="D4">
        <v>111</v>
      </c>
      <c r="E4">
        <v>111</v>
      </c>
      <c r="F4">
        <v>111</v>
      </c>
      <c r="G4">
        <v>111</v>
      </c>
      <c r="H4">
        <v>111</v>
      </c>
    </row>
    <row r="5" spans="1:8" x14ac:dyDescent="0.3">
      <c r="A5" t="s">
        <v>237</v>
      </c>
      <c r="B5" s="26">
        <v>45387</v>
      </c>
      <c r="D5" t="s">
        <v>238</v>
      </c>
      <c r="E5">
        <v>1</v>
      </c>
      <c r="F5">
        <v>232</v>
      </c>
      <c r="G5">
        <v>232</v>
      </c>
      <c r="H5" t="s">
        <v>239</v>
      </c>
    </row>
    <row r="6" spans="1:8" x14ac:dyDescent="0.3">
      <c r="A6" t="s">
        <v>240</v>
      </c>
      <c r="B6" s="26">
        <v>45387</v>
      </c>
      <c r="D6" t="s">
        <v>238</v>
      </c>
      <c r="E6">
        <v>243</v>
      </c>
      <c r="F6">
        <v>242442</v>
      </c>
      <c r="G6">
        <v>58913406</v>
      </c>
      <c r="H6" t="s">
        <v>241</v>
      </c>
    </row>
    <row r="7" spans="1:8" x14ac:dyDescent="0.3">
      <c r="A7" t="s">
        <v>242</v>
      </c>
      <c r="B7" s="26">
        <v>45387</v>
      </c>
      <c r="D7" t="s">
        <v>238</v>
      </c>
      <c r="E7">
        <v>10</v>
      </c>
      <c r="F7">
        <v>5000</v>
      </c>
      <c r="G7">
        <v>50000</v>
      </c>
      <c r="H7" t="s">
        <v>243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등록">
          <controlPr defaultSize="0" autoLine="0" r:id="rId5">
            <anchor moveWithCells="1">
              <from>
                <xdr:col>5</xdr:col>
                <xdr:colOff>104775</xdr:colOff>
                <xdr:row>0</xdr:row>
                <xdr:rowOff>28575</xdr:rowOff>
              </from>
              <to>
                <xdr:col>6</xdr:col>
                <xdr:colOff>409575</xdr:colOff>
                <xdr:row>1</xdr:row>
                <xdr:rowOff>190500</xdr:rowOff>
              </to>
            </anchor>
          </controlPr>
        </control>
      </mc:Choice>
      <mc:Fallback>
        <control shapeId="10241" r:id="rId4" name="cmd등록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67E40-60C8-4622-A333-1F59085821E9}">
  <sheetPr codeName="Sheet8">
    <tabColor rgb="FF7030A0"/>
  </sheetPr>
  <dimension ref="A1:K45"/>
  <sheetViews>
    <sheetView topLeftCell="A22" workbookViewId="0">
      <selection activeCell="M26" sqref="M26"/>
    </sheetView>
  </sheetViews>
  <sheetFormatPr defaultRowHeight="16.5" x14ac:dyDescent="0.3"/>
  <cols>
    <col min="2" max="2" width="14.375" customWidth="1"/>
    <col min="3" max="3" width="13.875" style="1" customWidth="1"/>
  </cols>
  <sheetData>
    <row r="1" spans="1:11" x14ac:dyDescent="0.3">
      <c r="A1" t="s">
        <v>0</v>
      </c>
    </row>
    <row r="2" spans="1:11" x14ac:dyDescent="0.3">
      <c r="A2" s="7" t="s">
        <v>112</v>
      </c>
      <c r="B2" s="7" t="s">
        <v>113</v>
      </c>
      <c r="C2" s="7" t="s">
        <v>114</v>
      </c>
      <c r="D2" s="7" t="s">
        <v>115</v>
      </c>
      <c r="E2" s="7" t="s">
        <v>116</v>
      </c>
      <c r="F2" s="7" t="s">
        <v>117</v>
      </c>
      <c r="G2" s="7" t="s">
        <v>118</v>
      </c>
      <c r="H2" s="7" t="s">
        <v>119</v>
      </c>
      <c r="I2" s="7" t="s">
        <v>120</v>
      </c>
      <c r="J2" s="7" t="s">
        <v>121</v>
      </c>
      <c r="K2" s="7" t="s">
        <v>122</v>
      </c>
    </row>
    <row r="3" spans="1:11" x14ac:dyDescent="0.3">
      <c r="A3" s="8">
        <v>1</v>
      </c>
      <c r="B3" s="9" t="s">
        <v>128</v>
      </c>
      <c r="C3" s="8" t="s">
        <v>127</v>
      </c>
      <c r="D3" s="11">
        <v>92</v>
      </c>
      <c r="E3" s="11">
        <v>97</v>
      </c>
      <c r="F3" s="11">
        <v>88</v>
      </c>
      <c r="G3" s="11">
        <v>92</v>
      </c>
      <c r="H3" s="11">
        <f t="shared" ref="H3:H30" si="0">SUM(D3:G3)</f>
        <v>369</v>
      </c>
      <c r="I3" s="11">
        <f t="shared" ref="I3:I30" si="1">AVERAGE(D3:G3)</f>
        <v>92.25</v>
      </c>
      <c r="J3" s="11">
        <v>4.6100000000000003</v>
      </c>
      <c r="K3" s="11">
        <v>1</v>
      </c>
    </row>
    <row r="4" spans="1:11" x14ac:dyDescent="0.3">
      <c r="A4" s="8">
        <v>2</v>
      </c>
      <c r="B4" s="9" t="s">
        <v>128</v>
      </c>
      <c r="C4" s="8" t="s">
        <v>153</v>
      </c>
      <c r="D4" s="11">
        <v>91</v>
      </c>
      <c r="E4" s="11">
        <v>71</v>
      </c>
      <c r="F4" s="11">
        <v>69</v>
      </c>
      <c r="G4" s="11">
        <v>65</v>
      </c>
      <c r="H4" s="11">
        <f t="shared" si="0"/>
        <v>296</v>
      </c>
      <c r="I4" s="11">
        <f t="shared" si="1"/>
        <v>74</v>
      </c>
      <c r="J4" s="11">
        <v>3.7</v>
      </c>
      <c r="K4" s="11">
        <v>1</v>
      </c>
    </row>
    <row r="5" spans="1:11" x14ac:dyDescent="0.3">
      <c r="A5" s="8">
        <v>3</v>
      </c>
      <c r="B5" s="9" t="s">
        <v>128</v>
      </c>
      <c r="C5" s="8" t="s">
        <v>127</v>
      </c>
      <c r="D5" s="11">
        <v>93</v>
      </c>
      <c r="E5" s="11">
        <v>87</v>
      </c>
      <c r="F5" s="11">
        <v>94</v>
      </c>
      <c r="G5" s="11">
        <v>90</v>
      </c>
      <c r="H5" s="11">
        <f t="shared" si="0"/>
        <v>364</v>
      </c>
      <c r="I5" s="11">
        <f t="shared" si="1"/>
        <v>91</v>
      </c>
      <c r="J5" s="11">
        <v>4.55</v>
      </c>
      <c r="K5" s="11">
        <v>0</v>
      </c>
    </row>
    <row r="6" spans="1:11" x14ac:dyDescent="0.3">
      <c r="A6" s="8">
        <v>4</v>
      </c>
      <c r="B6" s="9" t="s">
        <v>125</v>
      </c>
      <c r="C6" s="8" t="s">
        <v>154</v>
      </c>
      <c r="D6" s="11">
        <v>62</v>
      </c>
      <c r="E6" s="11">
        <v>88</v>
      </c>
      <c r="F6" s="11">
        <v>92</v>
      </c>
      <c r="G6" s="11">
        <v>62</v>
      </c>
      <c r="H6" s="11">
        <f t="shared" si="0"/>
        <v>304</v>
      </c>
      <c r="I6" s="11">
        <f t="shared" si="1"/>
        <v>76</v>
      </c>
      <c r="J6" s="11">
        <v>3.8</v>
      </c>
      <c r="K6" s="11">
        <v>3</v>
      </c>
    </row>
    <row r="7" spans="1:11" x14ac:dyDescent="0.3">
      <c r="A7" s="8">
        <v>5</v>
      </c>
      <c r="B7" s="9" t="s">
        <v>125</v>
      </c>
      <c r="C7" s="8" t="s">
        <v>155</v>
      </c>
      <c r="D7" s="11">
        <v>72</v>
      </c>
      <c r="E7" s="11">
        <v>51</v>
      </c>
      <c r="F7" s="11">
        <v>64</v>
      </c>
      <c r="G7" s="11">
        <v>70</v>
      </c>
      <c r="H7" s="11">
        <f t="shared" si="0"/>
        <v>257</v>
      </c>
      <c r="I7" s="11">
        <f t="shared" si="1"/>
        <v>64.25</v>
      </c>
      <c r="J7" s="11">
        <v>3.21</v>
      </c>
      <c r="K7" s="11">
        <v>0</v>
      </c>
    </row>
    <row r="8" spans="1:11" x14ac:dyDescent="0.3">
      <c r="A8" s="8">
        <v>6</v>
      </c>
      <c r="B8" s="9" t="s">
        <v>125</v>
      </c>
      <c r="C8" s="8" t="s">
        <v>156</v>
      </c>
      <c r="D8" s="11">
        <v>75</v>
      </c>
      <c r="E8" s="11">
        <v>72</v>
      </c>
      <c r="F8" s="11">
        <v>88</v>
      </c>
      <c r="G8" s="11">
        <v>85</v>
      </c>
      <c r="H8" s="11">
        <f t="shared" si="0"/>
        <v>320</v>
      </c>
      <c r="I8" s="11">
        <f t="shared" si="1"/>
        <v>80</v>
      </c>
      <c r="J8" s="11">
        <v>4</v>
      </c>
      <c r="K8" s="11">
        <v>0</v>
      </c>
    </row>
    <row r="9" spans="1:11" x14ac:dyDescent="0.3">
      <c r="A9" s="8">
        <v>7</v>
      </c>
      <c r="B9" s="9" t="s">
        <v>125</v>
      </c>
      <c r="C9" s="8" t="s">
        <v>157</v>
      </c>
      <c r="D9" s="11">
        <v>88</v>
      </c>
      <c r="E9" s="11">
        <v>92</v>
      </c>
      <c r="F9" s="11">
        <v>88</v>
      </c>
      <c r="G9" s="11">
        <v>86</v>
      </c>
      <c r="H9" s="11">
        <f t="shared" si="0"/>
        <v>354</v>
      </c>
      <c r="I9" s="11">
        <f t="shared" si="1"/>
        <v>88.5</v>
      </c>
      <c r="J9" s="11">
        <v>4.43</v>
      </c>
      <c r="K9" s="11">
        <v>0</v>
      </c>
    </row>
    <row r="10" spans="1:11" x14ac:dyDescent="0.3">
      <c r="A10" s="8">
        <v>8</v>
      </c>
      <c r="B10" s="9" t="s">
        <v>125</v>
      </c>
      <c r="C10" s="8" t="s">
        <v>158</v>
      </c>
      <c r="D10" s="11">
        <v>95</v>
      </c>
      <c r="E10" s="11">
        <v>93</v>
      </c>
      <c r="F10" s="11">
        <v>92</v>
      </c>
      <c r="G10" s="11">
        <v>92</v>
      </c>
      <c r="H10" s="11">
        <f t="shared" si="0"/>
        <v>372</v>
      </c>
      <c r="I10" s="11">
        <f t="shared" si="1"/>
        <v>93</v>
      </c>
      <c r="J10" s="11">
        <v>4.6500000000000004</v>
      </c>
      <c r="K10" s="11">
        <v>0</v>
      </c>
    </row>
    <row r="11" spans="1:11" x14ac:dyDescent="0.3">
      <c r="A11" s="8">
        <v>9</v>
      </c>
      <c r="B11" s="9" t="s">
        <v>135</v>
      </c>
      <c r="C11" s="8" t="s">
        <v>127</v>
      </c>
      <c r="D11" s="11">
        <v>70</v>
      </c>
      <c r="E11" s="11">
        <v>45</v>
      </c>
      <c r="F11" s="11">
        <v>55</v>
      </c>
      <c r="G11" s="11">
        <v>62</v>
      </c>
      <c r="H11" s="11">
        <f t="shared" si="0"/>
        <v>232</v>
      </c>
      <c r="I11" s="11">
        <f t="shared" si="1"/>
        <v>58</v>
      </c>
      <c r="J11" s="11">
        <v>2.9</v>
      </c>
      <c r="K11" s="11">
        <v>2</v>
      </c>
    </row>
    <row r="12" spans="1:11" x14ac:dyDescent="0.3">
      <c r="A12" s="8">
        <v>10</v>
      </c>
      <c r="B12" s="9" t="s">
        <v>130</v>
      </c>
      <c r="C12" s="8" t="s">
        <v>159</v>
      </c>
      <c r="D12" s="11">
        <v>63</v>
      </c>
      <c r="E12" s="11">
        <v>67</v>
      </c>
      <c r="F12" s="11">
        <v>70</v>
      </c>
      <c r="G12" s="11">
        <v>65</v>
      </c>
      <c r="H12" s="11">
        <f t="shared" si="0"/>
        <v>265</v>
      </c>
      <c r="I12" s="11">
        <f t="shared" si="1"/>
        <v>66.25</v>
      </c>
      <c r="J12" s="11">
        <v>3.31</v>
      </c>
      <c r="K12" s="11">
        <v>2</v>
      </c>
    </row>
    <row r="13" spans="1:11" x14ac:dyDescent="0.3">
      <c r="A13" s="8">
        <v>11</v>
      </c>
      <c r="B13" s="9" t="s">
        <v>135</v>
      </c>
      <c r="C13" s="8" t="s">
        <v>127</v>
      </c>
      <c r="D13" s="11">
        <v>72</v>
      </c>
      <c r="E13" s="11">
        <v>88</v>
      </c>
      <c r="F13" s="11">
        <v>92</v>
      </c>
      <c r="G13" s="11">
        <v>80</v>
      </c>
      <c r="H13" s="11">
        <f t="shared" si="0"/>
        <v>332</v>
      </c>
      <c r="I13" s="11">
        <f t="shared" si="1"/>
        <v>83</v>
      </c>
      <c r="J13" s="11">
        <v>4.1500000000000004</v>
      </c>
      <c r="K13" s="11">
        <v>0</v>
      </c>
    </row>
    <row r="14" spans="1:11" x14ac:dyDescent="0.3">
      <c r="A14" s="8">
        <v>12</v>
      </c>
      <c r="B14" s="9" t="s">
        <v>123</v>
      </c>
      <c r="C14" s="8" t="s">
        <v>137</v>
      </c>
      <c r="D14" s="11">
        <v>93</v>
      </c>
      <c r="E14" s="11">
        <v>86</v>
      </c>
      <c r="F14" s="11">
        <v>88</v>
      </c>
      <c r="G14" s="11">
        <v>92</v>
      </c>
      <c r="H14" s="11">
        <f t="shared" si="0"/>
        <v>359</v>
      </c>
      <c r="I14" s="11">
        <f t="shared" si="1"/>
        <v>89.75</v>
      </c>
      <c r="J14" s="11">
        <v>4.49</v>
      </c>
      <c r="K14" s="11">
        <v>4</v>
      </c>
    </row>
    <row r="15" spans="1:11" x14ac:dyDescent="0.3">
      <c r="A15" s="8">
        <v>13</v>
      </c>
      <c r="B15" s="9" t="s">
        <v>123</v>
      </c>
      <c r="C15" s="8" t="s">
        <v>138</v>
      </c>
      <c r="D15" s="11">
        <v>70</v>
      </c>
      <c r="E15" s="11">
        <v>38</v>
      </c>
      <c r="F15" s="11">
        <v>76</v>
      </c>
      <c r="G15" s="11">
        <v>79</v>
      </c>
      <c r="H15" s="11">
        <f t="shared" si="0"/>
        <v>263</v>
      </c>
      <c r="I15" s="11">
        <f t="shared" si="1"/>
        <v>65.75</v>
      </c>
      <c r="J15" s="11">
        <v>3.29</v>
      </c>
      <c r="K15" s="11">
        <v>0</v>
      </c>
    </row>
    <row r="16" spans="1:11" x14ac:dyDescent="0.3">
      <c r="A16" s="8">
        <v>14</v>
      </c>
      <c r="B16" s="9" t="s">
        <v>123</v>
      </c>
      <c r="C16" s="8" t="s">
        <v>139</v>
      </c>
      <c r="D16" s="11">
        <v>92</v>
      </c>
      <c r="E16" s="11">
        <v>86</v>
      </c>
      <c r="F16" s="11">
        <v>88</v>
      </c>
      <c r="G16" s="11">
        <v>60</v>
      </c>
      <c r="H16" s="11">
        <f t="shared" si="0"/>
        <v>326</v>
      </c>
      <c r="I16" s="11">
        <f t="shared" si="1"/>
        <v>81.5</v>
      </c>
      <c r="J16" s="11">
        <v>4.08</v>
      </c>
      <c r="K16" s="11">
        <v>0</v>
      </c>
    </row>
    <row r="17" spans="1:11" x14ac:dyDescent="0.3">
      <c r="A17" s="8">
        <v>15</v>
      </c>
      <c r="B17" s="9" t="s">
        <v>135</v>
      </c>
      <c r="C17" s="8" t="s">
        <v>129</v>
      </c>
      <c r="D17" s="11">
        <v>62</v>
      </c>
      <c r="E17" s="11">
        <v>86</v>
      </c>
      <c r="F17" s="11">
        <v>63</v>
      </c>
      <c r="G17" s="11">
        <v>50</v>
      </c>
      <c r="H17" s="11">
        <f t="shared" si="0"/>
        <v>261</v>
      </c>
      <c r="I17" s="11">
        <f t="shared" si="1"/>
        <v>65.25</v>
      </c>
      <c r="J17" s="11">
        <v>3.26</v>
      </c>
      <c r="K17" s="11">
        <v>0</v>
      </c>
    </row>
    <row r="18" spans="1:11" x14ac:dyDescent="0.3">
      <c r="A18" s="8">
        <v>16</v>
      </c>
      <c r="B18" s="9" t="s">
        <v>140</v>
      </c>
      <c r="C18" s="8" t="s">
        <v>141</v>
      </c>
      <c r="D18" s="11">
        <v>80</v>
      </c>
      <c r="E18" s="11">
        <v>98</v>
      </c>
      <c r="F18" s="11">
        <v>69</v>
      </c>
      <c r="G18" s="11">
        <v>84</v>
      </c>
      <c r="H18" s="11">
        <f t="shared" si="0"/>
        <v>331</v>
      </c>
      <c r="I18" s="11">
        <f t="shared" si="1"/>
        <v>82.75</v>
      </c>
      <c r="J18" s="11">
        <v>4.1399999999999997</v>
      </c>
      <c r="K18" s="11">
        <v>4</v>
      </c>
    </row>
    <row r="19" spans="1:11" x14ac:dyDescent="0.3">
      <c r="A19" s="8">
        <v>17</v>
      </c>
      <c r="B19" s="9" t="s">
        <v>125</v>
      </c>
      <c r="C19" s="8" t="s">
        <v>142</v>
      </c>
      <c r="D19" s="11">
        <v>90</v>
      </c>
      <c r="E19" s="11">
        <v>97</v>
      </c>
      <c r="F19" s="11">
        <v>92</v>
      </c>
      <c r="G19" s="11">
        <v>96</v>
      </c>
      <c r="H19" s="11">
        <f t="shared" si="0"/>
        <v>375</v>
      </c>
      <c r="I19" s="11">
        <f t="shared" si="1"/>
        <v>93.75</v>
      </c>
      <c r="J19" s="11">
        <v>4.6900000000000004</v>
      </c>
      <c r="K19" s="11">
        <v>0</v>
      </c>
    </row>
    <row r="20" spans="1:11" x14ac:dyDescent="0.3">
      <c r="A20" s="8">
        <v>18</v>
      </c>
      <c r="B20" s="9" t="s">
        <v>140</v>
      </c>
      <c r="C20" s="8" t="s">
        <v>143</v>
      </c>
      <c r="D20" s="11">
        <v>78</v>
      </c>
      <c r="E20" s="11">
        <v>59</v>
      </c>
      <c r="F20" s="11">
        <v>59</v>
      </c>
      <c r="G20" s="11">
        <v>60</v>
      </c>
      <c r="H20" s="11">
        <f t="shared" si="0"/>
        <v>256</v>
      </c>
      <c r="I20" s="11">
        <f t="shared" si="1"/>
        <v>64</v>
      </c>
      <c r="J20" s="11">
        <v>3.2</v>
      </c>
      <c r="K20" s="11">
        <v>0</v>
      </c>
    </row>
    <row r="21" spans="1:11" x14ac:dyDescent="0.3">
      <c r="A21" s="8">
        <v>19</v>
      </c>
      <c r="B21" s="9" t="s">
        <v>140</v>
      </c>
      <c r="C21" s="8" t="s">
        <v>144</v>
      </c>
      <c r="D21" s="11">
        <v>72</v>
      </c>
      <c r="E21" s="11">
        <v>63</v>
      </c>
      <c r="F21" s="11">
        <v>61</v>
      </c>
      <c r="G21" s="11">
        <v>55</v>
      </c>
      <c r="H21" s="11">
        <f t="shared" si="0"/>
        <v>251</v>
      </c>
      <c r="I21" s="11">
        <f t="shared" si="1"/>
        <v>62.75</v>
      </c>
      <c r="J21" s="11">
        <v>3.14</v>
      </c>
      <c r="K21" s="11">
        <v>0</v>
      </c>
    </row>
    <row r="22" spans="1:11" x14ac:dyDescent="0.3">
      <c r="A22" s="8">
        <v>20</v>
      </c>
      <c r="B22" s="9" t="s">
        <v>140</v>
      </c>
      <c r="C22" s="8" t="s">
        <v>145</v>
      </c>
      <c r="D22" s="11">
        <v>65</v>
      </c>
      <c r="E22" s="11">
        <v>60</v>
      </c>
      <c r="F22" s="11">
        <v>66</v>
      </c>
      <c r="G22" s="11">
        <v>49</v>
      </c>
      <c r="H22" s="11">
        <f t="shared" si="0"/>
        <v>240</v>
      </c>
      <c r="I22" s="11">
        <f t="shared" si="1"/>
        <v>60</v>
      </c>
      <c r="J22" s="11">
        <v>3</v>
      </c>
      <c r="K22" s="11">
        <v>0</v>
      </c>
    </row>
    <row r="23" spans="1:11" x14ac:dyDescent="0.3">
      <c r="A23" s="8">
        <v>21</v>
      </c>
      <c r="B23" s="9" t="s">
        <v>140</v>
      </c>
      <c r="C23" s="8" t="s">
        <v>146</v>
      </c>
      <c r="D23" s="11">
        <v>69</v>
      </c>
      <c r="E23" s="11">
        <v>35</v>
      </c>
      <c r="F23" s="11">
        <v>67</v>
      </c>
      <c r="G23" s="11">
        <v>50</v>
      </c>
      <c r="H23" s="11">
        <f t="shared" si="0"/>
        <v>221</v>
      </c>
      <c r="I23" s="11">
        <f t="shared" si="1"/>
        <v>55.25</v>
      </c>
      <c r="J23" s="11">
        <v>2.76</v>
      </c>
      <c r="K23" s="11">
        <v>0</v>
      </c>
    </row>
    <row r="24" spans="1:11" x14ac:dyDescent="0.3">
      <c r="A24" s="8">
        <v>22</v>
      </c>
      <c r="B24" s="9" t="s">
        <v>140</v>
      </c>
      <c r="C24" s="8" t="s">
        <v>147</v>
      </c>
      <c r="D24" s="11">
        <v>78</v>
      </c>
      <c r="E24" s="11">
        <v>65</v>
      </c>
      <c r="F24" s="11">
        <v>59</v>
      </c>
      <c r="G24" s="11">
        <v>55</v>
      </c>
      <c r="H24" s="11">
        <f t="shared" si="0"/>
        <v>257</v>
      </c>
      <c r="I24" s="11">
        <f t="shared" si="1"/>
        <v>64.25</v>
      </c>
      <c r="J24" s="11">
        <v>3.21</v>
      </c>
      <c r="K24" s="11">
        <v>0</v>
      </c>
    </row>
    <row r="25" spans="1:11" x14ac:dyDescent="0.3">
      <c r="A25" s="8">
        <v>23</v>
      </c>
      <c r="B25" s="9" t="s">
        <v>140</v>
      </c>
      <c r="C25" s="8" t="s">
        <v>148</v>
      </c>
      <c r="D25" s="11">
        <v>81</v>
      </c>
      <c r="E25" s="11">
        <v>25</v>
      </c>
      <c r="F25" s="11">
        <v>62</v>
      </c>
      <c r="G25" s="11">
        <v>84</v>
      </c>
      <c r="H25" s="11">
        <f t="shared" si="0"/>
        <v>252</v>
      </c>
      <c r="I25" s="11">
        <f t="shared" si="1"/>
        <v>63</v>
      </c>
      <c r="J25" s="11">
        <v>3.15</v>
      </c>
      <c r="K25" s="11">
        <v>1</v>
      </c>
    </row>
    <row r="26" spans="1:11" x14ac:dyDescent="0.3">
      <c r="A26" s="8">
        <v>24</v>
      </c>
      <c r="B26" s="9" t="s">
        <v>140</v>
      </c>
      <c r="C26" s="8" t="s">
        <v>149</v>
      </c>
      <c r="D26" s="11">
        <v>65</v>
      </c>
      <c r="E26" s="11">
        <v>58</v>
      </c>
      <c r="F26" s="11">
        <v>74</v>
      </c>
      <c r="G26" s="11">
        <v>58</v>
      </c>
      <c r="H26" s="11">
        <f t="shared" si="0"/>
        <v>255</v>
      </c>
      <c r="I26" s="11">
        <f t="shared" si="1"/>
        <v>63.75</v>
      </c>
      <c r="J26" s="11">
        <v>3.19</v>
      </c>
      <c r="K26" s="11">
        <v>0</v>
      </c>
    </row>
    <row r="27" spans="1:11" x14ac:dyDescent="0.3">
      <c r="A27" s="8">
        <v>25</v>
      </c>
      <c r="B27" s="9" t="s">
        <v>140</v>
      </c>
      <c r="C27" s="8" t="s">
        <v>150</v>
      </c>
      <c r="D27" s="11">
        <v>41</v>
      </c>
      <c r="E27" s="11">
        <v>81</v>
      </c>
      <c r="F27" s="11">
        <v>66</v>
      </c>
      <c r="G27" s="11">
        <v>72</v>
      </c>
      <c r="H27" s="11">
        <f t="shared" si="0"/>
        <v>260</v>
      </c>
      <c r="I27" s="11">
        <f t="shared" si="1"/>
        <v>65</v>
      </c>
      <c r="J27" s="11">
        <v>3.25</v>
      </c>
      <c r="K27" s="11">
        <v>4</v>
      </c>
    </row>
    <row r="28" spans="1:11" x14ac:dyDescent="0.3">
      <c r="A28" s="8">
        <v>26</v>
      </c>
      <c r="B28" s="9" t="s">
        <v>140</v>
      </c>
      <c r="C28" s="8" t="s">
        <v>151</v>
      </c>
      <c r="D28" s="11">
        <v>85</v>
      </c>
      <c r="E28" s="11">
        <v>88</v>
      </c>
      <c r="F28" s="11">
        <v>72</v>
      </c>
      <c r="G28" s="11">
        <v>70</v>
      </c>
      <c r="H28" s="11">
        <f t="shared" si="0"/>
        <v>315</v>
      </c>
      <c r="I28" s="11">
        <f t="shared" si="1"/>
        <v>78.75</v>
      </c>
      <c r="J28" s="11">
        <v>3.94</v>
      </c>
      <c r="K28" s="11">
        <v>0</v>
      </c>
    </row>
    <row r="29" spans="1:11" x14ac:dyDescent="0.3">
      <c r="A29" s="8">
        <v>27</v>
      </c>
      <c r="B29" s="9" t="s">
        <v>140</v>
      </c>
      <c r="C29" s="8" t="s">
        <v>152</v>
      </c>
      <c r="D29" s="11">
        <v>51</v>
      </c>
      <c r="E29" s="11">
        <v>48</v>
      </c>
      <c r="F29" s="11">
        <v>65</v>
      </c>
      <c r="G29" s="11">
        <v>49</v>
      </c>
      <c r="H29" s="11">
        <f t="shared" si="0"/>
        <v>213</v>
      </c>
      <c r="I29" s="11">
        <f t="shared" si="1"/>
        <v>53.25</v>
      </c>
      <c r="J29" s="11">
        <v>2.66</v>
      </c>
      <c r="K29" s="11">
        <v>2</v>
      </c>
    </row>
    <row r="30" spans="1:11" x14ac:dyDescent="0.3">
      <c r="A30" s="8">
        <v>28</v>
      </c>
      <c r="B30" s="9" t="s">
        <v>135</v>
      </c>
      <c r="C30" s="8" t="s">
        <v>129</v>
      </c>
      <c r="D30" s="11">
        <v>95</v>
      </c>
      <c r="E30" s="11">
        <v>88</v>
      </c>
      <c r="F30" s="11">
        <v>72</v>
      </c>
      <c r="G30" s="11">
        <v>70</v>
      </c>
      <c r="H30" s="11">
        <f t="shared" si="0"/>
        <v>325</v>
      </c>
      <c r="I30" s="11">
        <f t="shared" si="1"/>
        <v>81.25</v>
      </c>
      <c r="J30" s="11">
        <v>4.0599999999999996</v>
      </c>
      <c r="K30" s="11">
        <v>2</v>
      </c>
    </row>
    <row r="32" spans="1:11" x14ac:dyDescent="0.3">
      <c r="A32" t="s">
        <v>220</v>
      </c>
    </row>
    <row r="33" spans="1:11" x14ac:dyDescent="0.3">
      <c r="A33" t="b">
        <f>AND(LEFT($C3,4)*1=2025,RIGHT($C3,1)*1&lt;&gt;4)</f>
        <v>1</v>
      </c>
    </row>
    <row r="35" spans="1:11" x14ac:dyDescent="0.3">
      <c r="A35" s="7" t="s">
        <v>112</v>
      </c>
      <c r="B35" s="7" t="s">
        <v>113</v>
      </c>
      <c r="C35" s="7" t="s">
        <v>114</v>
      </c>
      <c r="D35" s="7" t="s">
        <v>115</v>
      </c>
      <c r="E35" s="7" t="s">
        <v>116</v>
      </c>
      <c r="F35" s="7" t="s">
        <v>117</v>
      </c>
      <c r="G35" s="7" t="s">
        <v>118</v>
      </c>
      <c r="H35" s="7" t="s">
        <v>119</v>
      </c>
      <c r="I35" s="7" t="s">
        <v>120</v>
      </c>
      <c r="J35" s="7" t="s">
        <v>121</v>
      </c>
      <c r="K35" s="7" t="s">
        <v>122</v>
      </c>
    </row>
    <row r="36" spans="1:11" x14ac:dyDescent="0.3">
      <c r="A36" s="8">
        <v>1</v>
      </c>
      <c r="B36" s="9" t="s">
        <v>128</v>
      </c>
      <c r="C36" s="8" t="s">
        <v>127</v>
      </c>
      <c r="D36" s="11">
        <v>92</v>
      </c>
      <c r="E36" s="11">
        <v>97</v>
      </c>
      <c r="F36" s="11">
        <v>88</v>
      </c>
      <c r="G36" s="11">
        <v>92</v>
      </c>
      <c r="H36" s="11">
        <v>369</v>
      </c>
      <c r="I36" s="11">
        <v>92.25</v>
      </c>
      <c r="J36" s="11">
        <v>4.6100000000000003</v>
      </c>
      <c r="K36" s="11">
        <v>1</v>
      </c>
    </row>
    <row r="37" spans="1:11" x14ac:dyDescent="0.3">
      <c r="A37" s="8">
        <v>3</v>
      </c>
      <c r="B37" s="9" t="s">
        <v>128</v>
      </c>
      <c r="C37" s="8" t="s">
        <v>127</v>
      </c>
      <c r="D37" s="11">
        <v>93</v>
      </c>
      <c r="E37" s="11">
        <v>87</v>
      </c>
      <c r="F37" s="11">
        <v>94</v>
      </c>
      <c r="G37" s="11">
        <v>90</v>
      </c>
      <c r="H37" s="11">
        <v>364</v>
      </c>
      <c r="I37" s="11">
        <v>91</v>
      </c>
      <c r="J37" s="11">
        <v>4.55</v>
      </c>
      <c r="K37" s="11">
        <v>0</v>
      </c>
    </row>
    <row r="38" spans="1:11" x14ac:dyDescent="0.3">
      <c r="A38" s="8">
        <v>5</v>
      </c>
      <c r="B38" s="9" t="s">
        <v>125</v>
      </c>
      <c r="C38" s="8" t="s">
        <v>155</v>
      </c>
      <c r="D38" s="11">
        <v>72</v>
      </c>
      <c r="E38" s="11">
        <v>51</v>
      </c>
      <c r="F38" s="11">
        <v>64</v>
      </c>
      <c r="G38" s="11">
        <v>70</v>
      </c>
      <c r="H38" s="11">
        <v>257</v>
      </c>
      <c r="I38" s="11">
        <v>64.25</v>
      </c>
      <c r="J38" s="11">
        <v>3.21</v>
      </c>
      <c r="K38" s="11">
        <v>0</v>
      </c>
    </row>
    <row r="39" spans="1:11" x14ac:dyDescent="0.3">
      <c r="A39" s="8">
        <v>6</v>
      </c>
      <c r="B39" s="9" t="s">
        <v>125</v>
      </c>
      <c r="C39" s="8" t="s">
        <v>156</v>
      </c>
      <c r="D39" s="11">
        <v>75</v>
      </c>
      <c r="E39" s="11">
        <v>72</v>
      </c>
      <c r="F39" s="11">
        <v>88</v>
      </c>
      <c r="G39" s="11">
        <v>85</v>
      </c>
      <c r="H39" s="11">
        <v>320</v>
      </c>
      <c r="I39" s="11">
        <v>80</v>
      </c>
      <c r="J39" s="11">
        <v>4</v>
      </c>
      <c r="K39" s="11">
        <v>0</v>
      </c>
    </row>
    <row r="40" spans="1:11" x14ac:dyDescent="0.3">
      <c r="A40" s="8">
        <v>9</v>
      </c>
      <c r="B40" s="9" t="s">
        <v>135</v>
      </c>
      <c r="C40" s="8" t="s">
        <v>127</v>
      </c>
      <c r="D40" s="11">
        <v>70</v>
      </c>
      <c r="E40" s="11">
        <v>45</v>
      </c>
      <c r="F40" s="11">
        <v>55</v>
      </c>
      <c r="G40" s="11">
        <v>62</v>
      </c>
      <c r="H40" s="11">
        <v>232</v>
      </c>
      <c r="I40" s="11">
        <v>58</v>
      </c>
      <c r="J40" s="11">
        <v>2.9</v>
      </c>
      <c r="K40" s="11">
        <v>2</v>
      </c>
    </row>
    <row r="41" spans="1:11" x14ac:dyDescent="0.3">
      <c r="A41" s="8">
        <v>11</v>
      </c>
      <c r="B41" s="9" t="s">
        <v>135</v>
      </c>
      <c r="C41" s="8" t="s">
        <v>127</v>
      </c>
      <c r="D41" s="11">
        <v>72</v>
      </c>
      <c r="E41" s="11">
        <v>88</v>
      </c>
      <c r="F41" s="11">
        <v>92</v>
      </c>
      <c r="G41" s="11">
        <v>80</v>
      </c>
      <c r="H41" s="11">
        <v>332</v>
      </c>
      <c r="I41" s="11">
        <v>83</v>
      </c>
      <c r="J41" s="11">
        <v>4.1500000000000004</v>
      </c>
      <c r="K41" s="11">
        <v>0</v>
      </c>
    </row>
    <row r="42" spans="1:11" x14ac:dyDescent="0.3">
      <c r="A42" s="8">
        <v>13</v>
      </c>
      <c r="B42" s="9" t="s">
        <v>123</v>
      </c>
      <c r="C42" s="8" t="s">
        <v>138</v>
      </c>
      <c r="D42" s="11">
        <v>70</v>
      </c>
      <c r="E42" s="11">
        <v>38</v>
      </c>
      <c r="F42" s="11">
        <v>76</v>
      </c>
      <c r="G42" s="11">
        <v>79</v>
      </c>
      <c r="H42" s="11">
        <v>263</v>
      </c>
      <c r="I42" s="11">
        <v>65.75</v>
      </c>
      <c r="J42" s="11">
        <v>3.29</v>
      </c>
      <c r="K42" s="11">
        <v>0</v>
      </c>
    </row>
    <row r="43" spans="1:11" x14ac:dyDescent="0.3">
      <c r="A43" s="8">
        <v>16</v>
      </c>
      <c r="B43" s="9" t="s">
        <v>140</v>
      </c>
      <c r="C43" s="8" t="s">
        <v>141</v>
      </c>
      <c r="D43" s="11">
        <v>80</v>
      </c>
      <c r="E43" s="11">
        <v>98</v>
      </c>
      <c r="F43" s="11">
        <v>69</v>
      </c>
      <c r="G43" s="11">
        <v>84</v>
      </c>
      <c r="H43" s="11">
        <v>331</v>
      </c>
      <c r="I43" s="11">
        <v>82.75</v>
      </c>
      <c r="J43" s="11">
        <v>4.1399999999999997</v>
      </c>
      <c r="K43" s="11">
        <v>4</v>
      </c>
    </row>
    <row r="44" spans="1:11" x14ac:dyDescent="0.3">
      <c r="A44" s="8">
        <v>22</v>
      </c>
      <c r="B44" s="9" t="s">
        <v>140</v>
      </c>
      <c r="C44" s="8" t="s">
        <v>147</v>
      </c>
      <c r="D44" s="11">
        <v>78</v>
      </c>
      <c r="E44" s="11">
        <v>65</v>
      </c>
      <c r="F44" s="11">
        <v>59</v>
      </c>
      <c r="G44" s="11">
        <v>55</v>
      </c>
      <c r="H44" s="11">
        <v>257</v>
      </c>
      <c r="I44" s="11">
        <v>64.25</v>
      </c>
      <c r="J44" s="11">
        <v>3.21</v>
      </c>
      <c r="K44" s="11">
        <v>0</v>
      </c>
    </row>
    <row r="45" spans="1:11" x14ac:dyDescent="0.3">
      <c r="A45" s="8">
        <v>24</v>
      </c>
      <c r="B45" s="9" t="s">
        <v>140</v>
      </c>
      <c r="C45" s="8" t="s">
        <v>149</v>
      </c>
      <c r="D45" s="11">
        <v>65</v>
      </c>
      <c r="E45" s="11">
        <v>58</v>
      </c>
      <c r="F45" s="11">
        <v>74</v>
      </c>
      <c r="G45" s="11">
        <v>58</v>
      </c>
      <c r="H45" s="11">
        <v>255</v>
      </c>
      <c r="I45" s="11">
        <v>63.75</v>
      </c>
      <c r="J45" s="11">
        <v>3.19</v>
      </c>
      <c r="K45" s="11">
        <v>0</v>
      </c>
    </row>
  </sheetData>
  <phoneticPr fontId="1" type="noConversion"/>
  <conditionalFormatting sqref="A3:K30">
    <cfRule type="expression" dxfId="0" priority="1">
      <formula>MOD(ROW(),4)=0</formula>
    </cfRule>
  </conditionalFormatting>
  <pageMargins left="0.7" right="0.7" top="0.75" bottom="0.75" header="0.3" footer="0.3"/>
  <pageSetup paperSize="9" orientation="portrait" horizontalDpi="4294967292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86C48-EE79-468B-A057-F3484E280FCB}">
  <sheetPr codeName="Sheet11">
    <tabColor rgb="FF7030A0"/>
  </sheetPr>
  <dimension ref="A1:K41"/>
  <sheetViews>
    <sheetView workbookViewId="0">
      <selection activeCell="M26" sqref="M26"/>
    </sheetView>
  </sheetViews>
  <sheetFormatPr defaultRowHeight="16.5" x14ac:dyDescent="0.3"/>
  <cols>
    <col min="2" max="2" width="14.375" customWidth="1"/>
    <col min="3" max="3" width="13.875" style="1" customWidth="1"/>
    <col min="10" max="10" width="9.875" customWidth="1"/>
  </cols>
  <sheetData>
    <row r="1" spans="1:11" x14ac:dyDescent="0.3">
      <c r="A1" t="s">
        <v>0</v>
      </c>
    </row>
    <row r="2" spans="1:11" x14ac:dyDescent="0.3">
      <c r="A2" s="14" t="s">
        <v>112</v>
      </c>
      <c r="B2" s="14" t="s">
        <v>113</v>
      </c>
      <c r="C2" s="14" t="s">
        <v>114</v>
      </c>
      <c r="D2" s="14" t="s">
        <v>115</v>
      </c>
      <c r="E2" s="14" t="s">
        <v>116</v>
      </c>
      <c r="F2" s="14" t="s">
        <v>117</v>
      </c>
      <c r="G2" s="14" t="s">
        <v>118</v>
      </c>
      <c r="H2" s="14" t="s">
        <v>119</v>
      </c>
      <c r="I2" s="14" t="s">
        <v>120</v>
      </c>
      <c r="J2" s="14" t="s">
        <v>121</v>
      </c>
      <c r="K2" s="15" t="s">
        <v>122</v>
      </c>
    </row>
    <row r="3" spans="1:11" x14ac:dyDescent="0.3">
      <c r="A3" s="16">
        <v>1</v>
      </c>
      <c r="B3" s="17" t="s">
        <v>123</v>
      </c>
      <c r="C3" s="16" t="s">
        <v>124</v>
      </c>
      <c r="D3" s="18">
        <v>72</v>
      </c>
      <c r="E3" s="18">
        <v>68</v>
      </c>
      <c r="F3" s="18">
        <v>88</v>
      </c>
      <c r="G3" s="18">
        <v>75</v>
      </c>
      <c r="H3" s="18">
        <f>SUM(D3:G3)</f>
        <v>303</v>
      </c>
      <c r="I3" s="18">
        <f>AVERAGE(D3:G3)</f>
        <v>75.75</v>
      </c>
      <c r="J3" s="18">
        <v>3.79</v>
      </c>
      <c r="K3" s="19">
        <v>3</v>
      </c>
    </row>
    <row r="4" spans="1:11" x14ac:dyDescent="0.3">
      <c r="A4" s="20">
        <v>2</v>
      </c>
      <c r="B4" s="21" t="s">
        <v>125</v>
      </c>
      <c r="C4" s="20" t="s">
        <v>126</v>
      </c>
      <c r="D4" s="13">
        <v>88</v>
      </c>
      <c r="E4" s="13">
        <v>87</v>
      </c>
      <c r="F4" s="13">
        <v>78</v>
      </c>
      <c r="G4" s="13">
        <v>70</v>
      </c>
      <c r="H4" s="13">
        <f t="shared" ref="H4:H41" si="0">SUM(D4:G4)</f>
        <v>323</v>
      </c>
      <c r="I4" s="13">
        <f t="shared" ref="I4:I41" si="1">AVERAGE(D4:G4)</f>
        <v>80.75</v>
      </c>
      <c r="J4" s="13">
        <v>4.04</v>
      </c>
      <c r="K4" s="12">
        <v>1</v>
      </c>
    </row>
    <row r="5" spans="1:11" x14ac:dyDescent="0.3">
      <c r="A5" s="16">
        <v>3</v>
      </c>
      <c r="B5" s="17" t="s">
        <v>123</v>
      </c>
      <c r="C5" s="16" t="s">
        <v>127</v>
      </c>
      <c r="D5" s="18">
        <v>62</v>
      </c>
      <c r="E5" s="18">
        <v>83</v>
      </c>
      <c r="F5" s="18">
        <v>71</v>
      </c>
      <c r="G5" s="18">
        <v>48</v>
      </c>
      <c r="H5" s="18">
        <f t="shared" si="0"/>
        <v>264</v>
      </c>
      <c r="I5" s="18">
        <f t="shared" si="1"/>
        <v>66</v>
      </c>
      <c r="J5" s="18">
        <v>3.3</v>
      </c>
      <c r="K5" s="19">
        <v>0</v>
      </c>
    </row>
    <row r="6" spans="1:11" x14ac:dyDescent="0.3">
      <c r="A6" s="20">
        <v>4</v>
      </c>
      <c r="B6" s="21" t="s">
        <v>128</v>
      </c>
      <c r="C6" s="20" t="s">
        <v>129</v>
      </c>
      <c r="D6" s="13">
        <v>84</v>
      </c>
      <c r="E6" s="13">
        <v>98</v>
      </c>
      <c r="F6" s="13">
        <v>69</v>
      </c>
      <c r="G6" s="13">
        <v>70</v>
      </c>
      <c r="H6" s="13">
        <f t="shared" si="0"/>
        <v>321</v>
      </c>
      <c r="I6" s="13">
        <f t="shared" si="1"/>
        <v>80.25</v>
      </c>
      <c r="J6" s="13">
        <v>4.01</v>
      </c>
      <c r="K6" s="12">
        <v>0</v>
      </c>
    </row>
    <row r="7" spans="1:11" x14ac:dyDescent="0.3">
      <c r="A7" s="16">
        <v>5</v>
      </c>
      <c r="B7" s="17" t="s">
        <v>130</v>
      </c>
      <c r="C7" s="16" t="s">
        <v>131</v>
      </c>
      <c r="D7" s="18">
        <v>83</v>
      </c>
      <c r="E7" s="18">
        <v>87</v>
      </c>
      <c r="F7" s="18">
        <v>78</v>
      </c>
      <c r="G7" s="18">
        <v>56</v>
      </c>
      <c r="H7" s="18">
        <f t="shared" si="0"/>
        <v>304</v>
      </c>
      <c r="I7" s="18">
        <f t="shared" si="1"/>
        <v>76</v>
      </c>
      <c r="J7" s="18">
        <v>3.8</v>
      </c>
      <c r="K7" s="19">
        <v>0</v>
      </c>
    </row>
    <row r="8" spans="1:11" x14ac:dyDescent="0.3">
      <c r="A8" s="20">
        <v>6</v>
      </c>
      <c r="B8" s="21" t="s">
        <v>130</v>
      </c>
      <c r="C8" s="20" t="s">
        <v>132</v>
      </c>
      <c r="D8" s="13">
        <v>69</v>
      </c>
      <c r="E8" s="13">
        <v>56</v>
      </c>
      <c r="F8" s="13">
        <v>62</v>
      </c>
      <c r="G8" s="13">
        <v>54</v>
      </c>
      <c r="H8" s="13">
        <f t="shared" si="0"/>
        <v>241</v>
      </c>
      <c r="I8" s="13">
        <f t="shared" si="1"/>
        <v>60.25</v>
      </c>
      <c r="J8" s="13">
        <v>3.01</v>
      </c>
      <c r="K8" s="12">
        <v>1</v>
      </c>
    </row>
    <row r="9" spans="1:11" x14ac:dyDescent="0.3">
      <c r="A9" s="16">
        <v>7</v>
      </c>
      <c r="B9" s="17" t="s">
        <v>130</v>
      </c>
      <c r="C9" s="16" t="s">
        <v>133</v>
      </c>
      <c r="D9" s="18">
        <v>83</v>
      </c>
      <c r="E9" s="18">
        <v>82</v>
      </c>
      <c r="F9" s="18">
        <v>87</v>
      </c>
      <c r="G9" s="18">
        <v>92</v>
      </c>
      <c r="H9" s="18">
        <f t="shared" si="0"/>
        <v>344</v>
      </c>
      <c r="I9" s="18">
        <f t="shared" si="1"/>
        <v>86</v>
      </c>
      <c r="J9" s="18">
        <v>4.3</v>
      </c>
      <c r="K9" s="19">
        <v>0</v>
      </c>
    </row>
    <row r="10" spans="1:11" x14ac:dyDescent="0.3">
      <c r="A10" s="20">
        <v>8</v>
      </c>
      <c r="B10" s="21" t="s">
        <v>130</v>
      </c>
      <c r="C10" s="20" t="s">
        <v>134</v>
      </c>
      <c r="D10" s="13">
        <v>72</v>
      </c>
      <c r="E10" s="13">
        <v>75</v>
      </c>
      <c r="F10" s="13">
        <v>92</v>
      </c>
      <c r="G10" s="13">
        <v>62</v>
      </c>
      <c r="H10" s="13">
        <f t="shared" si="0"/>
        <v>301</v>
      </c>
      <c r="I10" s="13">
        <f t="shared" si="1"/>
        <v>75.25</v>
      </c>
      <c r="J10" s="13">
        <v>3.76</v>
      </c>
      <c r="K10" s="12">
        <v>0</v>
      </c>
    </row>
    <row r="11" spans="1:11" x14ac:dyDescent="0.3">
      <c r="A11" s="16">
        <v>9</v>
      </c>
      <c r="B11" s="17" t="s">
        <v>135</v>
      </c>
      <c r="C11" s="16" t="s">
        <v>127</v>
      </c>
      <c r="D11" s="18">
        <v>84</v>
      </c>
      <c r="E11" s="18">
        <v>68</v>
      </c>
      <c r="F11" s="18">
        <v>88</v>
      </c>
      <c r="G11" s="18">
        <v>92</v>
      </c>
      <c r="H11" s="18">
        <f t="shared" si="0"/>
        <v>332</v>
      </c>
      <c r="I11" s="18">
        <f t="shared" si="1"/>
        <v>83</v>
      </c>
      <c r="J11" s="18">
        <v>4.1500000000000004</v>
      </c>
      <c r="K11" s="19">
        <v>2</v>
      </c>
    </row>
    <row r="12" spans="1:11" x14ac:dyDescent="0.3">
      <c r="A12" s="20">
        <v>10</v>
      </c>
      <c r="B12" s="21" t="s">
        <v>128</v>
      </c>
      <c r="C12" s="20" t="s">
        <v>127</v>
      </c>
      <c r="D12" s="13">
        <v>65</v>
      </c>
      <c r="E12" s="13">
        <v>79</v>
      </c>
      <c r="F12" s="13">
        <v>75</v>
      </c>
      <c r="G12" s="13">
        <v>88</v>
      </c>
      <c r="H12" s="13">
        <f t="shared" si="0"/>
        <v>307</v>
      </c>
      <c r="I12" s="13">
        <f t="shared" si="1"/>
        <v>76.75</v>
      </c>
      <c r="J12" s="13">
        <v>3.84</v>
      </c>
      <c r="K12" s="12">
        <v>4</v>
      </c>
    </row>
    <row r="13" spans="1:11" x14ac:dyDescent="0.3">
      <c r="A13" s="16">
        <v>11</v>
      </c>
      <c r="B13" s="17" t="s">
        <v>123</v>
      </c>
      <c r="C13" s="16" t="s">
        <v>136</v>
      </c>
      <c r="D13" s="18">
        <v>90</v>
      </c>
      <c r="E13" s="18">
        <v>36</v>
      </c>
      <c r="F13" s="18">
        <v>53</v>
      </c>
      <c r="G13" s="18">
        <v>66</v>
      </c>
      <c r="H13" s="18">
        <f t="shared" si="0"/>
        <v>245</v>
      </c>
      <c r="I13" s="18">
        <f t="shared" si="1"/>
        <v>61.25</v>
      </c>
      <c r="J13" s="18">
        <v>3.06</v>
      </c>
      <c r="K13" s="19">
        <v>0</v>
      </c>
    </row>
    <row r="14" spans="1:11" x14ac:dyDescent="0.3">
      <c r="A14" s="20">
        <v>12</v>
      </c>
      <c r="B14" s="21" t="s">
        <v>123</v>
      </c>
      <c r="C14" s="20" t="s">
        <v>137</v>
      </c>
      <c r="D14" s="13">
        <v>93</v>
      </c>
      <c r="E14" s="13">
        <v>86</v>
      </c>
      <c r="F14" s="13">
        <v>88</v>
      </c>
      <c r="G14" s="13">
        <v>92</v>
      </c>
      <c r="H14" s="13">
        <f t="shared" si="0"/>
        <v>359</v>
      </c>
      <c r="I14" s="13">
        <f t="shared" si="1"/>
        <v>89.75</v>
      </c>
      <c r="J14" s="13">
        <v>4.49</v>
      </c>
      <c r="K14" s="12">
        <v>4</v>
      </c>
    </row>
    <row r="15" spans="1:11" x14ac:dyDescent="0.3">
      <c r="A15" s="16">
        <v>13</v>
      </c>
      <c r="B15" s="17" t="s">
        <v>123</v>
      </c>
      <c r="C15" s="16" t="s">
        <v>138</v>
      </c>
      <c r="D15" s="18">
        <v>70</v>
      </c>
      <c r="E15" s="18">
        <v>38</v>
      </c>
      <c r="F15" s="18">
        <v>76</v>
      </c>
      <c r="G15" s="18">
        <v>79</v>
      </c>
      <c r="H15" s="18">
        <f t="shared" si="0"/>
        <v>263</v>
      </c>
      <c r="I15" s="18">
        <f t="shared" si="1"/>
        <v>65.75</v>
      </c>
      <c r="J15" s="18">
        <v>3.29</v>
      </c>
      <c r="K15" s="19">
        <v>0</v>
      </c>
    </row>
    <row r="16" spans="1:11" x14ac:dyDescent="0.3">
      <c r="A16" s="20">
        <v>14</v>
      </c>
      <c r="B16" s="21" t="s">
        <v>123</v>
      </c>
      <c r="C16" s="20" t="s">
        <v>139</v>
      </c>
      <c r="D16" s="13">
        <v>92</v>
      </c>
      <c r="E16" s="13">
        <v>86</v>
      </c>
      <c r="F16" s="13">
        <v>88</v>
      </c>
      <c r="G16" s="13">
        <v>60</v>
      </c>
      <c r="H16" s="13">
        <f t="shared" si="0"/>
        <v>326</v>
      </c>
      <c r="I16" s="13">
        <f t="shared" si="1"/>
        <v>81.5</v>
      </c>
      <c r="J16" s="13">
        <v>4.08</v>
      </c>
      <c r="K16" s="12">
        <v>0</v>
      </c>
    </row>
    <row r="17" spans="1:11" x14ac:dyDescent="0.3">
      <c r="A17" s="16">
        <v>15</v>
      </c>
      <c r="B17" s="17" t="s">
        <v>135</v>
      </c>
      <c r="C17" s="16" t="s">
        <v>129</v>
      </c>
      <c r="D17" s="18">
        <v>62</v>
      </c>
      <c r="E17" s="18">
        <v>86</v>
      </c>
      <c r="F17" s="18">
        <v>63</v>
      </c>
      <c r="G17" s="18">
        <v>50</v>
      </c>
      <c r="H17" s="18">
        <f t="shared" si="0"/>
        <v>261</v>
      </c>
      <c r="I17" s="18">
        <f t="shared" si="1"/>
        <v>65.25</v>
      </c>
      <c r="J17" s="18">
        <v>3.26</v>
      </c>
      <c r="K17" s="19">
        <v>0</v>
      </c>
    </row>
    <row r="18" spans="1:11" x14ac:dyDescent="0.3">
      <c r="A18" s="20">
        <v>16</v>
      </c>
      <c r="B18" s="21" t="s">
        <v>140</v>
      </c>
      <c r="C18" s="20" t="s">
        <v>141</v>
      </c>
      <c r="D18" s="13">
        <v>80</v>
      </c>
      <c r="E18" s="13">
        <v>98</v>
      </c>
      <c r="F18" s="13">
        <v>69</v>
      </c>
      <c r="G18" s="13">
        <v>84</v>
      </c>
      <c r="H18" s="13">
        <f t="shared" si="0"/>
        <v>331</v>
      </c>
      <c r="I18" s="13">
        <f t="shared" si="1"/>
        <v>82.75</v>
      </c>
      <c r="J18" s="13">
        <v>4.1399999999999997</v>
      </c>
      <c r="K18" s="12">
        <v>4</v>
      </c>
    </row>
    <row r="19" spans="1:11" x14ac:dyDescent="0.3">
      <c r="A19" s="16">
        <v>17</v>
      </c>
      <c r="B19" s="17" t="s">
        <v>125</v>
      </c>
      <c r="C19" s="16" t="s">
        <v>142</v>
      </c>
      <c r="D19" s="18">
        <v>90</v>
      </c>
      <c r="E19" s="18">
        <v>97</v>
      </c>
      <c r="F19" s="18">
        <v>92</v>
      </c>
      <c r="G19" s="18">
        <v>96</v>
      </c>
      <c r="H19" s="18">
        <f t="shared" si="0"/>
        <v>375</v>
      </c>
      <c r="I19" s="18">
        <f t="shared" si="1"/>
        <v>93.75</v>
      </c>
      <c r="J19" s="18">
        <v>4.6900000000000004</v>
      </c>
      <c r="K19" s="19">
        <v>0</v>
      </c>
    </row>
    <row r="20" spans="1:11" x14ac:dyDescent="0.3">
      <c r="A20" s="20">
        <v>18</v>
      </c>
      <c r="B20" s="21" t="s">
        <v>140</v>
      </c>
      <c r="C20" s="20" t="s">
        <v>143</v>
      </c>
      <c r="D20" s="13">
        <v>78</v>
      </c>
      <c r="E20" s="13">
        <v>59</v>
      </c>
      <c r="F20" s="13">
        <v>59</v>
      </c>
      <c r="G20" s="13">
        <v>60</v>
      </c>
      <c r="H20" s="13">
        <f t="shared" si="0"/>
        <v>256</v>
      </c>
      <c r="I20" s="13">
        <f t="shared" si="1"/>
        <v>64</v>
      </c>
      <c r="J20" s="13">
        <v>3.2</v>
      </c>
      <c r="K20" s="12">
        <v>0</v>
      </c>
    </row>
    <row r="21" spans="1:11" x14ac:dyDescent="0.3">
      <c r="A21" s="16">
        <v>19</v>
      </c>
      <c r="B21" s="17" t="s">
        <v>140</v>
      </c>
      <c r="C21" s="16" t="s">
        <v>144</v>
      </c>
      <c r="D21" s="18">
        <v>72</v>
      </c>
      <c r="E21" s="18">
        <v>63</v>
      </c>
      <c r="F21" s="18">
        <v>61</v>
      </c>
      <c r="G21" s="18">
        <v>55</v>
      </c>
      <c r="H21" s="18">
        <f t="shared" si="0"/>
        <v>251</v>
      </c>
      <c r="I21" s="18">
        <f t="shared" si="1"/>
        <v>62.75</v>
      </c>
      <c r="J21" s="18">
        <v>3.14</v>
      </c>
      <c r="K21" s="19">
        <v>0</v>
      </c>
    </row>
    <row r="22" spans="1:11" x14ac:dyDescent="0.3">
      <c r="A22" s="20">
        <v>20</v>
      </c>
      <c r="B22" s="21" t="s">
        <v>140</v>
      </c>
      <c r="C22" s="20" t="s">
        <v>145</v>
      </c>
      <c r="D22" s="13">
        <v>65</v>
      </c>
      <c r="E22" s="13">
        <v>60</v>
      </c>
      <c r="F22" s="13">
        <v>66</v>
      </c>
      <c r="G22" s="13">
        <v>49</v>
      </c>
      <c r="H22" s="13">
        <f t="shared" si="0"/>
        <v>240</v>
      </c>
      <c r="I22" s="13">
        <f t="shared" si="1"/>
        <v>60</v>
      </c>
      <c r="J22" s="13">
        <v>3</v>
      </c>
      <c r="K22" s="12">
        <v>0</v>
      </c>
    </row>
    <row r="23" spans="1:11" x14ac:dyDescent="0.3">
      <c r="A23" s="16">
        <v>21</v>
      </c>
      <c r="B23" s="17" t="s">
        <v>140</v>
      </c>
      <c r="C23" s="16" t="s">
        <v>146</v>
      </c>
      <c r="D23" s="18">
        <v>69</v>
      </c>
      <c r="E23" s="18">
        <v>35</v>
      </c>
      <c r="F23" s="18">
        <v>67</v>
      </c>
      <c r="G23" s="18">
        <v>50</v>
      </c>
      <c r="H23" s="18">
        <f t="shared" si="0"/>
        <v>221</v>
      </c>
      <c r="I23" s="18">
        <f t="shared" si="1"/>
        <v>55.25</v>
      </c>
      <c r="J23" s="18">
        <v>2.76</v>
      </c>
      <c r="K23" s="19">
        <v>0</v>
      </c>
    </row>
    <row r="24" spans="1:11" x14ac:dyDescent="0.3">
      <c r="A24" s="20">
        <v>22</v>
      </c>
      <c r="B24" s="21" t="s">
        <v>140</v>
      </c>
      <c r="C24" s="20" t="s">
        <v>147</v>
      </c>
      <c r="D24" s="13">
        <v>78</v>
      </c>
      <c r="E24" s="13">
        <v>65</v>
      </c>
      <c r="F24" s="13">
        <v>59</v>
      </c>
      <c r="G24" s="13">
        <v>55</v>
      </c>
      <c r="H24" s="13">
        <f t="shared" si="0"/>
        <v>257</v>
      </c>
      <c r="I24" s="13">
        <f t="shared" si="1"/>
        <v>64.25</v>
      </c>
      <c r="J24" s="13">
        <v>3.21</v>
      </c>
      <c r="K24" s="12">
        <v>0</v>
      </c>
    </row>
    <row r="25" spans="1:11" x14ac:dyDescent="0.3">
      <c r="A25" s="16">
        <v>23</v>
      </c>
      <c r="B25" s="17" t="s">
        <v>140</v>
      </c>
      <c r="C25" s="16" t="s">
        <v>148</v>
      </c>
      <c r="D25" s="18">
        <v>81</v>
      </c>
      <c r="E25" s="18">
        <v>25</v>
      </c>
      <c r="F25" s="18">
        <v>62</v>
      </c>
      <c r="G25" s="18">
        <v>84</v>
      </c>
      <c r="H25" s="18">
        <f t="shared" si="0"/>
        <v>252</v>
      </c>
      <c r="I25" s="18">
        <f t="shared" si="1"/>
        <v>63</v>
      </c>
      <c r="J25" s="18">
        <v>3.15</v>
      </c>
      <c r="K25" s="19">
        <v>1</v>
      </c>
    </row>
    <row r="26" spans="1:11" x14ac:dyDescent="0.3">
      <c r="A26" s="20">
        <v>24</v>
      </c>
      <c r="B26" s="21" t="s">
        <v>140</v>
      </c>
      <c r="C26" s="20" t="s">
        <v>149</v>
      </c>
      <c r="D26" s="13">
        <v>65</v>
      </c>
      <c r="E26" s="13">
        <v>58</v>
      </c>
      <c r="F26" s="13">
        <v>74</v>
      </c>
      <c r="G26" s="13">
        <v>58</v>
      </c>
      <c r="H26" s="13">
        <f t="shared" si="0"/>
        <v>255</v>
      </c>
      <c r="I26" s="13">
        <f t="shared" si="1"/>
        <v>63.75</v>
      </c>
      <c r="J26" s="13">
        <v>3.19</v>
      </c>
      <c r="K26" s="12">
        <v>0</v>
      </c>
    </row>
    <row r="27" spans="1:11" x14ac:dyDescent="0.3">
      <c r="A27" s="16">
        <v>25</v>
      </c>
      <c r="B27" s="17" t="s">
        <v>140</v>
      </c>
      <c r="C27" s="16" t="s">
        <v>150</v>
      </c>
      <c r="D27" s="18">
        <v>41</v>
      </c>
      <c r="E27" s="18">
        <v>81</v>
      </c>
      <c r="F27" s="18">
        <v>66</v>
      </c>
      <c r="G27" s="18">
        <v>72</v>
      </c>
      <c r="H27" s="18">
        <f t="shared" si="0"/>
        <v>260</v>
      </c>
      <c r="I27" s="18">
        <f t="shared" si="1"/>
        <v>65</v>
      </c>
      <c r="J27" s="18">
        <v>3.25</v>
      </c>
      <c r="K27" s="19">
        <v>4</v>
      </c>
    </row>
    <row r="28" spans="1:11" x14ac:dyDescent="0.3">
      <c r="A28" s="20">
        <v>26</v>
      </c>
      <c r="B28" s="21" t="s">
        <v>140</v>
      </c>
      <c r="C28" s="20" t="s">
        <v>151</v>
      </c>
      <c r="D28" s="13">
        <v>85</v>
      </c>
      <c r="E28" s="13">
        <v>88</v>
      </c>
      <c r="F28" s="13">
        <v>72</v>
      </c>
      <c r="G28" s="13">
        <v>70</v>
      </c>
      <c r="H28" s="13">
        <f t="shared" si="0"/>
        <v>315</v>
      </c>
      <c r="I28" s="13">
        <f t="shared" si="1"/>
        <v>78.75</v>
      </c>
      <c r="J28" s="13">
        <v>3.94</v>
      </c>
      <c r="K28" s="12">
        <v>0</v>
      </c>
    </row>
    <row r="29" spans="1:11" x14ac:dyDescent="0.3">
      <c r="A29" s="16">
        <v>27</v>
      </c>
      <c r="B29" s="17" t="s">
        <v>140</v>
      </c>
      <c r="C29" s="16" t="s">
        <v>152</v>
      </c>
      <c r="D29" s="18">
        <v>51</v>
      </c>
      <c r="E29" s="18">
        <v>48</v>
      </c>
      <c r="F29" s="18">
        <v>65</v>
      </c>
      <c r="G29" s="18">
        <v>49</v>
      </c>
      <c r="H29" s="18">
        <f t="shared" si="0"/>
        <v>213</v>
      </c>
      <c r="I29" s="18">
        <f t="shared" si="1"/>
        <v>53.25</v>
      </c>
      <c r="J29" s="18">
        <v>2.66</v>
      </c>
      <c r="K29" s="19">
        <v>2</v>
      </c>
    </row>
    <row r="30" spans="1:11" x14ac:dyDescent="0.3">
      <c r="A30" s="20">
        <v>28</v>
      </c>
      <c r="B30" s="21" t="s">
        <v>135</v>
      </c>
      <c r="C30" s="20" t="s">
        <v>129</v>
      </c>
      <c r="D30" s="13">
        <v>95</v>
      </c>
      <c r="E30" s="13">
        <v>88</v>
      </c>
      <c r="F30" s="13">
        <v>72</v>
      </c>
      <c r="G30" s="13">
        <v>70</v>
      </c>
      <c r="H30" s="13">
        <f t="shared" si="0"/>
        <v>325</v>
      </c>
      <c r="I30" s="13">
        <f t="shared" si="1"/>
        <v>81.25</v>
      </c>
      <c r="J30" s="13">
        <v>4.0599999999999996</v>
      </c>
      <c r="K30" s="12">
        <v>2</v>
      </c>
    </row>
    <row r="31" spans="1:11" x14ac:dyDescent="0.3">
      <c r="A31" s="16">
        <v>29</v>
      </c>
      <c r="B31" s="17" t="s">
        <v>128</v>
      </c>
      <c r="C31" s="16" t="s">
        <v>127</v>
      </c>
      <c r="D31" s="18">
        <v>92</v>
      </c>
      <c r="E31" s="18">
        <v>97</v>
      </c>
      <c r="F31" s="18">
        <v>88</v>
      </c>
      <c r="G31" s="18">
        <v>92</v>
      </c>
      <c r="H31" s="18">
        <f t="shared" si="0"/>
        <v>369</v>
      </c>
      <c r="I31" s="18">
        <f t="shared" si="1"/>
        <v>92.25</v>
      </c>
      <c r="J31" s="18">
        <v>4.6100000000000003</v>
      </c>
      <c r="K31" s="19">
        <v>1</v>
      </c>
    </row>
    <row r="32" spans="1:11" x14ac:dyDescent="0.3">
      <c r="A32" s="20">
        <v>30</v>
      </c>
      <c r="B32" s="21" t="s">
        <v>128</v>
      </c>
      <c r="C32" s="20" t="s">
        <v>153</v>
      </c>
      <c r="D32" s="13">
        <v>91</v>
      </c>
      <c r="E32" s="13">
        <v>71</v>
      </c>
      <c r="F32" s="13">
        <v>69</v>
      </c>
      <c r="G32" s="13">
        <v>65</v>
      </c>
      <c r="H32" s="13">
        <f t="shared" si="0"/>
        <v>296</v>
      </c>
      <c r="I32" s="13">
        <f t="shared" si="1"/>
        <v>74</v>
      </c>
      <c r="J32" s="13">
        <v>3.7</v>
      </c>
      <c r="K32" s="12">
        <v>1</v>
      </c>
    </row>
    <row r="33" spans="1:11" x14ac:dyDescent="0.3">
      <c r="A33" s="16">
        <v>31</v>
      </c>
      <c r="B33" s="17" t="s">
        <v>128</v>
      </c>
      <c r="C33" s="16" t="s">
        <v>127</v>
      </c>
      <c r="D33" s="18">
        <v>93</v>
      </c>
      <c r="E33" s="18">
        <v>87</v>
      </c>
      <c r="F33" s="18">
        <v>94</v>
      </c>
      <c r="G33" s="18">
        <v>90</v>
      </c>
      <c r="H33" s="18">
        <f t="shared" si="0"/>
        <v>364</v>
      </c>
      <c r="I33" s="18">
        <f t="shared" si="1"/>
        <v>91</v>
      </c>
      <c r="J33" s="18">
        <v>4.55</v>
      </c>
      <c r="K33" s="19">
        <v>0</v>
      </c>
    </row>
    <row r="34" spans="1:11" x14ac:dyDescent="0.3">
      <c r="A34" s="20">
        <v>32</v>
      </c>
      <c r="B34" s="21" t="s">
        <v>125</v>
      </c>
      <c r="C34" s="20" t="s">
        <v>154</v>
      </c>
      <c r="D34" s="13">
        <v>62</v>
      </c>
      <c r="E34" s="13">
        <v>88</v>
      </c>
      <c r="F34" s="13">
        <v>92</v>
      </c>
      <c r="G34" s="13">
        <v>62</v>
      </c>
      <c r="H34" s="13">
        <f t="shared" si="0"/>
        <v>304</v>
      </c>
      <c r="I34" s="13">
        <f t="shared" si="1"/>
        <v>76</v>
      </c>
      <c r="J34" s="13">
        <v>3.8</v>
      </c>
      <c r="K34" s="12">
        <v>3</v>
      </c>
    </row>
    <row r="35" spans="1:11" x14ac:dyDescent="0.3">
      <c r="A35" s="16">
        <v>33</v>
      </c>
      <c r="B35" s="17" t="s">
        <v>125</v>
      </c>
      <c r="C35" s="16" t="s">
        <v>155</v>
      </c>
      <c r="D35" s="18">
        <v>72</v>
      </c>
      <c r="E35" s="18">
        <v>51</v>
      </c>
      <c r="F35" s="18">
        <v>64</v>
      </c>
      <c r="G35" s="18">
        <v>70</v>
      </c>
      <c r="H35" s="18">
        <f t="shared" si="0"/>
        <v>257</v>
      </c>
      <c r="I35" s="18">
        <f t="shared" si="1"/>
        <v>64.25</v>
      </c>
      <c r="J35" s="18">
        <v>3.21</v>
      </c>
      <c r="K35" s="19">
        <v>0</v>
      </c>
    </row>
    <row r="36" spans="1:11" x14ac:dyDescent="0.3">
      <c r="A36" s="20">
        <v>34</v>
      </c>
      <c r="B36" s="21" t="s">
        <v>125</v>
      </c>
      <c r="C36" s="20" t="s">
        <v>156</v>
      </c>
      <c r="D36" s="13">
        <v>75</v>
      </c>
      <c r="E36" s="13">
        <v>72</v>
      </c>
      <c r="F36" s="13">
        <v>88</v>
      </c>
      <c r="G36" s="13">
        <v>85</v>
      </c>
      <c r="H36" s="13">
        <f t="shared" si="0"/>
        <v>320</v>
      </c>
      <c r="I36" s="13">
        <f t="shared" si="1"/>
        <v>80</v>
      </c>
      <c r="J36" s="13">
        <v>4</v>
      </c>
      <c r="K36" s="12">
        <v>0</v>
      </c>
    </row>
    <row r="37" spans="1:11" x14ac:dyDescent="0.3">
      <c r="A37" s="16">
        <v>35</v>
      </c>
      <c r="B37" s="17" t="s">
        <v>125</v>
      </c>
      <c r="C37" s="16" t="s">
        <v>157</v>
      </c>
      <c r="D37" s="18">
        <v>88</v>
      </c>
      <c r="E37" s="18">
        <v>92</v>
      </c>
      <c r="F37" s="18">
        <v>88</v>
      </c>
      <c r="G37" s="18">
        <v>86</v>
      </c>
      <c r="H37" s="18">
        <f t="shared" si="0"/>
        <v>354</v>
      </c>
      <c r="I37" s="18">
        <f t="shared" si="1"/>
        <v>88.5</v>
      </c>
      <c r="J37" s="18">
        <v>4.43</v>
      </c>
      <c r="K37" s="19">
        <v>0</v>
      </c>
    </row>
    <row r="38" spans="1:11" x14ac:dyDescent="0.3">
      <c r="A38" s="20">
        <v>36</v>
      </c>
      <c r="B38" s="21" t="s">
        <v>125</v>
      </c>
      <c r="C38" s="20" t="s">
        <v>158</v>
      </c>
      <c r="D38" s="13">
        <v>95</v>
      </c>
      <c r="E38" s="13">
        <v>93</v>
      </c>
      <c r="F38" s="13">
        <v>92</v>
      </c>
      <c r="G38" s="13">
        <v>92</v>
      </c>
      <c r="H38" s="13">
        <f t="shared" si="0"/>
        <v>372</v>
      </c>
      <c r="I38" s="13">
        <f t="shared" si="1"/>
        <v>93</v>
      </c>
      <c r="J38" s="13">
        <v>4.6500000000000004</v>
      </c>
      <c r="K38" s="12">
        <v>0</v>
      </c>
    </row>
    <row r="39" spans="1:11" x14ac:dyDescent="0.3">
      <c r="A39" s="16">
        <v>37</v>
      </c>
      <c r="B39" s="17" t="s">
        <v>135</v>
      </c>
      <c r="C39" s="16" t="s">
        <v>127</v>
      </c>
      <c r="D39" s="18">
        <v>70</v>
      </c>
      <c r="E39" s="18">
        <v>45</v>
      </c>
      <c r="F39" s="18">
        <v>55</v>
      </c>
      <c r="G39" s="18">
        <v>62</v>
      </c>
      <c r="H39" s="18">
        <f t="shared" si="0"/>
        <v>232</v>
      </c>
      <c r="I39" s="18">
        <f t="shared" si="1"/>
        <v>58</v>
      </c>
      <c r="J39" s="18">
        <v>2.9</v>
      </c>
      <c r="K39" s="19">
        <v>2</v>
      </c>
    </row>
    <row r="40" spans="1:11" x14ac:dyDescent="0.3">
      <c r="A40" s="20">
        <v>38</v>
      </c>
      <c r="B40" s="21" t="s">
        <v>130</v>
      </c>
      <c r="C40" s="20" t="s">
        <v>159</v>
      </c>
      <c r="D40" s="13">
        <v>63</v>
      </c>
      <c r="E40" s="13">
        <v>67</v>
      </c>
      <c r="F40" s="13">
        <v>70</v>
      </c>
      <c r="G40" s="13">
        <v>65</v>
      </c>
      <c r="H40" s="13">
        <f t="shared" si="0"/>
        <v>265</v>
      </c>
      <c r="I40" s="13">
        <f t="shared" si="1"/>
        <v>66.25</v>
      </c>
      <c r="J40" s="13">
        <v>3.31</v>
      </c>
      <c r="K40" s="12">
        <v>2</v>
      </c>
    </row>
    <row r="41" spans="1:11" x14ac:dyDescent="0.3">
      <c r="A41" s="22">
        <v>39</v>
      </c>
      <c r="B41" s="23" t="s">
        <v>135</v>
      </c>
      <c r="C41" s="22" t="s">
        <v>127</v>
      </c>
      <c r="D41" s="24">
        <v>72</v>
      </c>
      <c r="E41" s="24">
        <v>88</v>
      </c>
      <c r="F41" s="24">
        <v>92</v>
      </c>
      <c r="G41" s="24">
        <v>80</v>
      </c>
      <c r="H41" s="24">
        <f t="shared" si="0"/>
        <v>332</v>
      </c>
      <c r="I41" s="24">
        <f t="shared" si="1"/>
        <v>83</v>
      </c>
      <c r="J41" s="24">
        <v>4.1500000000000004</v>
      </c>
      <c r="K41" s="25">
        <v>0</v>
      </c>
    </row>
  </sheetData>
  <phoneticPr fontId="1" type="noConversion"/>
  <printOptions horizontalCentered="1" headings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Header>&amp;L&amp;D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3AFFA4-B708-4413-8BA4-78E4C114E794}">
  <sheetPr codeName="Sheet9">
    <tabColor rgb="FF7030A0"/>
  </sheetPr>
  <dimension ref="A1:I33"/>
  <sheetViews>
    <sheetView workbookViewId="0">
      <selection activeCell="M26" sqref="M26"/>
    </sheetView>
  </sheetViews>
  <sheetFormatPr defaultRowHeight="16.5" x14ac:dyDescent="0.3"/>
  <cols>
    <col min="2" max="2" width="10.875" customWidth="1"/>
    <col min="3" max="3" width="12.625" bestFit="1" customWidth="1"/>
    <col min="4" max="4" width="11.625" bestFit="1" customWidth="1"/>
    <col min="5" max="5" width="9.875" customWidth="1"/>
    <col min="6" max="6" width="13.375" customWidth="1"/>
    <col min="7" max="7" width="10.375" customWidth="1"/>
    <col min="8" max="8" width="12.375" bestFit="1" customWidth="1"/>
    <col min="9" max="9" width="10.75" bestFit="1" customWidth="1"/>
    <col min="11" max="12" width="9.625" bestFit="1" customWidth="1"/>
    <col min="13" max="13" width="9.5" bestFit="1" customWidth="1"/>
  </cols>
  <sheetData>
    <row r="1" spans="1:9" x14ac:dyDescent="0.3">
      <c r="A1" t="s">
        <v>0</v>
      </c>
      <c r="H1" t="s">
        <v>160</v>
      </c>
      <c r="I1" s="26">
        <v>45940</v>
      </c>
    </row>
    <row r="2" spans="1:9" x14ac:dyDescent="0.3">
      <c r="A2" s="27" t="s">
        <v>1</v>
      </c>
      <c r="B2" s="27" t="s">
        <v>161</v>
      </c>
      <c r="C2" s="27" t="s">
        <v>162</v>
      </c>
      <c r="D2" s="27" t="s">
        <v>163</v>
      </c>
      <c r="E2" s="27" t="s">
        <v>164</v>
      </c>
      <c r="F2" s="27" t="s">
        <v>165</v>
      </c>
      <c r="G2" s="28" t="s">
        <v>166</v>
      </c>
      <c r="H2" s="28" t="s">
        <v>167</v>
      </c>
      <c r="I2" s="28" t="s">
        <v>168</v>
      </c>
    </row>
    <row r="3" spans="1:9" x14ac:dyDescent="0.3">
      <c r="A3" s="27" t="s">
        <v>169</v>
      </c>
      <c r="B3" s="27" t="s">
        <v>170</v>
      </c>
      <c r="C3" s="29">
        <v>44562</v>
      </c>
      <c r="D3" s="30">
        <v>7200000</v>
      </c>
      <c r="E3" s="2">
        <v>25</v>
      </c>
      <c r="F3" s="31">
        <v>0.05</v>
      </c>
      <c r="G3" s="32" t="str">
        <f>IF(AND(YEAR($I$1)-YEAR(C3)&gt;=10,D3&lt;=10000000),"대출가능",IF(AND(YEAR($I$1)-YEAR(C3)&gt;=5,D3&lt;=20000000),"서류보완","보류"))</f>
        <v>보류</v>
      </c>
      <c r="H3" s="35" t="str">
        <f>_xlfn.XLOOKUP(PMT(F3/12,E3,-D3),$H$28:$H$31,I$28:I$31,,-1)</f>
        <v>보통</v>
      </c>
      <c r="I3" s="27" t="e" cm="1">
        <f t="array" aca="1" ref="I3" ca="1">fn비고(C3,D3)</f>
        <v>#NAME?</v>
      </c>
    </row>
    <row r="4" spans="1:9" x14ac:dyDescent="0.3">
      <c r="A4" s="27" t="s">
        <v>171</v>
      </c>
      <c r="B4" s="27" t="s">
        <v>172</v>
      </c>
      <c r="C4" s="29">
        <v>38047</v>
      </c>
      <c r="D4" s="30">
        <v>6000000</v>
      </c>
      <c r="E4" s="2">
        <v>36</v>
      </c>
      <c r="F4" s="31">
        <v>0.04</v>
      </c>
      <c r="G4" s="32" t="str">
        <f t="shared" ref="G4:G24" si="0">IF(AND(YEAR($I$1)-YEAR(C4)&gt;=10,D4&lt;=10000000),"대출가능",IF(AND(YEAR($I$1)-YEAR(C4)&gt;=5,D4&lt;=20000000),"서류보완","보류"))</f>
        <v>대출가능</v>
      </c>
      <c r="H4" s="35" t="str">
        <f t="shared" ref="H4:H24" si="1">_xlfn.XLOOKUP(PMT(F4/12,E4,-D4),$H$28:$H$31,I$28:I$31,"오류",-1)</f>
        <v>낮음</v>
      </c>
      <c r="I4" s="27" t="e" cm="1">
        <f t="array" aca="1" ref="I4" ca="1">fn비고(C4,D4)</f>
        <v>#NAME?</v>
      </c>
    </row>
    <row r="5" spans="1:9" x14ac:dyDescent="0.3">
      <c r="A5" s="27" t="s">
        <v>173</v>
      </c>
      <c r="B5" s="27" t="s">
        <v>174</v>
      </c>
      <c r="C5" s="29">
        <v>40299</v>
      </c>
      <c r="D5" s="30">
        <v>6400000</v>
      </c>
      <c r="E5" s="2">
        <v>24</v>
      </c>
      <c r="F5" s="31">
        <v>0.06</v>
      </c>
      <c r="G5" s="32" t="str">
        <f t="shared" si="0"/>
        <v>대출가능</v>
      </c>
      <c r="H5" s="35" t="str">
        <f t="shared" si="1"/>
        <v>보통</v>
      </c>
      <c r="I5" s="27" t="e" cm="1">
        <f t="array" aca="1" ref="I5" ca="1">fn비고(C5,D5)</f>
        <v>#NAME?</v>
      </c>
    </row>
    <row r="6" spans="1:9" x14ac:dyDescent="0.3">
      <c r="A6" s="27" t="s">
        <v>175</v>
      </c>
      <c r="B6" s="27" t="s">
        <v>176</v>
      </c>
      <c r="C6" s="29">
        <v>42064</v>
      </c>
      <c r="D6" s="30">
        <v>5250000</v>
      </c>
      <c r="E6" s="2">
        <v>12</v>
      </c>
      <c r="F6" s="31">
        <v>7.4999999999999997E-2</v>
      </c>
      <c r="G6" s="32" t="str">
        <f t="shared" si="0"/>
        <v>대출가능</v>
      </c>
      <c r="H6" s="35" t="str">
        <f t="shared" si="1"/>
        <v>보통</v>
      </c>
      <c r="I6" s="27" t="e" cm="1">
        <f t="array" aca="1" ref="I6" ca="1">fn비고(C6,D6)</f>
        <v>#NAME?</v>
      </c>
    </row>
    <row r="7" spans="1:9" x14ac:dyDescent="0.3">
      <c r="A7" s="27" t="s">
        <v>177</v>
      </c>
      <c r="B7" s="27" t="s">
        <v>172</v>
      </c>
      <c r="C7" s="29">
        <v>40940</v>
      </c>
      <c r="D7" s="30">
        <v>29000000</v>
      </c>
      <c r="E7" s="2">
        <v>30</v>
      </c>
      <c r="F7" s="31">
        <v>3.7999999999999999E-2</v>
      </c>
      <c r="G7" s="32" t="str">
        <f t="shared" si="0"/>
        <v>보류</v>
      </c>
      <c r="H7" s="35" t="str">
        <f t="shared" si="1"/>
        <v>아주높음</v>
      </c>
      <c r="I7" s="27" t="e" cm="1">
        <f t="array" aca="1" ref="I7" ca="1">fn비고(C7,D7)</f>
        <v>#NAME?</v>
      </c>
    </row>
    <row r="8" spans="1:9" x14ac:dyDescent="0.3">
      <c r="A8" s="27" t="s">
        <v>178</v>
      </c>
      <c r="B8" s="27" t="s">
        <v>179</v>
      </c>
      <c r="C8" s="29">
        <v>39356</v>
      </c>
      <c r="D8" s="30">
        <v>14800000</v>
      </c>
      <c r="E8" s="2">
        <v>20</v>
      </c>
      <c r="F8" s="31">
        <v>3.5000000000000003E-2</v>
      </c>
      <c r="G8" s="32" t="str">
        <f t="shared" si="0"/>
        <v>서류보완</v>
      </c>
      <c r="H8" s="35" t="str">
        <f t="shared" si="1"/>
        <v>높음</v>
      </c>
      <c r="I8" s="27" t="e" cm="1">
        <f t="array" aca="1" ref="I8" ca="1">fn비고(C8,D8)</f>
        <v>#NAME?</v>
      </c>
    </row>
    <row r="9" spans="1:9" x14ac:dyDescent="0.3">
      <c r="A9" s="27" t="s">
        <v>180</v>
      </c>
      <c r="B9" s="27" t="s">
        <v>181</v>
      </c>
      <c r="C9" s="29">
        <v>39904</v>
      </c>
      <c r="D9" s="30">
        <v>4200000</v>
      </c>
      <c r="E9" s="2">
        <v>40</v>
      </c>
      <c r="F9" s="31">
        <v>4.8000000000000001E-2</v>
      </c>
      <c r="G9" s="32" t="str">
        <f t="shared" si="0"/>
        <v>대출가능</v>
      </c>
      <c r="H9" s="35" t="str">
        <f t="shared" si="1"/>
        <v>낮음</v>
      </c>
      <c r="I9" s="27" t="e" cm="1">
        <f t="array" aca="1" ref="I9" ca="1">fn비고(C9,D9)</f>
        <v>#NAME?</v>
      </c>
    </row>
    <row r="10" spans="1:9" x14ac:dyDescent="0.3">
      <c r="A10" s="27" t="s">
        <v>182</v>
      </c>
      <c r="B10" s="27" t="s">
        <v>181</v>
      </c>
      <c r="C10" s="29">
        <v>37104</v>
      </c>
      <c r="D10" s="30">
        <v>6400000</v>
      </c>
      <c r="E10" s="2">
        <v>50</v>
      </c>
      <c r="F10" s="31">
        <v>4.4999999999999998E-2</v>
      </c>
      <c r="G10" s="32" t="str">
        <f t="shared" si="0"/>
        <v>대출가능</v>
      </c>
      <c r="H10" s="35" t="str">
        <f t="shared" si="1"/>
        <v>낮음</v>
      </c>
      <c r="I10" s="27" t="e" cm="1">
        <f t="array" aca="1" ref="I10" ca="1">fn비고(C10,D10)</f>
        <v>#NAME?</v>
      </c>
    </row>
    <row r="11" spans="1:9" x14ac:dyDescent="0.3">
      <c r="A11" s="27" t="s">
        <v>183</v>
      </c>
      <c r="B11" s="27" t="s">
        <v>170</v>
      </c>
      <c r="C11" s="29">
        <v>37438</v>
      </c>
      <c r="D11" s="30">
        <v>9000000</v>
      </c>
      <c r="E11" s="2">
        <v>12</v>
      </c>
      <c r="F11" s="31">
        <v>6.3E-2</v>
      </c>
      <c r="G11" s="32" t="str">
        <f t="shared" si="0"/>
        <v>대출가능</v>
      </c>
      <c r="H11" s="35" t="str">
        <f t="shared" si="1"/>
        <v>높음</v>
      </c>
      <c r="I11" s="27" t="e" cm="1">
        <f t="array" aca="1" ref="I11" ca="1">fn비고(C11,D11)</f>
        <v>#NAME?</v>
      </c>
    </row>
    <row r="12" spans="1:9" x14ac:dyDescent="0.3">
      <c r="A12" s="27" t="s">
        <v>184</v>
      </c>
      <c r="B12" s="27" t="s">
        <v>176</v>
      </c>
      <c r="C12" s="29">
        <v>40787</v>
      </c>
      <c r="D12" s="30">
        <v>8800000</v>
      </c>
      <c r="E12" s="2">
        <v>24</v>
      </c>
      <c r="F12" s="31">
        <v>7.0999999999999994E-2</v>
      </c>
      <c r="G12" s="32" t="str">
        <f t="shared" si="0"/>
        <v>대출가능</v>
      </c>
      <c r="H12" s="35" t="str">
        <f t="shared" si="1"/>
        <v>보통</v>
      </c>
      <c r="I12" s="27" t="e" cm="1">
        <f t="array" aca="1" ref="I12" ca="1">fn비고(C12,D12)</f>
        <v>#NAME?</v>
      </c>
    </row>
    <row r="13" spans="1:9" x14ac:dyDescent="0.3">
      <c r="A13" s="27" t="s">
        <v>185</v>
      </c>
      <c r="B13" s="27" t="s">
        <v>176</v>
      </c>
      <c r="C13" s="29">
        <v>37926</v>
      </c>
      <c r="D13" s="30">
        <v>5200000</v>
      </c>
      <c r="E13" s="2">
        <v>36</v>
      </c>
      <c r="F13" s="31">
        <v>3.9E-2</v>
      </c>
      <c r="G13" s="32" t="str">
        <f t="shared" si="0"/>
        <v>대출가능</v>
      </c>
      <c r="H13" s="35" t="str">
        <f t="shared" si="1"/>
        <v>낮음</v>
      </c>
      <c r="I13" s="27" t="e" cm="1">
        <f t="array" aca="1" ref="I13" ca="1">fn비고(C13,D13)</f>
        <v>#NAME?</v>
      </c>
    </row>
    <row r="14" spans="1:9" x14ac:dyDescent="0.3">
      <c r="A14" s="27" t="s">
        <v>186</v>
      </c>
      <c r="B14" s="27" t="s">
        <v>187</v>
      </c>
      <c r="C14" s="29">
        <v>38687</v>
      </c>
      <c r="D14" s="30">
        <v>7800000</v>
      </c>
      <c r="E14" s="2">
        <v>48</v>
      </c>
      <c r="F14" s="31">
        <v>4.2000000000000003E-2</v>
      </c>
      <c r="G14" s="32" t="str">
        <f t="shared" si="0"/>
        <v>대출가능</v>
      </c>
      <c r="H14" s="35" t="str">
        <f t="shared" si="1"/>
        <v>낮음</v>
      </c>
      <c r="I14" s="27" t="e" cm="1">
        <f t="array" aca="1" ref="I14" ca="1">fn비고(C14,D14)</f>
        <v>#NAME?</v>
      </c>
    </row>
    <row r="15" spans="1:9" x14ac:dyDescent="0.3">
      <c r="A15" s="27" t="s">
        <v>188</v>
      </c>
      <c r="B15" s="27" t="s">
        <v>172</v>
      </c>
      <c r="C15" s="29">
        <v>40878</v>
      </c>
      <c r="D15" s="30">
        <v>7500000</v>
      </c>
      <c r="E15" s="2">
        <v>19</v>
      </c>
      <c r="F15" s="31">
        <v>4.3999999999999997E-2</v>
      </c>
      <c r="G15" s="32" t="str">
        <f t="shared" si="0"/>
        <v>대출가능</v>
      </c>
      <c r="H15" s="35" t="str">
        <f t="shared" si="1"/>
        <v>보통</v>
      </c>
      <c r="I15" s="27" t="e" cm="1">
        <f t="array" aca="1" ref="I15" ca="1">fn비고(C15,D15)</f>
        <v>#NAME?</v>
      </c>
    </row>
    <row r="16" spans="1:9" x14ac:dyDescent="0.3">
      <c r="A16" s="27" t="s">
        <v>189</v>
      </c>
      <c r="B16" s="27" t="s">
        <v>172</v>
      </c>
      <c r="C16" s="29">
        <v>41579</v>
      </c>
      <c r="D16" s="30">
        <v>6400000</v>
      </c>
      <c r="E16" s="2">
        <v>21</v>
      </c>
      <c r="F16" s="31">
        <v>6.0999999999999999E-2</v>
      </c>
      <c r="G16" s="32" t="str">
        <f t="shared" si="0"/>
        <v>대출가능</v>
      </c>
      <c r="H16" s="35" t="str">
        <f t="shared" si="1"/>
        <v>보통</v>
      </c>
      <c r="I16" s="27" t="e" cm="1">
        <f t="array" aca="1" ref="I16" ca="1">fn비고(C16,D16)</f>
        <v>#NAME?</v>
      </c>
    </row>
    <row r="17" spans="1:9" x14ac:dyDescent="0.3">
      <c r="A17" s="27" t="s">
        <v>190</v>
      </c>
      <c r="B17" s="27" t="s">
        <v>187</v>
      </c>
      <c r="C17" s="29">
        <v>41091</v>
      </c>
      <c r="D17" s="30">
        <v>24900000</v>
      </c>
      <c r="E17" s="2">
        <v>25</v>
      </c>
      <c r="F17" s="31">
        <v>4.8000000000000001E-2</v>
      </c>
      <c r="G17" s="32" t="str">
        <f t="shared" si="0"/>
        <v>보류</v>
      </c>
      <c r="H17" s="35" t="str">
        <f t="shared" si="1"/>
        <v>아주높음</v>
      </c>
      <c r="I17" s="27" t="e" cm="1">
        <f t="array" aca="1" ref="I17" ca="1">fn비고(C17,D17)</f>
        <v>#NAME?</v>
      </c>
    </row>
    <row r="18" spans="1:9" x14ac:dyDescent="0.3">
      <c r="A18" s="27" t="s">
        <v>191</v>
      </c>
      <c r="B18" s="27" t="s">
        <v>181</v>
      </c>
      <c r="C18" s="29">
        <v>43952</v>
      </c>
      <c r="D18" s="30">
        <v>12400000</v>
      </c>
      <c r="E18" s="2">
        <v>31</v>
      </c>
      <c r="F18" s="31">
        <v>3.6999999999999998E-2</v>
      </c>
      <c r="G18" s="32" t="str">
        <f t="shared" si="0"/>
        <v>서류보완</v>
      </c>
      <c r="H18" s="35" t="str">
        <f t="shared" si="1"/>
        <v>보통</v>
      </c>
      <c r="I18" s="27" t="e" cm="1">
        <f t="array" aca="1" ref="I18" ca="1">fn비고(C18,D18)</f>
        <v>#NAME?</v>
      </c>
    </row>
    <row r="19" spans="1:9" x14ac:dyDescent="0.3">
      <c r="A19" s="27" t="s">
        <v>192</v>
      </c>
      <c r="B19" s="27" t="s">
        <v>176</v>
      </c>
      <c r="C19" s="29">
        <v>43678</v>
      </c>
      <c r="D19" s="30">
        <v>22760000</v>
      </c>
      <c r="E19" s="2">
        <v>32</v>
      </c>
      <c r="F19" s="31">
        <v>5.0999999999999997E-2</v>
      </c>
      <c r="G19" s="32" t="str">
        <f t="shared" si="0"/>
        <v>보류</v>
      </c>
      <c r="H19" s="35" t="str">
        <f t="shared" si="1"/>
        <v>높음</v>
      </c>
      <c r="I19" s="27" t="e" cm="1">
        <f t="array" aca="1" ref="I19" ca="1">fn비고(C19,D19)</f>
        <v>#NAME?</v>
      </c>
    </row>
    <row r="20" spans="1:9" x14ac:dyDescent="0.3">
      <c r="A20" s="27" t="s">
        <v>193</v>
      </c>
      <c r="B20" s="27" t="s">
        <v>170</v>
      </c>
      <c r="C20" s="29">
        <v>43313</v>
      </c>
      <c r="D20" s="30">
        <v>3500000</v>
      </c>
      <c r="E20" s="2">
        <v>33</v>
      </c>
      <c r="F20" s="31">
        <v>4.4999999999999998E-2</v>
      </c>
      <c r="G20" s="32" t="str">
        <f t="shared" si="0"/>
        <v>서류보완</v>
      </c>
      <c r="H20" s="35" t="str">
        <f t="shared" si="1"/>
        <v>낮음</v>
      </c>
      <c r="I20" s="27" t="e" cm="1">
        <f t="array" aca="1" ref="I20" ca="1">fn비고(C20,D20)</f>
        <v>#NAME?</v>
      </c>
    </row>
    <row r="21" spans="1:9" x14ac:dyDescent="0.3">
      <c r="A21" s="27" t="s">
        <v>194</v>
      </c>
      <c r="B21" s="27" t="s">
        <v>181</v>
      </c>
      <c r="C21" s="29">
        <v>42522</v>
      </c>
      <c r="D21" s="30">
        <v>3200000</v>
      </c>
      <c r="E21" s="2">
        <v>24</v>
      </c>
      <c r="F21" s="31">
        <v>3.6999999999999998E-2</v>
      </c>
      <c r="G21" s="32" t="str">
        <f t="shared" si="0"/>
        <v>서류보완</v>
      </c>
      <c r="H21" s="35" t="str">
        <f t="shared" si="1"/>
        <v>낮음</v>
      </c>
      <c r="I21" s="27" t="e" cm="1">
        <f t="array" aca="1" ref="I21" ca="1">fn비고(C21,D21)</f>
        <v>#NAME?</v>
      </c>
    </row>
    <row r="22" spans="1:9" x14ac:dyDescent="0.3">
      <c r="A22" s="27" t="s">
        <v>195</v>
      </c>
      <c r="B22" s="27" t="s">
        <v>179</v>
      </c>
      <c r="C22" s="29">
        <v>42248</v>
      </c>
      <c r="D22" s="30">
        <v>9000000</v>
      </c>
      <c r="E22" s="2">
        <v>26</v>
      </c>
      <c r="F22" s="31">
        <v>5.1999999999999998E-2</v>
      </c>
      <c r="G22" s="32" t="str">
        <f t="shared" si="0"/>
        <v>대출가능</v>
      </c>
      <c r="H22" s="35" t="str">
        <f t="shared" si="1"/>
        <v>보통</v>
      </c>
      <c r="I22" s="27" t="e" cm="1">
        <f t="array" aca="1" ref="I22" ca="1">fn비고(C22,D22)</f>
        <v>#NAME?</v>
      </c>
    </row>
    <row r="23" spans="1:9" x14ac:dyDescent="0.3">
      <c r="A23" s="27" t="s">
        <v>196</v>
      </c>
      <c r="B23" s="27" t="s">
        <v>181</v>
      </c>
      <c r="C23" s="29">
        <v>41852</v>
      </c>
      <c r="D23" s="30">
        <v>38400000</v>
      </c>
      <c r="E23" s="2">
        <v>28</v>
      </c>
      <c r="F23" s="31">
        <v>7.2999999999999995E-2</v>
      </c>
      <c r="G23" s="32" t="str">
        <f t="shared" si="0"/>
        <v>보류</v>
      </c>
      <c r="H23" s="35" t="str">
        <f t="shared" si="1"/>
        <v>아주높음</v>
      </c>
      <c r="I23" s="27" t="e" cm="1">
        <f t="array" aca="1" ref="I23" ca="1">fn비고(C23,D23)</f>
        <v>#NAME?</v>
      </c>
    </row>
    <row r="24" spans="1:9" x14ac:dyDescent="0.3">
      <c r="A24" s="27" t="s">
        <v>197</v>
      </c>
      <c r="B24" s="27" t="s">
        <v>176</v>
      </c>
      <c r="C24" s="29">
        <v>42856</v>
      </c>
      <c r="D24" s="30">
        <v>10800000</v>
      </c>
      <c r="E24" s="2">
        <v>29</v>
      </c>
      <c r="F24" s="31">
        <v>6.5000000000000002E-2</v>
      </c>
      <c r="G24" s="32" t="str">
        <f t="shared" si="0"/>
        <v>서류보완</v>
      </c>
      <c r="H24" s="35" t="str">
        <f t="shared" si="1"/>
        <v>보통</v>
      </c>
      <c r="I24" s="27" t="e" cm="1">
        <f t="array" aca="1" ref="I24" ca="1">fn비고(C24,D24)</f>
        <v>#NAME?</v>
      </c>
    </row>
    <row r="26" spans="1:9" x14ac:dyDescent="0.3">
      <c r="A26" t="s">
        <v>198</v>
      </c>
      <c r="E26" t="s">
        <v>199</v>
      </c>
      <c r="H26" t="s">
        <v>200</v>
      </c>
    </row>
    <row r="27" spans="1:9" x14ac:dyDescent="0.3">
      <c r="A27" s="27" t="s">
        <v>201</v>
      </c>
      <c r="B27" s="27" t="s">
        <v>161</v>
      </c>
      <c r="C27" s="28" t="s">
        <v>202</v>
      </c>
      <c r="E27" s="27" t="s">
        <v>161</v>
      </c>
      <c r="F27" s="28" t="s">
        <v>203</v>
      </c>
      <c r="H27" s="27" t="s">
        <v>204</v>
      </c>
      <c r="I27" s="27" t="s">
        <v>205</v>
      </c>
    </row>
    <row r="28" spans="1:9" x14ac:dyDescent="0.3">
      <c r="A28" s="27" t="s">
        <v>206</v>
      </c>
      <c r="B28" s="27" t="s">
        <v>207</v>
      </c>
      <c r="C28" s="34">
        <f t="array" ref="C28">SUM(LARGE(IF(LEFT($B$3:$B$24,2)=$A28,$D$3:$D$24),{1,2,3}))</f>
        <v>42560000</v>
      </c>
      <c r="E28" s="27" t="s">
        <v>208</v>
      </c>
      <c r="F28" s="27">
        <f t="array" ref="F28">_xlfn.RANK.EQ(MIN(IF($B$3:$B$24=E28,$F$3:$F$24)),$F$3:$F$24,1)</f>
        <v>2</v>
      </c>
      <c r="H28" s="34">
        <v>0</v>
      </c>
      <c r="I28" s="27" t="s">
        <v>209</v>
      </c>
    </row>
    <row r="29" spans="1:9" x14ac:dyDescent="0.3">
      <c r="A29" s="27" t="s">
        <v>210</v>
      </c>
      <c r="B29" s="27" t="s">
        <v>211</v>
      </c>
      <c r="C29" s="34">
        <f t="array" ref="C29">SUM(LARGE(IF(LEFT($B$3:$B$24,2)=$A29,$D$3:$D$24),{1,2,3}))</f>
        <v>52800000</v>
      </c>
      <c r="E29" s="27" t="s">
        <v>187</v>
      </c>
      <c r="F29" s="27">
        <f t="array" ref="F29">_xlfn.RANK.EQ(MIN(IF($B$3:$B$24=E29,$F$3:$F$24)),$F$3:$F$24,1)</f>
        <v>7</v>
      </c>
      <c r="H29" s="34">
        <v>200000</v>
      </c>
      <c r="I29" s="27" t="s">
        <v>212</v>
      </c>
    </row>
    <row r="30" spans="1:9" x14ac:dyDescent="0.3">
      <c r="A30" s="27" t="s">
        <v>213</v>
      </c>
      <c r="B30" s="27" t="s">
        <v>214</v>
      </c>
      <c r="C30" s="34">
        <f t="array" ref="C30">SUM(LARGE(IF(LEFT($B$3:$B$24,2)=$A30,$D$3:$D$24),{1,2,3}))</f>
        <v>75700000</v>
      </c>
      <c r="E30" s="27" t="s">
        <v>215</v>
      </c>
      <c r="F30" s="27">
        <f t="array" ref="F30">_xlfn.RANK.EQ(MIN(IF($B$3:$B$24=E30,$F$3:$F$24)),$F$3:$F$24,1)</f>
        <v>1</v>
      </c>
      <c r="H30" s="34">
        <v>500000</v>
      </c>
      <c r="I30" s="27" t="s">
        <v>216</v>
      </c>
    </row>
    <row r="31" spans="1:9" x14ac:dyDescent="0.3">
      <c r="E31" s="27" t="s">
        <v>217</v>
      </c>
      <c r="F31" s="27">
        <f t="array" ref="F31">_xlfn.RANK.EQ(MIN(IF($B$3:$B$24=E31,$F$3:$F$24)),$F$3:$F$24,1)</f>
        <v>4</v>
      </c>
      <c r="H31" s="34">
        <v>1000000</v>
      </c>
      <c r="I31" s="27" t="s">
        <v>218</v>
      </c>
    </row>
    <row r="32" spans="1:9" x14ac:dyDescent="0.3">
      <c r="E32" s="27" t="s">
        <v>170</v>
      </c>
      <c r="F32" s="27">
        <f t="array" ref="F32">_xlfn.RANK.EQ(MIN(IF($B$3:$B$24=E32,$F$3:$F$24)),$F$3:$F$24,1)</f>
        <v>9</v>
      </c>
    </row>
    <row r="33" spans="5:6" x14ac:dyDescent="0.3">
      <c r="E33" s="27" t="s">
        <v>219</v>
      </c>
      <c r="F33" s="27">
        <f t="array" ref="F33">_xlfn.RANK.EQ(MIN(IF($B$3:$B$24=E33,$F$3:$F$24)),$F$3:$F$24,1)</f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16</vt:i4>
      </vt:variant>
      <vt:variant>
        <vt:lpstr>이름 지정된 범위</vt:lpstr>
      </vt:variant>
      <vt:variant>
        <vt:i4>5</vt:i4>
      </vt:variant>
    </vt:vector>
  </HeadingPairs>
  <TitlesOfParts>
    <vt:vector size="21" baseType="lpstr">
      <vt:lpstr>기본작업-1</vt:lpstr>
      <vt:lpstr>기본작업-2</vt:lpstr>
      <vt:lpstr>계산작업</vt:lpstr>
      <vt:lpstr>분석작업-1</vt:lpstr>
      <vt:lpstr>분석작업-1 (2)</vt:lpstr>
      <vt:lpstr>분석작업-2</vt:lpstr>
      <vt:lpstr>분석작업-2 (2)</vt:lpstr>
      <vt:lpstr>기타작업-1</vt:lpstr>
      <vt:lpstr>기타작업-1 (2)</vt:lpstr>
      <vt:lpstr>기타작업-2</vt:lpstr>
      <vt:lpstr>기타작업-2 (2)</vt:lpstr>
      <vt:lpstr>기타작업-3</vt:lpstr>
      <vt:lpstr>기타작업-3 (2)</vt:lpstr>
      <vt:lpstr>기본작업-1 (2)</vt:lpstr>
      <vt:lpstr>기본작업-2 (2)</vt:lpstr>
      <vt:lpstr>계산작업 (2)</vt:lpstr>
      <vt:lpstr>'기본작업-1 (2)'!Criteria</vt:lpstr>
      <vt:lpstr>'기본작업-1 (2)'!Extract</vt:lpstr>
      <vt:lpstr>'기본작업-2'!Print_Area</vt:lpstr>
      <vt:lpstr>'기본작업-2 (2)'!Print_Area</vt:lpstr>
      <vt:lpstr>'기본작업-2 (2)'!Print_Titles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2023-02-18T09:21:08Z</dcterms:created>
  <dcterms:modified xsi:type="dcterms:W3CDTF">2024-07-17T12:19:19Z</dcterms:modified>
</cp:coreProperties>
</file>